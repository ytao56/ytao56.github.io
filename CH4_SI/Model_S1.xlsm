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codeName="ThisWorkbook" defaultThemeVersion="124226"/>
  <bookViews>
    <workbookView xWindow="0" yWindow="0" windowWidth="25997" windowHeight="11863"/>
  </bookViews>
  <sheets>
    <sheet name="Cover Sheet" sheetId="11" r:id="rId1"/>
    <sheet name="Pipeline Network" sheetId="22" r:id="rId2"/>
    <sheet name="Main" sheetId="12" r:id="rId3"/>
    <sheet name="Eng Mod" sheetId="1" r:id="rId4"/>
    <sheet name="Cost Indices" sheetId="16" r:id="rId5"/>
    <sheet name="PL Pressure Relation" sheetId="9" r:id="rId6"/>
    <sheet name="Pipe Cap plot1" sheetId="18" r:id="rId7"/>
    <sheet name="Pipe Cap" sheetId="15" r:id="rId8"/>
    <sheet name="Pipe Cap plot2" sheetId="19" r:id="rId9"/>
  </sheets>
  <functionGroups builtInGroupCount="18"/>
  <externalReferences>
    <externalReference r:id="rId10"/>
    <externalReference r:id="rId11"/>
    <externalReference r:id="rId12"/>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769</definedName>
    <definedName name="_AtRisk_SimSetting_SimNameCount" hidden="1">0</definedName>
    <definedName name="_AtRisk_SimSetting_SmartSensitivityAnalysisEnabled" hidden="1">TRUE</definedName>
    <definedName name="_AtRisk_SimSetting_StdRecalcBehavior" hidden="1">0</definedName>
    <definedName name="_AtRisk_SimSetting_StdRecalcWithoutRiskStatic" hidden="1">0</definedName>
    <definedName name="_AtRisk_SimSetting_StdRecalcWithoutRiskStaticPercentile" hidden="1">0.5</definedName>
    <definedName name="AboveSeal_Depth" localSheetId="1">'[1]Geo-Activity Interaction'!$E$61</definedName>
    <definedName name="AboveSeal_Depth">'[2]Geo-Activity Interaction'!$E$61</definedName>
    <definedName name="AboveSeal_Depth_Units" localSheetId="1">'[1]Geo-Activity Interaction'!$F$61</definedName>
    <definedName name="AboveSeal_Depth_Units">'[2]Geo-Activity Interaction'!$F$61</definedName>
    <definedName name="Engineer_Rate" localSheetId="1">[1]Activity_Inputs!$E$10</definedName>
    <definedName name="Engineer_Rate">[2]Activity_Inputs!$E$10</definedName>
    <definedName name="Engineer_Rate_Units" localSheetId="1">[1]Activity_Inputs!$F$10</definedName>
    <definedName name="Engineer_Rate_Units">[2]Activity_Inputs!$F$10</definedName>
    <definedName name="Field_Rate" localSheetId="1">[1]Activity_Inputs!$E$12</definedName>
    <definedName name="Field_Rate">[2]Activity_Inputs!$E$12</definedName>
    <definedName name="Field_Rate_Units" localSheetId="1">[1]Activity_Inputs!$F$12</definedName>
    <definedName name="Field_Rate_Units">[2]Activity_Inputs!$F$12</definedName>
    <definedName name="Geologist_Rate" localSheetId="1">[1]Activity_Inputs!$E$9</definedName>
    <definedName name="Geologist_Rate">[2]Activity_Inputs!$E$9</definedName>
    <definedName name="Geologist_Rate_Units" localSheetId="1">[1]Activity_Inputs!$F$9</definedName>
    <definedName name="Geologist_Rate_Units">[2]Activity_Inputs!$F$9</definedName>
    <definedName name="Groundwater_Depth" localSheetId="1">'[1]Geo-Activity Interaction'!$E$62</definedName>
    <definedName name="Groundwater_Depth">'[2]Geo-Activity Interaction'!$E$62</definedName>
    <definedName name="Groundwater_Depth_Units" localSheetId="1">'[1]Geo-Activity Interaction'!$F$62</definedName>
    <definedName name="Groundwater_Depth_Units">'[2]Geo-Activity Interaction'!$F$62</definedName>
    <definedName name="Injection_Depth" localSheetId="1">'[1]Geo-Activity Interaction'!$E$58</definedName>
    <definedName name="Injection_Depth">'[2]Geo-Activity Interaction'!$E$58</definedName>
    <definedName name="Injection_Depth_Units" localSheetId="1">'[1]Geo-Activity Interaction'!$F$58</definedName>
    <definedName name="Injection_Depth_Units">'[2]Geo-Activity Interaction'!$F$58</definedName>
    <definedName name="InReservoir_Depth" localSheetId="1">'[1]Geo-Activity Interaction'!$E$60</definedName>
    <definedName name="InReservoir_Depth">'[2]Geo-Activity Interaction'!$E$60</definedName>
    <definedName name="InReservoir_Depth_Units" localSheetId="1">'[1]Geo-Activity Interaction'!$F$60</definedName>
    <definedName name="InReservoir_Depth_Units">'[2]Geo-Activity Interaction'!$F$60</definedName>
    <definedName name="L_PL" localSheetId="1">'[3]Eng Mod'!$D$16</definedName>
    <definedName name="L_PL">'Eng Mod'!$D$16</definedName>
    <definedName name="Landman_Rate" localSheetId="1">[1]Activity_Inputs!$E$11</definedName>
    <definedName name="Landman_Rate">[2]Activity_Inputs!$E$11</definedName>
    <definedName name="Landman_Rate_Units" localSheetId="1">[1]Activity_Inputs!$F$11</definedName>
    <definedName name="Landman_Rate_Units">[2]Activity_Inputs!$F$11</definedName>
    <definedName name="Len_PL">'Eng Mod'!$D$16</definedName>
    <definedName name="Len_PL_U" localSheetId="1">'[3]Eng Mod'!$E$16</definedName>
    <definedName name="Len_PL_U">'Eng Mod'!$E$16</definedName>
    <definedName name="n_pumps" localSheetId="1">'[3]Eng Mod'!$D$22</definedName>
    <definedName name="n_pumps">'Eng Mod'!$D$22</definedName>
    <definedName name="P_in" localSheetId="1">'[3]Eng Mod'!$D$17</definedName>
    <definedName name="P_in">'Eng Mod'!$D$17</definedName>
    <definedName name="P_out" localSheetId="1">'[3]Eng Mod'!$D$18</definedName>
    <definedName name="P_out">'Eng Mod'!$D$18</definedName>
    <definedName name="PL_d" localSheetId="1">'[3]Eng Mod'!$G$48</definedName>
    <definedName name="PL_d">'Eng Mod'!$G$48</definedName>
    <definedName name="Pr_in">'Eng Mod'!$D$17</definedName>
    <definedName name="Pr_out">'Eng Mod'!$D$18</definedName>
    <definedName name="Pr_units" localSheetId="1">'[3]Eng Mod'!$E$17</definedName>
    <definedName name="Pr_units">'Eng Mod'!$E$17</definedName>
    <definedName name="_xlnm.Print_Area" localSheetId="3">'Eng Mod'!$B$2:$O$165</definedName>
    <definedName name="_xlnm.Print_Area" localSheetId="2">Main!$B$2:$W$209</definedName>
    <definedName name="_xlnm.Print_Area" localSheetId="7">'Pipe Cap'!$A$1:$AX$95</definedName>
    <definedName name="_xlnm.Print_Area" localSheetId="6">'Pipe Cap plot1'!$A$3:$U$276</definedName>
    <definedName name="_xlnm.Print_Area" localSheetId="8">'Pipe Cap plot2'!$A$3:$T$20</definedName>
    <definedName name="_xlnm.Print_Titles" localSheetId="3">'Eng Mod'!$B:$C,'Eng Mod'!$2:$8</definedName>
    <definedName name="_xlnm.Print_Titles" localSheetId="2">Main!$D:$D</definedName>
    <definedName name="pump_power" localSheetId="1">'[3]Eng Mod'!$D$51</definedName>
    <definedName name="pump_power">'Eng Mod'!$D$51</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 name="Strat_Depth" localSheetId="1">'[1]Geo-Activity Interaction'!$E$57</definedName>
    <definedName name="Strat_Depth">'[2]Geo-Activity Interaction'!$E$57</definedName>
    <definedName name="Strat_Depth_Units" localSheetId="1">'[1]Geo-Activity Interaction'!$F$57</definedName>
    <definedName name="Strat_Depth_Units">'[2]Geo-Activity Interaction'!$F$57</definedName>
    <definedName name="T_Pipeline" localSheetId="1">'[3]Eng Mod'!$D$13</definedName>
    <definedName name="T_Pipeline">'Eng Mod'!$D$13</definedName>
    <definedName name="T_Pipeline_U" localSheetId="1">'[3]Eng Mod'!$E$13</definedName>
    <definedName name="T_Pipeline_U">'Eng Mod'!$E$13</definedName>
    <definedName name="VadoseZone_Depth" localSheetId="1">'[1]Geo-Activity Interaction'!$E$63</definedName>
    <definedName name="VadoseZone_Depth">'[2]Geo-Activity Interaction'!$E$63</definedName>
    <definedName name="VadoseZone_Depth_Units" localSheetId="1">'[1]Geo-Activity Interaction'!$F$63</definedName>
    <definedName name="VadoseZone_Depth_Units">'[2]Geo-Activity Interaction'!$F$63</definedName>
    <definedName name="WaterDisposal_Depth" localSheetId="1">'[1]Geo-Activity Interaction'!$E$66</definedName>
    <definedName name="WaterDisposal_Depth">'[2]Geo-Activity Interaction'!$E$66</definedName>
    <definedName name="WaterDisposal_Depth_Units" localSheetId="1">'[1]Geo-Activity Interaction'!$F$66</definedName>
    <definedName name="WaterDisposal_Depth_Units">'[2]Geo-Activity Interaction'!$F$66</definedName>
    <definedName name="WaterProduction_Depth" localSheetId="1">'[1]Geo-Activity Interaction'!$E$65</definedName>
    <definedName name="WaterProduction_Depth">'[2]Geo-Activity Interaction'!$E$65</definedName>
    <definedName name="WaterProduction_Depth_Units" localSheetId="1">'[1]Geo-Activity Interaction'!$F$65</definedName>
    <definedName name="WaterProduction_Depth_Units">'[2]Geo-Activity Interaction'!$F$65</definedName>
  </definedNames>
  <calcPr calcId="152511"/>
</workbook>
</file>

<file path=xl/calcChain.xml><?xml version="1.0" encoding="utf-8"?>
<calcChain xmlns="http://schemas.openxmlformats.org/spreadsheetml/2006/main">
  <c r="L10" i="12" l="1"/>
  <c r="R5" i="22" l="1"/>
  <c r="Q5" i="22"/>
  <c r="P5" i="22"/>
  <c r="S3" i="12"/>
  <c r="V4" i="12"/>
  <c r="U3" i="12"/>
  <c r="T3" i="12"/>
  <c r="F8" i="12"/>
  <c r="G8" i="12"/>
  <c r="S11" i="12" s="1"/>
  <c r="F4" i="12"/>
  <c r="Q4" i="12"/>
  <c r="L4" i="12"/>
  <c r="J4" i="12"/>
  <c r="K4" i="12" s="1"/>
  <c r="I4" i="12"/>
  <c r="H4" i="12"/>
  <c r="G4" i="12"/>
  <c r="Z90" i="12"/>
  <c r="I90" i="12"/>
  <c r="K90" i="12" s="1"/>
  <c r="E50" i="12"/>
  <c r="E109" i="12" s="1"/>
  <c r="F169" i="12"/>
  <c r="G169" i="12" s="1"/>
  <c r="H169" i="12" s="1"/>
  <c r="I169" i="12" s="1"/>
  <c r="J169" i="12" s="1"/>
  <c r="K169" i="12" s="1"/>
  <c r="L169" i="12" s="1"/>
  <c r="M169" i="12" s="1"/>
  <c r="N169" i="12" s="1"/>
  <c r="O169" i="12" s="1"/>
  <c r="P169" i="12" s="1"/>
  <c r="Q169" i="12" s="1"/>
  <c r="R169" i="12" s="1"/>
  <c r="S169" i="12" s="1"/>
  <c r="T169" i="12" s="1"/>
  <c r="U169" i="12" s="1"/>
  <c r="V169" i="12" s="1"/>
  <c r="W169" i="12" s="1"/>
  <c r="X169" i="12" s="1"/>
  <c r="Y169" i="12" s="1"/>
  <c r="Z169" i="12" s="1"/>
  <c r="AA169" i="12" s="1"/>
  <c r="AB169" i="12" s="1"/>
  <c r="AC169" i="12" s="1"/>
  <c r="AD169" i="12" s="1"/>
  <c r="AE169" i="12" s="1"/>
  <c r="AF169" i="12" s="1"/>
  <c r="AG169" i="12" s="1"/>
  <c r="AH169" i="12" s="1"/>
  <c r="AI169" i="12" s="1"/>
  <c r="AJ169" i="12" s="1"/>
  <c r="AK169" i="12" s="1"/>
  <c r="AL169" i="12" s="1"/>
  <c r="AM169" i="12" s="1"/>
  <c r="AN169" i="12" s="1"/>
  <c r="AO169" i="12" s="1"/>
  <c r="AP169" i="12" s="1"/>
  <c r="AQ169" i="12" s="1"/>
  <c r="AR169" i="12" s="1"/>
  <c r="AS169" i="12" s="1"/>
  <c r="AT169" i="12" s="1"/>
  <c r="AU169" i="12" s="1"/>
  <c r="AV169" i="12" s="1"/>
  <c r="AW169" i="12" s="1"/>
  <c r="AX169" i="12" s="1"/>
  <c r="AY169" i="12" s="1"/>
  <c r="AZ169" i="12" s="1"/>
  <c r="BA169" i="12" s="1"/>
  <c r="BB169" i="12" s="1"/>
  <c r="BC169" i="12" s="1"/>
  <c r="BD169" i="12" s="1"/>
  <c r="BE169" i="12" s="1"/>
  <c r="BF169" i="12" s="1"/>
  <c r="BG169" i="12" s="1"/>
  <c r="BH169" i="12" s="1"/>
  <c r="BI169" i="12" s="1"/>
  <c r="BJ169" i="12" s="1"/>
  <c r="BK169" i="12" s="1"/>
  <c r="BL169" i="12" s="1"/>
  <c r="BM169" i="12" s="1"/>
  <c r="BN169" i="12" s="1"/>
  <c r="BO169" i="12" s="1"/>
  <c r="BP169" i="12" s="1"/>
  <c r="BQ169" i="12" s="1"/>
  <c r="BR169" i="12" s="1"/>
  <c r="BS169" i="12" s="1"/>
  <c r="BT169" i="12" s="1"/>
  <c r="BU169" i="12" s="1"/>
  <c r="BV169" i="12" s="1"/>
  <c r="BW169" i="12" s="1"/>
  <c r="BX169" i="12" s="1"/>
  <c r="BY169" i="12" s="1"/>
  <c r="BZ169" i="12" s="1"/>
  <c r="CA169" i="12" s="1"/>
  <c r="CB169" i="12" s="1"/>
  <c r="CC169" i="12" s="1"/>
  <c r="CD169" i="12" s="1"/>
  <c r="CE169" i="12" s="1"/>
  <c r="CF169" i="12" s="1"/>
  <c r="CG169" i="12" s="1"/>
  <c r="CH169" i="12" s="1"/>
  <c r="CI169" i="12" s="1"/>
  <c r="CJ169" i="12" s="1"/>
  <c r="CK169" i="12" s="1"/>
  <c r="CL169" i="12" s="1"/>
  <c r="CM169" i="12" s="1"/>
  <c r="CN169" i="12" s="1"/>
  <c r="CO169" i="12" s="1"/>
  <c r="CP169" i="12" s="1"/>
  <c r="CQ169" i="12" s="1"/>
  <c r="CR169" i="12" s="1"/>
  <c r="CS169" i="12" s="1"/>
  <c r="CT169" i="12" s="1"/>
  <c r="CU169" i="12" s="1"/>
  <c r="CV169" i="12" s="1"/>
  <c r="CW169" i="12" s="1"/>
  <c r="CX169" i="12" s="1"/>
  <c r="CY169" i="12" s="1"/>
  <c r="CZ169" i="12" s="1"/>
  <c r="E168" i="12"/>
  <c r="F168" i="12" s="1"/>
  <c r="G168" i="12" s="1"/>
  <c r="H168" i="12" s="1"/>
  <c r="I168" i="12" s="1"/>
  <c r="J168" i="12" s="1"/>
  <c r="K168" i="12" s="1"/>
  <c r="L168" i="12" s="1"/>
  <c r="M168" i="12" s="1"/>
  <c r="N168" i="12" s="1"/>
  <c r="O168" i="12" s="1"/>
  <c r="P168" i="12" s="1"/>
  <c r="Q168" i="12" s="1"/>
  <c r="R168" i="12" s="1"/>
  <c r="S168" i="12" s="1"/>
  <c r="T168" i="12" s="1"/>
  <c r="U168" i="12" s="1"/>
  <c r="V168" i="12" s="1"/>
  <c r="W168" i="12" s="1"/>
  <c r="X168" i="12" s="1"/>
  <c r="Y168" i="12" s="1"/>
  <c r="Z168" i="12" s="1"/>
  <c r="AA168" i="12" s="1"/>
  <c r="AB168" i="12" s="1"/>
  <c r="AC168" i="12" s="1"/>
  <c r="AD168" i="12" s="1"/>
  <c r="AE168" i="12" s="1"/>
  <c r="AF168" i="12" s="1"/>
  <c r="AG168" i="12" s="1"/>
  <c r="AH168" i="12" s="1"/>
  <c r="AI168" i="12" s="1"/>
  <c r="AJ168" i="12" s="1"/>
  <c r="AK168" i="12" s="1"/>
  <c r="AL168" i="12" s="1"/>
  <c r="AM168" i="12" s="1"/>
  <c r="AN168" i="12" s="1"/>
  <c r="AO168" i="12" s="1"/>
  <c r="AP168" i="12" s="1"/>
  <c r="AQ168" i="12" s="1"/>
  <c r="AR168" i="12" s="1"/>
  <c r="AS168" i="12" s="1"/>
  <c r="AT168" i="12" s="1"/>
  <c r="AU168" i="12" s="1"/>
  <c r="AV168" i="12" s="1"/>
  <c r="AW168" i="12" s="1"/>
  <c r="AX168" i="12" s="1"/>
  <c r="AY168" i="12" s="1"/>
  <c r="AZ168" i="12" s="1"/>
  <c r="BA168" i="12" s="1"/>
  <c r="BB168" i="12" s="1"/>
  <c r="BC168" i="12" s="1"/>
  <c r="BD168" i="12" s="1"/>
  <c r="BE168" i="12" s="1"/>
  <c r="BF168" i="12" s="1"/>
  <c r="BG168" i="12" s="1"/>
  <c r="BH168" i="12" s="1"/>
  <c r="BI168" i="12" s="1"/>
  <c r="BJ168" i="12" s="1"/>
  <c r="BK168" i="12" s="1"/>
  <c r="BL168" i="12" s="1"/>
  <c r="BM168" i="12" s="1"/>
  <c r="BN168" i="12" s="1"/>
  <c r="BO168" i="12" s="1"/>
  <c r="BP168" i="12" s="1"/>
  <c r="BQ168" i="12" s="1"/>
  <c r="BR168" i="12" s="1"/>
  <c r="BS168" i="12" s="1"/>
  <c r="BT168" i="12" s="1"/>
  <c r="BU168" i="12" s="1"/>
  <c r="BV168" i="12" s="1"/>
  <c r="BW168" i="12" s="1"/>
  <c r="BX168" i="12" s="1"/>
  <c r="BY168" i="12" s="1"/>
  <c r="BZ168" i="12" s="1"/>
  <c r="CA168" i="12" s="1"/>
  <c r="CB168" i="12" s="1"/>
  <c r="CC168" i="12" s="1"/>
  <c r="CD168" i="12" s="1"/>
  <c r="CE168" i="12" s="1"/>
  <c r="CF168" i="12" s="1"/>
  <c r="CG168" i="12" s="1"/>
  <c r="CH168" i="12" s="1"/>
  <c r="CI168" i="12" s="1"/>
  <c r="CJ168" i="12" s="1"/>
  <c r="CK168" i="12" s="1"/>
  <c r="CL168" i="12" s="1"/>
  <c r="CM168" i="12" s="1"/>
  <c r="CN168" i="12" s="1"/>
  <c r="CO168" i="12" s="1"/>
  <c r="CP168" i="12" s="1"/>
  <c r="CQ168" i="12" s="1"/>
  <c r="CR168" i="12" s="1"/>
  <c r="CS168" i="12" s="1"/>
  <c r="CT168" i="12" s="1"/>
  <c r="CU168" i="12" s="1"/>
  <c r="CV168" i="12" s="1"/>
  <c r="CW168" i="12" s="1"/>
  <c r="CX168" i="12" s="1"/>
  <c r="CY168" i="12" s="1"/>
  <c r="CZ168" i="12" s="1"/>
  <c r="E192" i="12"/>
  <c r="C182" i="12"/>
  <c r="E63" i="12"/>
  <c r="I94" i="12"/>
  <c r="I93" i="12"/>
  <c r="K93" i="12" s="1"/>
  <c r="I92" i="12"/>
  <c r="K92" i="12" s="1"/>
  <c r="I91" i="12"/>
  <c r="K91" i="12" s="1"/>
  <c r="I88" i="12"/>
  <c r="U94" i="12"/>
  <c r="U93" i="12"/>
  <c r="U92" i="12"/>
  <c r="U91" i="12"/>
  <c r="U90" i="12"/>
  <c r="U89" i="12"/>
  <c r="U88" i="12"/>
  <c r="Z93" i="12"/>
  <c r="Z94" i="12"/>
  <c r="Z92" i="12"/>
  <c r="Z91" i="12"/>
  <c r="Z88" i="12"/>
  <c r="F19" i="12"/>
  <c r="D149" i="12"/>
  <c r="S10" i="12"/>
  <c r="R10" i="12"/>
  <c r="E74" i="12"/>
  <c r="D61" i="1" s="1"/>
  <c r="G10" i="12"/>
  <c r="K10" i="12"/>
  <c r="D27" i="1"/>
  <c r="C10" i="19"/>
  <c r="P10" i="19"/>
  <c r="I10" i="19"/>
  <c r="P5" i="19"/>
  <c r="I5" i="19"/>
  <c r="B4" i="19"/>
  <c r="P4" i="19" s="1"/>
  <c r="P3" i="19"/>
  <c r="I3" i="19"/>
  <c r="P48" i="18"/>
  <c r="P38" i="18"/>
  <c r="P28" i="18"/>
  <c r="P18" i="18"/>
  <c r="P8" i="18"/>
  <c r="I48" i="18"/>
  <c r="I38" i="18"/>
  <c r="I28" i="18"/>
  <c r="I18" i="18"/>
  <c r="I8" i="18"/>
  <c r="C48" i="18"/>
  <c r="C38" i="18"/>
  <c r="C28" i="18"/>
  <c r="J10" i="19"/>
  <c r="Q10" i="19"/>
  <c r="C18" i="18"/>
  <c r="C8" i="18"/>
  <c r="I5" i="18"/>
  <c r="P5" i="18"/>
  <c r="P4" i="18"/>
  <c r="I3" i="18"/>
  <c r="P3" i="18"/>
  <c r="J18" i="18"/>
  <c r="Q48" i="18"/>
  <c r="Q28" i="18"/>
  <c r="Q38" i="18"/>
  <c r="J8" i="18"/>
  <c r="J48" i="18"/>
  <c r="J28" i="18"/>
  <c r="J38" i="18"/>
  <c r="Q18" i="18"/>
  <c r="Q8" i="18"/>
  <c r="I4" i="18"/>
  <c r="F78" i="1"/>
  <c r="H40" i="9"/>
  <c r="F126" i="1"/>
  <c r="G126" i="1"/>
  <c r="K94" i="12"/>
  <c r="E16" i="1"/>
  <c r="E37" i="1" s="1"/>
  <c r="AJ5" i="15"/>
  <c r="AJ3" i="15"/>
  <c r="F118" i="1"/>
  <c r="F77" i="1"/>
  <c r="F76" i="1"/>
  <c r="F71" i="1"/>
  <c r="F70" i="1"/>
  <c r="S5" i="15"/>
  <c r="B4" i="15"/>
  <c r="AJ4" i="15" s="1"/>
  <c r="S3" i="15"/>
  <c r="F110" i="1"/>
  <c r="G110" i="1"/>
  <c r="F109" i="1"/>
  <c r="G109" i="1"/>
  <c r="D59" i="1"/>
  <c r="F79" i="1"/>
  <c r="F73" i="1"/>
  <c r="F72" i="1"/>
  <c r="F67" i="1"/>
  <c r="F66" i="1"/>
  <c r="F65" i="1"/>
  <c r="F64" i="1"/>
  <c r="N23" i="16"/>
  <c r="A38" i="16"/>
  <c r="C196" i="12"/>
  <c r="F179" i="12"/>
  <c r="G179" i="12"/>
  <c r="H179" i="12" s="1"/>
  <c r="I179" i="12" s="1"/>
  <c r="J179" i="12" s="1"/>
  <c r="K179" i="12" s="1"/>
  <c r="L179" i="12" s="1"/>
  <c r="M179" i="12" s="1"/>
  <c r="N179" i="12" s="1"/>
  <c r="O179" i="12" s="1"/>
  <c r="P179" i="12" s="1"/>
  <c r="Q179" i="12" s="1"/>
  <c r="R179" i="12" s="1"/>
  <c r="S179" i="12" s="1"/>
  <c r="T179" i="12" s="1"/>
  <c r="U179" i="12" s="1"/>
  <c r="V179" i="12" s="1"/>
  <c r="W179" i="12" s="1"/>
  <c r="X179" i="12" s="1"/>
  <c r="Y179" i="12" s="1"/>
  <c r="Z179" i="12" s="1"/>
  <c r="AA179" i="12" s="1"/>
  <c r="AB179" i="12" s="1"/>
  <c r="AC179" i="12" s="1"/>
  <c r="AD179" i="12" s="1"/>
  <c r="AE179" i="12" s="1"/>
  <c r="AF179" i="12" s="1"/>
  <c r="AG179" i="12" s="1"/>
  <c r="AH179" i="12" s="1"/>
  <c r="AI179" i="12" s="1"/>
  <c r="AJ179" i="12" s="1"/>
  <c r="AK179" i="12" s="1"/>
  <c r="AL179" i="12" s="1"/>
  <c r="AM179" i="12" s="1"/>
  <c r="E178" i="12"/>
  <c r="F178" i="12" s="1"/>
  <c r="G178" i="12" s="1"/>
  <c r="H178" i="12" s="1"/>
  <c r="I178" i="12" s="1"/>
  <c r="J178" i="12" s="1"/>
  <c r="K178" i="12" s="1"/>
  <c r="L178" i="12" s="1"/>
  <c r="M178" i="12" s="1"/>
  <c r="N178" i="12" s="1"/>
  <c r="O178" i="12" s="1"/>
  <c r="P178" i="12" s="1"/>
  <c r="Q178" i="12" s="1"/>
  <c r="R178" i="12" s="1"/>
  <c r="S178" i="12" s="1"/>
  <c r="T178" i="12" s="1"/>
  <c r="U178" i="12" s="1"/>
  <c r="V178" i="12" s="1"/>
  <c r="W178" i="12" s="1"/>
  <c r="X178" i="12" s="1"/>
  <c r="Y178" i="12" s="1"/>
  <c r="Z178" i="12" s="1"/>
  <c r="AA178" i="12" s="1"/>
  <c r="AB178" i="12" s="1"/>
  <c r="AC178" i="12" s="1"/>
  <c r="AD178" i="12" s="1"/>
  <c r="AE178" i="12" s="1"/>
  <c r="AF178" i="12" s="1"/>
  <c r="AG178" i="12" s="1"/>
  <c r="AH178" i="12" s="1"/>
  <c r="AI178" i="12" s="1"/>
  <c r="AJ178" i="12" s="1"/>
  <c r="AK178" i="12" s="1"/>
  <c r="AL178" i="12" s="1"/>
  <c r="AM178" i="12" s="1"/>
  <c r="AN178" i="12" s="1"/>
  <c r="AO178" i="12" s="1"/>
  <c r="AP178" i="12" s="1"/>
  <c r="AQ178" i="12" s="1"/>
  <c r="AR178" i="12" s="1"/>
  <c r="AS178" i="12" s="1"/>
  <c r="AT178" i="12" s="1"/>
  <c r="AU178" i="12" s="1"/>
  <c r="AV178" i="12" s="1"/>
  <c r="AW178" i="12" s="1"/>
  <c r="AX178" i="12" s="1"/>
  <c r="AY178" i="12" s="1"/>
  <c r="AZ178" i="12" s="1"/>
  <c r="BA178" i="12" s="1"/>
  <c r="BB178" i="12" s="1"/>
  <c r="BC178" i="12" s="1"/>
  <c r="BD178" i="12" s="1"/>
  <c r="BE178" i="12" s="1"/>
  <c r="BF178" i="12" s="1"/>
  <c r="BG178" i="12" s="1"/>
  <c r="BH178" i="12" s="1"/>
  <c r="BI178" i="12" s="1"/>
  <c r="BJ178" i="12" s="1"/>
  <c r="BK178" i="12" s="1"/>
  <c r="BL178" i="12" s="1"/>
  <c r="BM178" i="12" s="1"/>
  <c r="BN178" i="12" s="1"/>
  <c r="BO178" i="12" s="1"/>
  <c r="BP178" i="12" s="1"/>
  <c r="BQ178" i="12" s="1"/>
  <c r="BR178" i="12" s="1"/>
  <c r="BS178" i="12" s="1"/>
  <c r="BT178" i="12" s="1"/>
  <c r="BU178" i="12" s="1"/>
  <c r="BV178" i="12" s="1"/>
  <c r="BW178" i="12" s="1"/>
  <c r="BX178" i="12" s="1"/>
  <c r="BY178" i="12" s="1"/>
  <c r="BZ178" i="12" s="1"/>
  <c r="CA178" i="12" s="1"/>
  <c r="CB178" i="12" s="1"/>
  <c r="CC178" i="12" s="1"/>
  <c r="CD178" i="12" s="1"/>
  <c r="CE178" i="12" s="1"/>
  <c r="CF178" i="12" s="1"/>
  <c r="CG178" i="12" s="1"/>
  <c r="CH178" i="12" s="1"/>
  <c r="CI178" i="12" s="1"/>
  <c r="CJ178" i="12" s="1"/>
  <c r="CK178" i="12" s="1"/>
  <c r="CL178" i="12" s="1"/>
  <c r="CM178" i="12" s="1"/>
  <c r="CN178" i="12" s="1"/>
  <c r="CO178" i="12" s="1"/>
  <c r="CP178" i="12" s="1"/>
  <c r="CQ178" i="12" s="1"/>
  <c r="CR178" i="12" s="1"/>
  <c r="CS178" i="12" s="1"/>
  <c r="CT178" i="12" s="1"/>
  <c r="CU178" i="12" s="1"/>
  <c r="CV178" i="12" s="1"/>
  <c r="CW178" i="12" s="1"/>
  <c r="CX178" i="12" s="1"/>
  <c r="CY178" i="12" s="1"/>
  <c r="CZ178" i="12" s="1"/>
  <c r="D58" i="1"/>
  <c r="C26" i="9"/>
  <c r="C23" i="9"/>
  <c r="C24" i="9"/>
  <c r="D17" i="1"/>
  <c r="D18" i="1"/>
  <c r="D28" i="1"/>
  <c r="G28" i="1" s="1"/>
  <c r="E93" i="12"/>
  <c r="E123" i="12" s="1"/>
  <c r="G111" i="1"/>
  <c r="E92" i="12"/>
  <c r="E122" i="12"/>
  <c r="E73" i="12"/>
  <c r="D22" i="1" s="1"/>
  <c r="B119" i="1" s="1"/>
  <c r="E19" i="1"/>
  <c r="E17" i="1"/>
  <c r="K18" i="1" s="1"/>
  <c r="F78" i="12"/>
  <c r="E18" i="1" s="1"/>
  <c r="L11" i="12"/>
  <c r="F154" i="12"/>
  <c r="G154" i="12"/>
  <c r="H154" i="12" s="1"/>
  <c r="I154" i="12" s="1"/>
  <c r="J154" i="12" s="1"/>
  <c r="K154" i="12" s="1"/>
  <c r="L154" i="12" s="1"/>
  <c r="M154" i="12" s="1"/>
  <c r="N154" i="12" s="1"/>
  <c r="O154" i="12" s="1"/>
  <c r="P154" i="12" s="1"/>
  <c r="Q154" i="12" s="1"/>
  <c r="R154" i="12" s="1"/>
  <c r="S154" i="12" s="1"/>
  <c r="T154" i="12" s="1"/>
  <c r="U154" i="12" s="1"/>
  <c r="V154" i="12" s="1"/>
  <c r="W154" i="12" s="1"/>
  <c r="X154" i="12" s="1"/>
  <c r="Y154" i="12" s="1"/>
  <c r="Z154" i="12" s="1"/>
  <c r="AA154" i="12" s="1"/>
  <c r="AB154" i="12" s="1"/>
  <c r="AC154" i="12" s="1"/>
  <c r="AD154" i="12" s="1"/>
  <c r="AE154" i="12" s="1"/>
  <c r="AF154" i="12" s="1"/>
  <c r="AG154" i="12" s="1"/>
  <c r="AH154" i="12" s="1"/>
  <c r="AI154" i="12" s="1"/>
  <c r="AJ154" i="12" s="1"/>
  <c r="AK154" i="12" s="1"/>
  <c r="AL154" i="12" s="1"/>
  <c r="AM154" i="12" s="1"/>
  <c r="AN154" i="12" s="1"/>
  <c r="AO154" i="12" s="1"/>
  <c r="AP154" i="12" s="1"/>
  <c r="AQ154" i="12" s="1"/>
  <c r="AR154" i="12" s="1"/>
  <c r="AS154" i="12" s="1"/>
  <c r="AT154" i="12" s="1"/>
  <c r="AU154" i="12" s="1"/>
  <c r="AV154" i="12" s="1"/>
  <c r="AW154" i="12" s="1"/>
  <c r="AX154" i="12" s="1"/>
  <c r="AY154" i="12" s="1"/>
  <c r="AZ154" i="12" s="1"/>
  <c r="BA154" i="12" s="1"/>
  <c r="BB154" i="12" s="1"/>
  <c r="BC154" i="12" s="1"/>
  <c r="BD154" i="12" s="1"/>
  <c r="BE154" i="12" s="1"/>
  <c r="BF154" i="12" s="1"/>
  <c r="BG154" i="12" s="1"/>
  <c r="BH154" i="12" s="1"/>
  <c r="BI154" i="12" s="1"/>
  <c r="BJ154" i="12" s="1"/>
  <c r="BK154" i="12" s="1"/>
  <c r="BL154" i="12" s="1"/>
  <c r="BM154" i="12" s="1"/>
  <c r="BN154" i="12" s="1"/>
  <c r="BO154" i="12" s="1"/>
  <c r="BP154" i="12" s="1"/>
  <c r="BQ154" i="12" s="1"/>
  <c r="BR154" i="12" s="1"/>
  <c r="BS154" i="12" s="1"/>
  <c r="BT154" i="12" s="1"/>
  <c r="BU154" i="12" s="1"/>
  <c r="BV154" i="12" s="1"/>
  <c r="BW154" i="12" s="1"/>
  <c r="BX154" i="12" s="1"/>
  <c r="BY154" i="12" s="1"/>
  <c r="BZ154" i="12" s="1"/>
  <c r="CA154" i="12" s="1"/>
  <c r="CB154" i="12" s="1"/>
  <c r="CC154" i="12" s="1"/>
  <c r="CD154" i="12" s="1"/>
  <c r="CE154" i="12" s="1"/>
  <c r="CF154" i="12" s="1"/>
  <c r="CG154" i="12" s="1"/>
  <c r="CH154" i="12" s="1"/>
  <c r="CI154" i="12" s="1"/>
  <c r="CJ154" i="12" s="1"/>
  <c r="CK154" i="12" s="1"/>
  <c r="CL154" i="12" s="1"/>
  <c r="CM154" i="12" s="1"/>
  <c r="CN154" i="12" s="1"/>
  <c r="CO154" i="12" s="1"/>
  <c r="CP154" i="12" s="1"/>
  <c r="CQ154" i="12" s="1"/>
  <c r="CR154" i="12" s="1"/>
  <c r="CS154" i="12" s="1"/>
  <c r="CT154" i="12" s="1"/>
  <c r="CU154" i="12" s="1"/>
  <c r="CV154" i="12" s="1"/>
  <c r="CW154" i="12" s="1"/>
  <c r="CX154" i="12" s="1"/>
  <c r="CY154" i="12" s="1"/>
  <c r="CZ154" i="12" s="1"/>
  <c r="E153" i="12"/>
  <c r="F153" i="12" s="1"/>
  <c r="G153" i="12" s="1"/>
  <c r="H153" i="12" s="1"/>
  <c r="I153" i="12" s="1"/>
  <c r="J153" i="12" s="1"/>
  <c r="K153" i="12" s="1"/>
  <c r="L153" i="12" s="1"/>
  <c r="M153" i="12" s="1"/>
  <c r="N153" i="12" s="1"/>
  <c r="O153" i="12" s="1"/>
  <c r="P153" i="12" s="1"/>
  <c r="Q153" i="12" s="1"/>
  <c r="R153" i="12" s="1"/>
  <c r="S153" i="12" s="1"/>
  <c r="T153" i="12" s="1"/>
  <c r="U153" i="12" s="1"/>
  <c r="V153" i="12" s="1"/>
  <c r="W153" i="12" s="1"/>
  <c r="X153" i="12" s="1"/>
  <c r="Y153" i="12" s="1"/>
  <c r="Z153" i="12" s="1"/>
  <c r="AA153" i="12" s="1"/>
  <c r="AB153" i="12" s="1"/>
  <c r="AC153" i="12" s="1"/>
  <c r="AD153" i="12" s="1"/>
  <c r="AE153" i="12" s="1"/>
  <c r="AF153" i="12" s="1"/>
  <c r="AG153" i="12" s="1"/>
  <c r="AH153" i="12" s="1"/>
  <c r="AI153" i="12" s="1"/>
  <c r="AJ153" i="12" s="1"/>
  <c r="AK153" i="12" s="1"/>
  <c r="AL153" i="12" s="1"/>
  <c r="AM153" i="12" s="1"/>
  <c r="AN153" i="12" s="1"/>
  <c r="AO153" i="12" s="1"/>
  <c r="AP153" i="12" s="1"/>
  <c r="AQ153" i="12" s="1"/>
  <c r="AR153" i="12" s="1"/>
  <c r="AS153" i="12" s="1"/>
  <c r="AT153" i="12" s="1"/>
  <c r="AU153" i="12" s="1"/>
  <c r="AV153" i="12" s="1"/>
  <c r="AW153" i="12" s="1"/>
  <c r="AX153" i="12" s="1"/>
  <c r="AY153" i="12" s="1"/>
  <c r="AZ153" i="12" s="1"/>
  <c r="BA153" i="12" s="1"/>
  <c r="BB153" i="12" s="1"/>
  <c r="BC153" i="12" s="1"/>
  <c r="BD153" i="12" s="1"/>
  <c r="BE153" i="12" s="1"/>
  <c r="BF153" i="12" s="1"/>
  <c r="BG153" i="12" s="1"/>
  <c r="BH153" i="12" s="1"/>
  <c r="BI153" i="12" s="1"/>
  <c r="BJ153" i="12" s="1"/>
  <c r="BK153" i="12" s="1"/>
  <c r="BL153" i="12" s="1"/>
  <c r="BM153" i="12" s="1"/>
  <c r="BN153" i="12" s="1"/>
  <c r="BO153" i="12" s="1"/>
  <c r="BP153" i="12" s="1"/>
  <c r="BQ153" i="12" s="1"/>
  <c r="BR153" i="12" s="1"/>
  <c r="BS153" i="12" s="1"/>
  <c r="BT153" i="12" s="1"/>
  <c r="BU153" i="12" s="1"/>
  <c r="BV153" i="12" s="1"/>
  <c r="BW153" i="12" s="1"/>
  <c r="BX153" i="12" s="1"/>
  <c r="BY153" i="12" s="1"/>
  <c r="BZ153" i="12" s="1"/>
  <c r="CA153" i="12" s="1"/>
  <c r="CB153" i="12" s="1"/>
  <c r="CC153" i="12" s="1"/>
  <c r="CD153" i="12" s="1"/>
  <c r="CE153" i="12" s="1"/>
  <c r="CF153" i="12" s="1"/>
  <c r="CG153" i="12" s="1"/>
  <c r="CH153" i="12" s="1"/>
  <c r="CI153" i="12" s="1"/>
  <c r="CJ153" i="12" s="1"/>
  <c r="CK153" i="12" s="1"/>
  <c r="CL153" i="12" s="1"/>
  <c r="CM153" i="12" s="1"/>
  <c r="CN153" i="12" s="1"/>
  <c r="CO153" i="12" s="1"/>
  <c r="CP153" i="12" s="1"/>
  <c r="CQ153" i="12" s="1"/>
  <c r="CR153" i="12" s="1"/>
  <c r="CS153" i="12" s="1"/>
  <c r="CT153" i="12" s="1"/>
  <c r="CU153" i="12" s="1"/>
  <c r="CV153" i="12" s="1"/>
  <c r="CW153" i="12" s="1"/>
  <c r="CX153" i="12" s="1"/>
  <c r="CY153" i="12" s="1"/>
  <c r="CZ153" i="12" s="1"/>
  <c r="F114" i="12"/>
  <c r="E113" i="12"/>
  <c r="F113" i="12" s="1"/>
  <c r="G113" i="12" s="1"/>
  <c r="H113" i="12" s="1"/>
  <c r="I113" i="12" s="1"/>
  <c r="J113" i="12" s="1"/>
  <c r="K113" i="12" s="1"/>
  <c r="L113" i="12" s="1"/>
  <c r="M113" i="12" s="1"/>
  <c r="N113" i="12" s="1"/>
  <c r="O113" i="12" s="1"/>
  <c r="P113" i="12" s="1"/>
  <c r="Q113" i="12" s="1"/>
  <c r="R113" i="12" s="1"/>
  <c r="S113" i="12" s="1"/>
  <c r="T113" i="12" s="1"/>
  <c r="U113" i="12" s="1"/>
  <c r="V113" i="12" s="1"/>
  <c r="W113" i="12" s="1"/>
  <c r="X113" i="12" s="1"/>
  <c r="Y113" i="12" s="1"/>
  <c r="Z113" i="12" s="1"/>
  <c r="AA113" i="12" s="1"/>
  <c r="AB113" i="12" s="1"/>
  <c r="AC113" i="12" s="1"/>
  <c r="AD113" i="12" s="1"/>
  <c r="AE113" i="12" s="1"/>
  <c r="AF113" i="12" s="1"/>
  <c r="AG113" i="12" s="1"/>
  <c r="AH113" i="12" s="1"/>
  <c r="AI113" i="12" s="1"/>
  <c r="AJ113" i="12" s="1"/>
  <c r="AK113" i="12" s="1"/>
  <c r="AL113" i="12" s="1"/>
  <c r="AM113" i="12" s="1"/>
  <c r="AN113" i="12" s="1"/>
  <c r="AO113" i="12" s="1"/>
  <c r="AP113" i="12" s="1"/>
  <c r="AQ113" i="12" s="1"/>
  <c r="AR113" i="12" s="1"/>
  <c r="AS113" i="12" s="1"/>
  <c r="AT113" i="12" s="1"/>
  <c r="AU113" i="12" s="1"/>
  <c r="AV113" i="12" s="1"/>
  <c r="AW113" i="12" s="1"/>
  <c r="AX113" i="12" s="1"/>
  <c r="AY113" i="12" s="1"/>
  <c r="AZ113" i="12" s="1"/>
  <c r="BA113" i="12" s="1"/>
  <c r="BB113" i="12" s="1"/>
  <c r="BC113" i="12" s="1"/>
  <c r="BD113" i="12" s="1"/>
  <c r="BE113" i="12" s="1"/>
  <c r="BF113" i="12" s="1"/>
  <c r="BG113" i="12" s="1"/>
  <c r="BH113" i="12" s="1"/>
  <c r="BI113" i="12" s="1"/>
  <c r="BJ113" i="12" s="1"/>
  <c r="BK113" i="12" s="1"/>
  <c r="BL113" i="12" s="1"/>
  <c r="BM113" i="12" s="1"/>
  <c r="BN113" i="12" s="1"/>
  <c r="BO113" i="12" s="1"/>
  <c r="BP113" i="12" s="1"/>
  <c r="BQ113" i="12" s="1"/>
  <c r="BR113" i="12" s="1"/>
  <c r="BS113" i="12" s="1"/>
  <c r="BT113" i="12" s="1"/>
  <c r="BU113" i="12" s="1"/>
  <c r="BV113" i="12" s="1"/>
  <c r="BW113" i="12" s="1"/>
  <c r="BX113" i="12" s="1"/>
  <c r="BY113" i="12" s="1"/>
  <c r="BZ113" i="12" s="1"/>
  <c r="CA113" i="12" s="1"/>
  <c r="CB113" i="12" s="1"/>
  <c r="CC113" i="12" s="1"/>
  <c r="CD113" i="12" s="1"/>
  <c r="CE113" i="12" s="1"/>
  <c r="CF113" i="12" s="1"/>
  <c r="CG113" i="12" s="1"/>
  <c r="CH113" i="12" s="1"/>
  <c r="CI113" i="12" s="1"/>
  <c r="CJ113" i="12" s="1"/>
  <c r="CK113" i="12" s="1"/>
  <c r="CL113" i="12" s="1"/>
  <c r="CM113" i="12" s="1"/>
  <c r="CN113" i="12" s="1"/>
  <c r="CO113" i="12" s="1"/>
  <c r="CP113" i="12" s="1"/>
  <c r="CQ113" i="12" s="1"/>
  <c r="CR113" i="12" s="1"/>
  <c r="CS113" i="12" s="1"/>
  <c r="CT113" i="12" s="1"/>
  <c r="CU113" i="12" s="1"/>
  <c r="CV113" i="12" s="1"/>
  <c r="CW113" i="12" s="1"/>
  <c r="CX113" i="12" s="1"/>
  <c r="CY113" i="12" s="1"/>
  <c r="CZ113" i="12" s="1"/>
  <c r="E64" i="12"/>
  <c r="E156" i="12" s="1"/>
  <c r="K89" i="12"/>
  <c r="K88" i="12"/>
  <c r="F106" i="12"/>
  <c r="F109" i="12" s="1"/>
  <c r="F122" i="12"/>
  <c r="G114" i="12"/>
  <c r="E128" i="12"/>
  <c r="E105" i="12"/>
  <c r="E108" i="12" s="1"/>
  <c r="F10" i="12" s="1"/>
  <c r="D116" i="1"/>
  <c r="D117" i="1"/>
  <c r="J12" i="9"/>
  <c r="S12" i="9"/>
  <c r="J13" i="9"/>
  <c r="S13" i="9"/>
  <c r="J14" i="9"/>
  <c r="S14" i="9"/>
  <c r="J15" i="9"/>
  <c r="S15" i="9"/>
  <c r="J16" i="9"/>
  <c r="S16" i="9"/>
  <c r="J11" i="9"/>
  <c r="S11" i="9"/>
  <c r="I12" i="9"/>
  <c r="R12" i="9"/>
  <c r="I13" i="9"/>
  <c r="R13" i="9"/>
  <c r="I14" i="9"/>
  <c r="R14" i="9"/>
  <c r="I15" i="9"/>
  <c r="R15" i="9"/>
  <c r="I16" i="9"/>
  <c r="R16" i="9"/>
  <c r="I11" i="9"/>
  <c r="R11" i="9"/>
  <c r="K17" i="1"/>
  <c r="G127" i="12"/>
  <c r="E69" i="12"/>
  <c r="G128" i="12"/>
  <c r="E72" i="12" l="1"/>
  <c r="E70" i="12"/>
  <c r="F123" i="12"/>
  <c r="E126" i="12"/>
  <c r="F126" i="12"/>
  <c r="S4" i="15"/>
  <c r="I4" i="19"/>
  <c r="AM190" i="12"/>
  <c r="AM186" i="12"/>
  <c r="AN179" i="12"/>
  <c r="G122" i="12"/>
  <c r="G126" i="12"/>
  <c r="G132" i="12" s="1"/>
  <c r="G123" i="12"/>
  <c r="H114" i="12"/>
  <c r="G156" i="12"/>
  <c r="G174" i="12" s="1"/>
  <c r="F128" i="12"/>
  <c r="F127" i="12"/>
  <c r="E66" i="12"/>
  <c r="E65" i="12"/>
  <c r="G106" i="12"/>
  <c r="E158" i="12"/>
  <c r="F105" i="12"/>
  <c r="K11" i="12"/>
  <c r="R11" i="12"/>
  <c r="F156" i="12"/>
  <c r="F173" i="12" s="1"/>
  <c r="E157" i="12"/>
  <c r="E174" i="12"/>
  <c r="E173" i="12"/>
  <c r="E127" i="12"/>
  <c r="D16" i="1"/>
  <c r="D26" i="1"/>
  <c r="G26" i="1" s="1"/>
  <c r="L92" i="15"/>
  <c r="S31" i="18"/>
  <c r="L86" i="15"/>
  <c r="C35" i="15"/>
  <c r="D44" i="15"/>
  <c r="S15" i="18"/>
  <c r="AL30" i="15"/>
  <c r="G90" i="15"/>
  <c r="M89" i="15"/>
  <c r="E32" i="18"/>
  <c r="E27" i="15"/>
  <c r="AT43" i="15"/>
  <c r="T26" i="18"/>
  <c r="AN32" i="15"/>
  <c r="D16" i="18"/>
  <c r="L32" i="15"/>
  <c r="Q15" i="18"/>
  <c r="F13" i="15"/>
  <c r="D29" i="15"/>
  <c r="J90" i="15"/>
  <c r="S46" i="18"/>
  <c r="Q16" i="19"/>
  <c r="M31" i="18"/>
  <c r="E35" i="18"/>
  <c r="AO87" i="15"/>
  <c r="P56" i="18"/>
  <c r="AR61" i="15"/>
  <c r="C95" i="15"/>
  <c r="T17" i="19"/>
  <c r="I54" i="18"/>
  <c r="C56" i="18"/>
  <c r="AR87" i="15"/>
  <c r="B22" i="18"/>
  <c r="S52" i="18"/>
  <c r="R53" i="18"/>
  <c r="AP41" i="15"/>
  <c r="R54" i="18"/>
  <c r="N12" i="15"/>
  <c r="F27" i="15"/>
  <c r="H79" i="15"/>
  <c r="AQ13" i="15"/>
  <c r="AJ34" i="15"/>
  <c r="M15" i="15"/>
  <c r="S21" i="18"/>
  <c r="K44" i="18"/>
  <c r="N61" i="15"/>
  <c r="I19" i="15"/>
  <c r="F11" i="18"/>
  <c r="I27" i="15"/>
  <c r="AT87" i="15"/>
  <c r="P13" i="19"/>
  <c r="AO92" i="15"/>
  <c r="L57" i="15"/>
  <c r="AP86" i="15"/>
  <c r="K61" i="15"/>
  <c r="AJ64" i="15"/>
  <c r="AJ31" i="15"/>
  <c r="J93" i="15"/>
  <c r="I52" i="18"/>
  <c r="AK86" i="15"/>
  <c r="E55" i="18"/>
  <c r="AQ43" i="15"/>
  <c r="H20" i="15"/>
  <c r="AQ57" i="15"/>
  <c r="AJ42" i="15"/>
  <c r="AM27" i="15"/>
  <c r="D45" i="18"/>
  <c r="AO65" i="15"/>
  <c r="AR88" i="15"/>
  <c r="R34" i="18"/>
  <c r="D35" i="15"/>
  <c r="AQ73" i="15"/>
  <c r="E14" i="15"/>
  <c r="L76" i="15"/>
  <c r="P54" i="18"/>
  <c r="J76" i="15"/>
  <c r="E44" i="18"/>
  <c r="C21" i="18"/>
  <c r="AP56" i="15"/>
  <c r="AL86" i="15"/>
  <c r="AJ35" i="15"/>
  <c r="AN18" i="15"/>
  <c r="AR90" i="15"/>
  <c r="AK13" i="15"/>
  <c r="E80" i="15"/>
  <c r="I26" i="18"/>
  <c r="AV48" i="15"/>
  <c r="D31" i="18"/>
  <c r="I13" i="18"/>
  <c r="I18" i="15"/>
  <c r="L36" i="18"/>
  <c r="AL89" i="15"/>
  <c r="F44" i="18"/>
  <c r="Q26" i="18"/>
  <c r="F86" i="15"/>
  <c r="AO12" i="15"/>
  <c r="B90" i="15"/>
  <c r="AS44" i="15"/>
  <c r="AJ47" i="15"/>
  <c r="AU31" i="15"/>
  <c r="AU45" i="15"/>
  <c r="AN42" i="15"/>
  <c r="AR33" i="15"/>
  <c r="AV49" i="15"/>
  <c r="K79" i="15"/>
  <c r="F145" i="12"/>
  <c r="C18" i="19"/>
  <c r="C32" i="18"/>
  <c r="AJ58" i="15"/>
  <c r="AK12" i="15"/>
  <c r="B44" i="18"/>
  <c r="F49" i="15"/>
  <c r="D45" i="15"/>
  <c r="K49" i="15"/>
  <c r="N16" i="15"/>
  <c r="L33" i="18"/>
  <c r="H34" i="15"/>
  <c r="AJ26" i="15"/>
  <c r="H92" i="15"/>
  <c r="G60" i="15"/>
  <c r="B59" i="15"/>
  <c r="C46" i="18"/>
  <c r="M15" i="18"/>
  <c r="AT89" i="15"/>
  <c r="J11" i="18"/>
  <c r="F42" i="15"/>
  <c r="R32" i="18"/>
  <c r="AL79" i="15"/>
  <c r="M78" i="15"/>
  <c r="E147" i="12"/>
  <c r="Q21" i="18"/>
  <c r="D71" i="15"/>
  <c r="F52" i="18"/>
  <c r="AQ65" i="15"/>
  <c r="AN74" i="15"/>
  <c r="AL91" i="15"/>
  <c r="L31" i="18"/>
  <c r="D90" i="15"/>
  <c r="N65" i="15"/>
  <c r="F11" i="15"/>
  <c r="AS56" i="15"/>
  <c r="M75" i="15"/>
  <c r="J35" i="15"/>
  <c r="N32" i="15"/>
  <c r="F45" i="15"/>
  <c r="P26" i="18"/>
  <c r="I36" i="18"/>
  <c r="B13" i="15"/>
  <c r="K88" i="15"/>
  <c r="N44" i="15"/>
  <c r="H61" i="15"/>
  <c r="F43" i="15"/>
  <c r="J65" i="15"/>
  <c r="AS47" i="15"/>
  <c r="P34" i="18"/>
  <c r="H32" i="15"/>
  <c r="AP30" i="15"/>
  <c r="AT32" i="15"/>
  <c r="D46" i="15"/>
  <c r="C92" i="15"/>
  <c r="F28" i="15"/>
  <c r="AQ76" i="15"/>
  <c r="Q16" i="18"/>
  <c r="AT44" i="15"/>
  <c r="I45" i="18"/>
  <c r="B56" i="18"/>
  <c r="AO34" i="15"/>
  <c r="E95" i="15"/>
  <c r="AM89" i="15"/>
  <c r="AQ44" i="15"/>
  <c r="C15" i="15"/>
  <c r="AS63" i="15"/>
  <c r="AO43" i="15"/>
  <c r="H17" i="15"/>
  <c r="T14" i="18"/>
  <c r="E65" i="15"/>
  <c r="AU33" i="15"/>
  <c r="AR43" i="15"/>
  <c r="AM92" i="15"/>
  <c r="S16" i="18"/>
  <c r="AS43" i="15"/>
  <c r="C20" i="15"/>
  <c r="F15" i="18"/>
  <c r="AV29" i="15"/>
  <c r="G148" i="12"/>
  <c r="H29" i="15"/>
  <c r="I16" i="18"/>
  <c r="N15" i="15"/>
  <c r="AU20" i="15"/>
  <c r="AO76" i="15"/>
  <c r="N88" i="15"/>
  <c r="AT94" i="15"/>
  <c r="J32" i="18"/>
  <c r="AJ90" i="15"/>
  <c r="I15" i="15"/>
  <c r="AJ32" i="15"/>
  <c r="AM20" i="15"/>
  <c r="AK65" i="15"/>
  <c r="F94" i="15"/>
  <c r="I45" i="15"/>
  <c r="B32" i="18"/>
  <c r="AV46" i="15"/>
  <c r="B17" i="19"/>
  <c r="E22" i="18"/>
  <c r="AP19" i="15"/>
  <c r="AR58" i="15"/>
  <c r="AP44" i="15"/>
  <c r="F17" i="15"/>
  <c r="J31" i="18"/>
  <c r="J23" i="18"/>
  <c r="AM28" i="15"/>
  <c r="E77" i="15"/>
  <c r="D33" i="18"/>
  <c r="AQ17" i="15"/>
  <c r="AU93" i="15"/>
  <c r="AK11" i="15"/>
  <c r="E56" i="15"/>
  <c r="AM88" i="15"/>
  <c r="F41" i="18"/>
  <c r="F88" i="15"/>
  <c r="AO47" i="15"/>
  <c r="AP35" i="15"/>
  <c r="D13" i="15"/>
  <c r="F47" i="15"/>
  <c r="AK19" i="15"/>
  <c r="S25" i="18"/>
  <c r="Q12" i="18"/>
  <c r="AP80" i="15"/>
  <c r="AS74" i="15"/>
  <c r="L42" i="15"/>
  <c r="AP93" i="15"/>
  <c r="AU41" i="15"/>
  <c r="J12" i="15"/>
  <c r="AM71" i="15"/>
  <c r="AU16" i="15"/>
  <c r="AU12" i="15"/>
  <c r="AK60" i="15"/>
  <c r="AS65" i="15"/>
  <c r="D14" i="19"/>
  <c r="D65" i="15"/>
  <c r="AJ29" i="15"/>
  <c r="AL95" i="15"/>
  <c r="N78" i="15"/>
  <c r="N19" i="15"/>
  <c r="AU11" i="15"/>
  <c r="E57" i="15"/>
  <c r="AM75" i="15"/>
  <c r="E92" i="15"/>
  <c r="H18" i="15"/>
  <c r="AT78" i="15"/>
  <c r="D14" i="15"/>
  <c r="C93" i="15"/>
  <c r="C17" i="15"/>
  <c r="E41" i="18"/>
  <c r="AV93" i="15"/>
  <c r="AK34" i="15"/>
  <c r="D93" i="15"/>
  <c r="F72" i="15"/>
  <c r="D17" i="15"/>
  <c r="G43" i="15"/>
  <c r="T13" i="18"/>
  <c r="J13" i="1"/>
  <c r="D12" i="18"/>
  <c r="AM32" i="15"/>
  <c r="AQ20" i="15"/>
  <c r="R13" i="18"/>
  <c r="B34" i="18"/>
  <c r="L42" i="18"/>
  <c r="C14" i="15"/>
  <c r="AL42" i="15"/>
  <c r="AT35" i="15"/>
  <c r="C50" i="15"/>
  <c r="AU76" i="15"/>
  <c r="L75" i="15"/>
  <c r="J41" i="18"/>
  <c r="D76" i="15"/>
  <c r="K13" i="18"/>
  <c r="H16" i="15"/>
  <c r="M63" i="15"/>
  <c r="H87" i="15"/>
  <c r="AS17" i="15"/>
  <c r="AR14" i="15"/>
  <c r="AV19" i="15"/>
  <c r="B46" i="18"/>
  <c r="J62" i="15"/>
  <c r="AJ56" i="15"/>
  <c r="AM79" i="15"/>
  <c r="D72" i="15"/>
  <c r="AK59" i="15"/>
  <c r="H89" i="15"/>
  <c r="M54" i="18"/>
  <c r="I47" i="15"/>
  <c r="T45" i="18"/>
  <c r="AV76" i="15"/>
  <c r="C16" i="15"/>
  <c r="E61" i="15"/>
  <c r="S44" i="18"/>
  <c r="AL90" i="15"/>
  <c r="F14" i="15"/>
  <c r="E14" i="18"/>
  <c r="AL34" i="15"/>
  <c r="E56" i="18"/>
  <c r="AT11" i="15"/>
  <c r="AQ47" i="15"/>
  <c r="J26" i="18"/>
  <c r="Q31" i="18"/>
  <c r="I42" i="15"/>
  <c r="N58" i="15"/>
  <c r="AO57" i="15"/>
  <c r="K11" i="18"/>
  <c r="B30" i="15"/>
  <c r="B16" i="15"/>
  <c r="R16" i="18"/>
  <c r="P52" i="18"/>
  <c r="C46" i="15"/>
  <c r="P43" i="18"/>
  <c r="K34" i="15"/>
  <c r="H88" i="15"/>
  <c r="AJ79" i="15"/>
  <c r="D35" i="18"/>
  <c r="AJ63" i="15"/>
  <c r="K80" i="15"/>
  <c r="M43" i="18"/>
  <c r="AR57" i="15"/>
  <c r="M31" i="15"/>
  <c r="AM45" i="15"/>
  <c r="M91" i="15"/>
  <c r="L54" i="18"/>
  <c r="G74" i="15"/>
  <c r="AR31" i="15"/>
  <c r="AJ72" i="15"/>
  <c r="AU42" i="15"/>
  <c r="AO35" i="15"/>
  <c r="B25" i="18"/>
  <c r="S32" i="18"/>
  <c r="AO95" i="15"/>
  <c r="J32" i="15"/>
  <c r="J56" i="15"/>
  <c r="K18" i="15"/>
  <c r="P35" i="18"/>
  <c r="AR35" i="15"/>
  <c r="F35" i="18"/>
  <c r="AJ88" i="15"/>
  <c r="AQ29" i="15"/>
  <c r="D30" i="15"/>
  <c r="M43" i="15"/>
  <c r="C80" i="15"/>
  <c r="AM93" i="15"/>
  <c r="D19" i="15"/>
  <c r="M57" i="15"/>
  <c r="AO90" i="15"/>
  <c r="Q35" i="18"/>
  <c r="B16" i="19"/>
  <c r="AT77" i="15"/>
  <c r="Q32" i="18"/>
  <c r="C77" i="15"/>
  <c r="AN19" i="15"/>
  <c r="D41" i="15"/>
  <c r="AS32" i="15"/>
  <c r="S24" i="18"/>
  <c r="F56" i="18"/>
  <c r="AO16" i="15"/>
  <c r="AK49" i="15"/>
  <c r="E12" i="18"/>
  <c r="H78" i="15"/>
  <c r="B55" i="18"/>
  <c r="J59" i="15"/>
  <c r="AV87" i="15"/>
  <c r="I25" i="18"/>
  <c r="J55" i="18"/>
  <c r="N28" i="15"/>
  <c r="AL78" i="15"/>
  <c r="K47" i="15"/>
  <c r="K45" i="18"/>
  <c r="AJ92" i="15"/>
  <c r="AS45" i="15"/>
  <c r="T35" i="18"/>
  <c r="AP73" i="15"/>
  <c r="B52" i="18"/>
  <c r="AV56" i="15"/>
  <c r="AM44" i="15"/>
  <c r="AN75" i="15"/>
  <c r="AU47" i="15"/>
  <c r="M26" i="15"/>
  <c r="B45" i="15"/>
  <c r="G31" i="15"/>
  <c r="AN73" i="15"/>
  <c r="AL64" i="15"/>
  <c r="D77" i="15"/>
  <c r="K24" i="18"/>
  <c r="E31" i="15"/>
  <c r="H58" i="15"/>
  <c r="D14" i="18"/>
  <c r="B80" i="15"/>
  <c r="E63" i="15"/>
  <c r="AJ28" i="15"/>
  <c r="H42" i="15"/>
  <c r="F16" i="15"/>
  <c r="C47" i="15"/>
  <c r="G88" i="15"/>
  <c r="C11" i="15"/>
  <c r="AS88" i="15"/>
  <c r="AQ64" i="15"/>
  <c r="E13" i="15"/>
  <c r="AQ56" i="15"/>
  <c r="G56" i="15"/>
  <c r="N56" i="15"/>
  <c r="B75" i="15"/>
  <c r="I23" i="18"/>
  <c r="T42" i="18"/>
  <c r="AJ12" i="15"/>
  <c r="D16" i="15"/>
  <c r="P42" i="18"/>
  <c r="AK90" i="15"/>
  <c r="I92" i="15"/>
  <c r="C12" i="15"/>
  <c r="AS92" i="15"/>
  <c r="D33" i="15"/>
  <c r="J60" i="15"/>
  <c r="AQ41" i="15"/>
  <c r="J14" i="15"/>
  <c r="M11" i="15"/>
  <c r="D22" i="18"/>
  <c r="AL43" i="15"/>
  <c r="AP59" i="15"/>
  <c r="F91" i="15"/>
  <c r="J16" i="18"/>
  <c r="G73" i="15"/>
  <c r="I62" i="15"/>
  <c r="C53" i="18"/>
  <c r="AU88" i="15"/>
  <c r="AJ95" i="15"/>
  <c r="C31" i="18"/>
  <c r="AS50" i="15"/>
  <c r="F90" i="15"/>
  <c r="AK47" i="15"/>
  <c r="G11" i="15"/>
  <c r="R41" i="18"/>
  <c r="C57" i="15"/>
  <c r="C15" i="18"/>
  <c r="J33" i="15"/>
  <c r="D18" i="19"/>
  <c r="AL92" i="15"/>
  <c r="E90" i="15"/>
  <c r="M45" i="15"/>
  <c r="AU57" i="15"/>
  <c r="E13" i="18"/>
  <c r="AQ28" i="15"/>
  <c r="T53" i="18"/>
  <c r="E35" i="15"/>
  <c r="S42" i="18"/>
  <c r="E14" i="19"/>
  <c r="D12" i="15"/>
  <c r="S18" i="19"/>
  <c r="AU19" i="15"/>
  <c r="AL48" i="15"/>
  <c r="AL19" i="15"/>
  <c r="R35" i="18"/>
  <c r="AL45" i="15"/>
  <c r="AP91" i="15"/>
  <c r="K78" i="15"/>
  <c r="AP20" i="15"/>
  <c r="AO17" i="15"/>
  <c r="M16" i="18"/>
  <c r="H19" i="15"/>
  <c r="K87" i="15"/>
  <c r="M59" i="15"/>
  <c r="AT63" i="15"/>
  <c r="AR79" i="15"/>
  <c r="AM29" i="15"/>
  <c r="R31" i="18"/>
  <c r="H57" i="15"/>
  <c r="D24" i="18"/>
  <c r="E71" i="15"/>
  <c r="S53" i="18"/>
  <c r="AS27" i="15"/>
  <c r="T12" i="9"/>
  <c r="H63" i="15"/>
  <c r="AN45" i="15"/>
  <c r="AK35" i="15"/>
  <c r="AL60" i="15"/>
  <c r="B86" i="15"/>
  <c r="M19" i="15"/>
  <c r="T15" i="9"/>
  <c r="T16" i="18"/>
  <c r="I64" i="15"/>
  <c r="AS57" i="15"/>
  <c r="F50" i="15"/>
  <c r="I11" i="15"/>
  <c r="L35" i="15"/>
  <c r="C16" i="18"/>
  <c r="AQ32" i="15"/>
  <c r="K58" i="15"/>
  <c r="AU43" i="15"/>
  <c r="N60" i="15"/>
  <c r="M11" i="18"/>
  <c r="E36" i="18"/>
  <c r="P33" i="18"/>
  <c r="AP29" i="15"/>
  <c r="AO71" i="15"/>
  <c r="J46" i="18"/>
  <c r="AS60" i="15"/>
  <c r="F73" i="15"/>
  <c r="AL33" i="15"/>
  <c r="P18" i="19"/>
  <c r="AJ74" i="15"/>
  <c r="I53" i="18"/>
  <c r="AN62" i="15"/>
  <c r="P13" i="18"/>
  <c r="K55" i="18"/>
  <c r="AJ87" i="15"/>
  <c r="AV92" i="15"/>
  <c r="C24" i="18"/>
  <c r="AO15" i="15"/>
  <c r="K33" i="15"/>
  <c r="N72" i="15"/>
  <c r="J64" i="15"/>
  <c r="AN16" i="15"/>
  <c r="AJ80" i="15"/>
  <c r="G47" i="15"/>
  <c r="AP79" i="15"/>
  <c r="E18" i="15"/>
  <c r="Q17" i="19"/>
  <c r="AP49" i="15"/>
  <c r="AK14" i="15"/>
  <c r="AP15" i="15"/>
  <c r="C61" i="15"/>
  <c r="F78" i="15"/>
  <c r="AO94" i="15"/>
  <c r="M46" i="15"/>
  <c r="H14" i="15"/>
  <c r="M21" i="18"/>
  <c r="AJ57" i="15"/>
  <c r="AO14" i="15"/>
  <c r="D73" i="15"/>
  <c r="C54" i="18"/>
  <c r="AQ12" i="15"/>
  <c r="E86" i="15"/>
  <c r="D32" i="18"/>
  <c r="E93" i="15"/>
  <c r="G92" i="15"/>
  <c r="AM76" i="15"/>
  <c r="K65" i="15"/>
  <c r="D21" i="18"/>
  <c r="I46" i="18"/>
  <c r="C78" i="15"/>
  <c r="F26" i="18"/>
  <c r="F12" i="18"/>
  <c r="AP89" i="15"/>
  <c r="AM61" i="15"/>
  <c r="H48" i="15"/>
  <c r="T41" i="18"/>
  <c r="F32" i="15"/>
  <c r="I79" i="15"/>
  <c r="AS19" i="15"/>
  <c r="AR93" i="15"/>
  <c r="AN29" i="15"/>
  <c r="K27" i="15"/>
  <c r="C36" i="9"/>
  <c r="J71" i="15"/>
  <c r="P25" i="18"/>
  <c r="AL93" i="15"/>
  <c r="S15" i="19"/>
  <c r="AK43" i="15"/>
  <c r="AJ60" i="15"/>
  <c r="AP13" i="15"/>
  <c r="E64" i="15"/>
  <c r="Q33" i="18"/>
  <c r="AS33" i="15"/>
  <c r="M95" i="15"/>
  <c r="G77" i="15"/>
  <c r="I34" i="15"/>
  <c r="AN60" i="15"/>
  <c r="J88" i="15"/>
  <c r="J63" i="15"/>
  <c r="K86" i="15"/>
  <c r="AP33" i="15"/>
  <c r="AL44" i="15"/>
  <c r="D34" i="18"/>
  <c r="AO48" i="15"/>
  <c r="I46" i="15"/>
  <c r="AU74" i="15"/>
  <c r="D53" i="18"/>
  <c r="C90" i="15"/>
  <c r="AQ59" i="15"/>
  <c r="AQ11" i="15"/>
  <c r="B13" i="19"/>
  <c r="L88" i="15"/>
  <c r="T15" i="19"/>
  <c r="J29" i="15"/>
  <c r="AS75" i="15"/>
  <c r="B35" i="15"/>
  <c r="E148" i="12"/>
  <c r="AK17" i="15"/>
  <c r="M80" i="15"/>
  <c r="AQ71" i="15"/>
  <c r="AQ90" i="15"/>
  <c r="I33" i="18"/>
  <c r="S35" i="18"/>
  <c r="D57" i="15"/>
  <c r="K75" i="15"/>
  <c r="T54" i="18"/>
  <c r="P16" i="18"/>
  <c r="G64" i="15"/>
  <c r="F31" i="15"/>
  <c r="C12" i="18"/>
  <c r="E21" i="18"/>
  <c r="AN17" i="15"/>
  <c r="F61" i="15"/>
  <c r="L79" i="15"/>
  <c r="G13" i="1"/>
  <c r="B11" i="15"/>
  <c r="T18" i="19"/>
  <c r="AK27" i="15"/>
  <c r="AU49" i="15"/>
  <c r="S11" i="18"/>
  <c r="G78" i="15"/>
  <c r="AT29" i="15"/>
  <c r="M49" i="15"/>
  <c r="AL17" i="15"/>
  <c r="G19" i="15"/>
  <c r="H74" i="15"/>
  <c r="L77" i="15"/>
  <c r="B14" i="19"/>
  <c r="I65" i="15"/>
  <c r="AK30" i="15"/>
  <c r="AS78" i="15"/>
  <c r="K34" i="18"/>
  <c r="K94" i="15"/>
  <c r="AR41" i="15"/>
  <c r="C13" i="18"/>
  <c r="AM94" i="15"/>
  <c r="P36" i="18"/>
  <c r="AR30" i="15"/>
  <c r="AV80" i="15"/>
  <c r="P21" i="18"/>
  <c r="AO93" i="15"/>
  <c r="AT62" i="15"/>
  <c r="AO75" i="15"/>
  <c r="AO88" i="15"/>
  <c r="G65" i="15"/>
  <c r="AS30" i="15"/>
  <c r="AK91" i="15"/>
  <c r="N93" i="15"/>
  <c r="C27" i="15"/>
  <c r="L58" i="15"/>
  <c r="AU78" i="15"/>
  <c r="D15" i="15"/>
  <c r="R16" i="19"/>
  <c r="C37" i="9"/>
  <c r="F147" i="12"/>
  <c r="R15" i="19"/>
  <c r="E43" i="15"/>
  <c r="J79" i="15"/>
  <c r="F76" i="15"/>
  <c r="B71" i="15"/>
  <c r="L72" i="15"/>
  <c r="AV45" i="15"/>
  <c r="AM31" i="15"/>
  <c r="E45" i="18"/>
  <c r="I11" i="18"/>
  <c r="N63" i="15"/>
  <c r="C55" i="18"/>
  <c r="AU65" i="15"/>
  <c r="AO73" i="15"/>
  <c r="C62" i="15"/>
  <c r="T11" i="18"/>
  <c r="AV64" i="15"/>
  <c r="B95" i="15"/>
  <c r="E52" i="18"/>
  <c r="J33" i="18"/>
  <c r="L23" i="18"/>
  <c r="M18" i="15"/>
  <c r="P31" i="18"/>
  <c r="S14" i="19"/>
  <c r="F18" i="15"/>
  <c r="M73" i="15"/>
  <c r="AV31" i="15"/>
  <c r="I28" i="15"/>
  <c r="T46" i="18"/>
  <c r="J16" i="15"/>
  <c r="N13" i="15"/>
  <c r="AV86" i="15"/>
  <c r="K35" i="15"/>
  <c r="N77" i="15"/>
  <c r="AR65" i="15"/>
  <c r="B87" i="15"/>
  <c r="AU95" i="15"/>
  <c r="E24" i="18"/>
  <c r="M87" i="15"/>
  <c r="J35" i="18"/>
  <c r="AQ46" i="15"/>
  <c r="D11" i="18"/>
  <c r="S17" i="19"/>
  <c r="L15" i="18"/>
  <c r="G18" i="15"/>
  <c r="H50" i="15"/>
  <c r="H11" i="15"/>
  <c r="AV41" i="15"/>
  <c r="J31" i="15"/>
  <c r="AV50" i="15"/>
  <c r="M25" i="18"/>
  <c r="K12" i="18"/>
  <c r="D80" i="15"/>
  <c r="S41" i="18"/>
  <c r="J34" i="18"/>
  <c r="L59" i="15"/>
  <c r="S13" i="19"/>
  <c r="M41" i="15"/>
  <c r="D23" i="18"/>
  <c r="AV30" i="15"/>
  <c r="G61" i="15"/>
  <c r="AR26" i="15"/>
  <c r="AU34" i="15"/>
  <c r="E16" i="19"/>
  <c r="M32" i="18"/>
  <c r="J30" i="15"/>
  <c r="T12" i="18"/>
  <c r="N34" i="15"/>
  <c r="AT26" i="15"/>
  <c r="AT30" i="15"/>
  <c r="L61" i="15"/>
  <c r="AU75" i="15"/>
  <c r="M55" i="18"/>
  <c r="S23" i="18"/>
  <c r="H35" i="15"/>
  <c r="B53" i="18"/>
  <c r="L16" i="18"/>
  <c r="M13" i="18"/>
  <c r="Q14" i="19"/>
  <c r="AU32" i="15"/>
  <c r="E29" i="15"/>
  <c r="P24" i="18"/>
  <c r="R52" i="18"/>
  <c r="AL41" i="15"/>
  <c r="AM41" i="15"/>
  <c r="T23" i="18"/>
  <c r="C58" i="15"/>
  <c r="D27" i="15"/>
  <c r="AP45" i="15"/>
  <c r="I86" i="15"/>
  <c r="N76" i="15"/>
  <c r="K28" i="15"/>
  <c r="Q41" i="18"/>
  <c r="AU14" i="15"/>
  <c r="AN14" i="15"/>
  <c r="D44" i="18"/>
  <c r="J43" i="18"/>
  <c r="C49" i="15"/>
  <c r="S14" i="18"/>
  <c r="F63" i="15"/>
  <c r="C41" i="18"/>
  <c r="E62" i="15"/>
  <c r="K93" i="15"/>
  <c r="I41" i="15"/>
  <c r="R46" i="18"/>
  <c r="AQ49" i="15"/>
  <c r="F56" i="15"/>
  <c r="AO46" i="15"/>
  <c r="AM48" i="15"/>
  <c r="G46" i="15"/>
  <c r="B26" i="18"/>
  <c r="P41" i="18"/>
  <c r="Q53" i="18"/>
  <c r="L35" i="18"/>
  <c r="B12" i="18"/>
  <c r="L95" i="15"/>
  <c r="AJ73" i="15"/>
  <c r="R18" i="19"/>
  <c r="AS16" i="15"/>
  <c r="C71" i="15"/>
  <c r="I74" i="15"/>
  <c r="AQ30" i="15"/>
  <c r="J91" i="15"/>
  <c r="L53" i="18"/>
  <c r="D46" i="18"/>
  <c r="Q34" i="18"/>
  <c r="AL77" i="15"/>
  <c r="AV28" i="15"/>
  <c r="P15" i="19"/>
  <c r="L29" i="15"/>
  <c r="C94" i="15"/>
  <c r="F24" i="18"/>
  <c r="M46" i="18"/>
  <c r="Q13" i="19"/>
  <c r="AT76" i="15"/>
  <c r="R55" i="18"/>
  <c r="L16" i="15"/>
  <c r="T16" i="19"/>
  <c r="C74" i="15"/>
  <c r="I71" i="15"/>
  <c r="I44" i="15"/>
  <c r="L47" i="15"/>
  <c r="AK94" i="15"/>
  <c r="I95" i="15"/>
  <c r="AT14" i="15"/>
  <c r="B50" i="15"/>
  <c r="AQ58" i="15"/>
  <c r="J18" i="1"/>
  <c r="F33" i="15"/>
  <c r="AO74" i="15"/>
  <c r="AQ72" i="15"/>
  <c r="AJ18" i="15"/>
  <c r="P14" i="19"/>
  <c r="D86" i="15"/>
  <c r="E43" i="18"/>
  <c r="L89" i="15"/>
  <c r="G94" i="15"/>
  <c r="AQ91" i="15"/>
  <c r="N31" i="15"/>
  <c r="C45" i="15"/>
  <c r="T21" i="18"/>
  <c r="AN86" i="15"/>
  <c r="AN57" i="15"/>
  <c r="AL80" i="15"/>
  <c r="K62" i="15"/>
  <c r="C13" i="19"/>
  <c r="C60" i="15"/>
  <c r="G41" i="15"/>
  <c r="Q25" i="18"/>
  <c r="AM14" i="15"/>
  <c r="S55" i="18"/>
  <c r="AO33" i="15"/>
  <c r="AR18" i="15"/>
  <c r="H95" i="15"/>
  <c r="M74" i="15"/>
  <c r="E51" i="18"/>
  <c r="AL32" i="15"/>
  <c r="K59" i="15"/>
  <c r="E28" i="15"/>
  <c r="AS80" i="15"/>
  <c r="B36" i="18"/>
  <c r="T35" i="15"/>
  <c r="B19" i="15"/>
  <c r="K26" i="15"/>
  <c r="AM33" i="15"/>
  <c r="AN87" i="15"/>
  <c r="AQ92" i="15"/>
  <c r="E72" i="15"/>
  <c r="T16" i="9"/>
  <c r="AJ49" i="15"/>
  <c r="AP50" i="15"/>
  <c r="L45" i="15"/>
  <c r="AR56" i="15"/>
  <c r="G50" i="15"/>
  <c r="G147" i="12"/>
  <c r="D74" i="15"/>
  <c r="D51" i="18"/>
  <c r="K51" i="18"/>
  <c r="F74" i="15"/>
  <c r="Q22" i="18"/>
  <c r="D95" i="15"/>
  <c r="T15" i="18"/>
  <c r="AR94" i="15"/>
  <c r="L43" i="18"/>
  <c r="AR17" i="15"/>
  <c r="AL63" i="15"/>
  <c r="M42" i="15"/>
  <c r="AV77" i="15"/>
  <c r="G75" i="15"/>
  <c r="AM15" i="15"/>
  <c r="F35" i="15"/>
  <c r="U41" i="15"/>
  <c r="AQ95" i="15"/>
  <c r="G27" i="15"/>
  <c r="Y49" i="15"/>
  <c r="J52" i="18"/>
  <c r="AE30" i="15"/>
  <c r="AQ75" i="15"/>
  <c r="AB56" i="15"/>
  <c r="B51" i="18"/>
  <c r="S46" i="15"/>
  <c r="AT41" i="15"/>
  <c r="Z57" i="15"/>
  <c r="E26" i="18"/>
  <c r="Y48" i="15"/>
  <c r="R14" i="18"/>
  <c r="AD18" i="15"/>
  <c r="AC57" i="15"/>
  <c r="I35" i="18"/>
  <c r="AK80" i="15"/>
  <c r="Y79" i="15"/>
  <c r="E13" i="19"/>
  <c r="AK74" i="15"/>
  <c r="F14" i="19"/>
  <c r="I17" i="15"/>
  <c r="F146" i="12"/>
  <c r="E60" i="15"/>
  <c r="AM62" i="15"/>
  <c r="AN12" i="15"/>
  <c r="L32" i="18"/>
  <c r="D49" i="15"/>
  <c r="D91" i="15"/>
  <c r="D59" i="15"/>
  <c r="I63" i="15"/>
  <c r="J48" i="15"/>
  <c r="AM18" i="15"/>
  <c r="G145" i="12"/>
  <c r="B17" i="15"/>
  <c r="D87" i="15"/>
  <c r="AT18" i="15"/>
  <c r="AU26" i="15"/>
  <c r="AP42" i="15"/>
  <c r="P45" i="18"/>
  <c r="E89" i="15"/>
  <c r="K36" i="18"/>
  <c r="H44" i="15"/>
  <c r="AT31" i="15"/>
  <c r="H76" i="15"/>
  <c r="J80" i="15"/>
  <c r="AK87" i="15"/>
  <c r="AL74" i="15"/>
  <c r="H60" i="15"/>
  <c r="AK32" i="15"/>
  <c r="D63" i="15"/>
  <c r="N64" i="15"/>
  <c r="K77" i="15"/>
  <c r="AU29" i="15"/>
  <c r="AL26" i="15"/>
  <c r="AT90" i="15"/>
  <c r="D78" i="15"/>
  <c r="H27" i="15"/>
  <c r="AJ14" i="15"/>
  <c r="AO19" i="15"/>
  <c r="K63" i="15"/>
  <c r="G80" i="15"/>
  <c r="AN91" i="15"/>
  <c r="F36" i="18"/>
  <c r="M35" i="18"/>
  <c r="N41" i="15"/>
  <c r="AP14" i="15"/>
  <c r="AJ50" i="15"/>
  <c r="E42" i="18"/>
  <c r="F148" i="12"/>
  <c r="I72" i="15"/>
  <c r="AR34" i="15"/>
  <c r="I32" i="18"/>
  <c r="AU50" i="15"/>
  <c r="C43" i="15"/>
  <c r="AP94" i="15"/>
  <c r="I87" i="15"/>
  <c r="Q23" i="18"/>
  <c r="AK92" i="15"/>
  <c r="AJ91" i="15"/>
  <c r="C79" i="15"/>
  <c r="D50" i="15"/>
  <c r="K16" i="18"/>
  <c r="K14" i="15"/>
  <c r="F87" i="15"/>
  <c r="K31" i="15"/>
  <c r="AR59" i="15"/>
  <c r="M88" i="15"/>
  <c r="K46" i="18"/>
  <c r="N33" i="15"/>
  <c r="S73" i="15"/>
  <c r="AO78" i="15"/>
  <c r="M27" i="15"/>
  <c r="L90" i="15"/>
  <c r="I24" i="18"/>
  <c r="K92" i="15"/>
  <c r="AO59" i="15"/>
  <c r="M52" i="18"/>
  <c r="I30" i="15"/>
  <c r="AM30" i="15"/>
  <c r="L13" i="15"/>
  <c r="AT80" i="15"/>
  <c r="L46" i="15"/>
  <c r="AT13" i="15"/>
  <c r="C23" i="18"/>
  <c r="I14" i="15"/>
  <c r="F59" i="15"/>
  <c r="AQ26" i="15"/>
  <c r="AV35" i="15"/>
  <c r="K23" i="18"/>
  <c r="C56" i="15"/>
  <c r="C25" i="18"/>
  <c r="C42" i="15"/>
  <c r="F23" i="18"/>
  <c r="H73" i="15"/>
  <c r="K91" i="15"/>
  <c r="M60" i="15"/>
  <c r="AV75" i="15"/>
  <c r="AP16" i="15"/>
  <c r="N26" i="15"/>
  <c r="T71" i="15"/>
  <c r="AM59" i="15"/>
  <c r="J72" i="15"/>
  <c r="Y90" i="15"/>
  <c r="AM74" i="15"/>
  <c r="AB74" i="15"/>
  <c r="AT79" i="15"/>
  <c r="Z61" i="15"/>
  <c r="AQ27" i="15"/>
  <c r="S50" i="15"/>
  <c r="AQ88" i="15"/>
  <c r="AA77" i="15"/>
  <c r="E34" i="18"/>
  <c r="U33" i="15"/>
  <c r="AV47" i="15"/>
  <c r="W29" i="15"/>
  <c r="AM43" i="15"/>
  <c r="B43" i="18"/>
  <c r="E94" i="15"/>
  <c r="AN95" i="15"/>
  <c r="B77" i="15"/>
  <c r="B42" i="15"/>
  <c r="T33" i="18"/>
  <c r="AS89" i="15"/>
  <c r="C45" i="18"/>
  <c r="AN50" i="15"/>
  <c r="F30" i="15"/>
  <c r="C28" i="15"/>
  <c r="E79" i="15"/>
  <c r="AQ19" i="15"/>
  <c r="T36" i="18"/>
  <c r="L34" i="18"/>
  <c r="AO18" i="15"/>
  <c r="N59" i="15"/>
  <c r="I22" i="18"/>
  <c r="J24" i="18"/>
  <c r="F34" i="18"/>
  <c r="C86" i="15"/>
  <c r="AM12" i="15"/>
  <c r="B47" i="15"/>
  <c r="T32" i="18"/>
  <c r="J89" i="15"/>
  <c r="I76" i="15"/>
  <c r="H90" i="15"/>
  <c r="AP90" i="15"/>
  <c r="D32" i="15"/>
  <c r="B44" i="15"/>
  <c r="B64" i="15"/>
  <c r="Q18" i="19"/>
  <c r="L11" i="15"/>
  <c r="T51" i="18"/>
  <c r="AV11" i="15"/>
  <c r="Q43" i="18"/>
  <c r="H59" i="15"/>
  <c r="AJ30" i="15"/>
  <c r="C39" i="9"/>
  <c r="H12" i="15"/>
  <c r="AU28" i="15"/>
  <c r="C76" i="15"/>
  <c r="AL14" i="15"/>
  <c r="L80" i="15"/>
  <c r="AP43" i="15"/>
  <c r="J25" i="18"/>
  <c r="H45" i="15"/>
  <c r="T44" i="18"/>
  <c r="C32" i="15"/>
  <c r="D60" i="15"/>
  <c r="AQ62" i="15"/>
  <c r="AV16" i="15"/>
  <c r="AM64" i="15"/>
  <c r="R17" i="19"/>
  <c r="AV79" i="15"/>
  <c r="AS41" i="15"/>
  <c r="L50" i="15"/>
  <c r="AS64" i="15"/>
  <c r="AN59" i="15"/>
  <c r="Q24" i="18"/>
  <c r="E59" i="15"/>
  <c r="M62" i="15"/>
  <c r="AT20" i="15"/>
  <c r="E53" i="18"/>
  <c r="AK48" i="15"/>
  <c r="B88" i="15"/>
  <c r="R12" i="18"/>
  <c r="C38" i="9"/>
  <c r="B21" i="18"/>
  <c r="E33" i="15"/>
  <c r="H71" i="15"/>
  <c r="AS34" i="15"/>
  <c r="AU27" i="15"/>
  <c r="AK28" i="15"/>
  <c r="X49" i="15"/>
  <c r="P22" i="18"/>
  <c r="AO31" i="15"/>
  <c r="AR48" i="15"/>
  <c r="J53" i="18"/>
  <c r="AN48" i="15"/>
  <c r="AO91" i="15"/>
  <c r="J11" i="15"/>
  <c r="B48" i="15"/>
  <c r="E87" i="15"/>
  <c r="E30" i="15"/>
  <c r="AM46" i="15"/>
  <c r="AS11" i="15"/>
  <c r="AS46" i="15"/>
  <c r="AR71" i="15"/>
  <c r="AQ48" i="15"/>
  <c r="AN15" i="15"/>
  <c r="AM19" i="15"/>
  <c r="AP11" i="15"/>
  <c r="J92" i="15"/>
  <c r="D13" i="19"/>
  <c r="AP75" i="15"/>
  <c r="R45" i="18"/>
  <c r="AM77" i="15"/>
  <c r="AL16" i="15"/>
  <c r="P51" i="18"/>
  <c r="AS58" i="15"/>
  <c r="L91" i="15"/>
  <c r="K17" i="15"/>
  <c r="AU72" i="15"/>
  <c r="AC50" i="15"/>
  <c r="AV32" i="15"/>
  <c r="R24" i="18"/>
  <c r="W30" i="15"/>
  <c r="AS20" i="15"/>
  <c r="AB92" i="15"/>
  <c r="N91" i="15"/>
  <c r="Z74" i="15"/>
  <c r="N30" i="15"/>
  <c r="T55" i="18"/>
  <c r="T73" i="15"/>
  <c r="K20" i="15"/>
  <c r="Y80" i="15"/>
  <c r="AM49" i="15"/>
  <c r="AE50" i="15"/>
  <c r="AS77" i="15"/>
  <c r="X29" i="15"/>
  <c r="E58" i="15"/>
  <c r="E46" i="15"/>
  <c r="AK29" i="15"/>
  <c r="AC44" i="15"/>
  <c r="Q36" i="18"/>
  <c r="AC77" i="15"/>
  <c r="I73" i="15"/>
  <c r="AC15" i="15"/>
  <c r="B11" i="18"/>
  <c r="AK58" i="15"/>
  <c r="M17" i="15"/>
  <c r="M42" i="18"/>
  <c r="S22" i="18"/>
  <c r="J74" i="15"/>
  <c r="K25" i="18"/>
  <c r="J42" i="18"/>
  <c r="L18" i="15"/>
  <c r="AR89" i="15"/>
  <c r="AR60" i="15"/>
  <c r="H56" i="15"/>
  <c r="AQ16" i="15"/>
  <c r="N48" i="15"/>
  <c r="L28" i="15"/>
  <c r="C35" i="18"/>
  <c r="H47" i="15"/>
  <c r="L25" i="18"/>
  <c r="AM35" i="15"/>
  <c r="E12" i="15"/>
  <c r="R42" i="18"/>
  <c r="H93" i="15"/>
  <c r="AK93" i="15"/>
  <c r="E20" i="15"/>
  <c r="C36" i="18"/>
  <c r="AU60" i="15"/>
  <c r="K52" i="18"/>
  <c r="AT17" i="15"/>
  <c r="AO29" i="15"/>
  <c r="C22" i="18"/>
  <c r="N11" i="15"/>
  <c r="G12" i="15"/>
  <c r="AO45" i="15"/>
  <c r="D11" i="15"/>
  <c r="J17" i="15"/>
  <c r="E44" i="15"/>
  <c r="E16" i="18"/>
  <c r="AO86" i="15"/>
  <c r="I94" i="15"/>
  <c r="M61" i="15"/>
  <c r="AP78" i="15"/>
  <c r="I43" i="15"/>
  <c r="AO27" i="15"/>
  <c r="D48" i="15"/>
  <c r="AM72" i="15"/>
  <c r="P55" i="18"/>
  <c r="R51" i="18"/>
  <c r="P15" i="18"/>
  <c r="L44" i="18"/>
  <c r="AT64" i="15"/>
  <c r="AT71" i="15"/>
  <c r="B27" i="15"/>
  <c r="AV33" i="15"/>
  <c r="AN61" i="15"/>
  <c r="F34" i="15"/>
  <c r="J21" i="18"/>
  <c r="AR86" i="15"/>
  <c r="C34" i="18"/>
  <c r="B15" i="15"/>
  <c r="AP32" i="15"/>
  <c r="D15" i="18"/>
  <c r="B41" i="18"/>
  <c r="AN33" i="15"/>
  <c r="AU94" i="15"/>
  <c r="AP71" i="15"/>
  <c r="K31" i="18"/>
  <c r="F58" i="15"/>
  <c r="E75" i="15"/>
  <c r="D42" i="18"/>
  <c r="AU86" i="15"/>
  <c r="AL75" i="15"/>
  <c r="AU13" i="15"/>
  <c r="Z64" i="15"/>
  <c r="AN58" i="15"/>
  <c r="B13" i="18"/>
  <c r="M71" i="15"/>
  <c r="J41" i="15"/>
  <c r="M90" i="15"/>
  <c r="G95" i="15"/>
  <c r="B33" i="18"/>
  <c r="AT93" i="15"/>
  <c r="AJ89" i="15"/>
  <c r="L60" i="15"/>
  <c r="AS48" i="15"/>
  <c r="B41" i="15"/>
  <c r="S33" i="18"/>
  <c r="N50" i="15"/>
  <c r="L55" i="18"/>
  <c r="N73" i="15"/>
  <c r="AO56" i="15"/>
  <c r="P53" i="18"/>
  <c r="M86" i="15"/>
  <c r="E49" i="15"/>
  <c r="B89" i="15"/>
  <c r="T11" i="9"/>
  <c r="AS62" i="15"/>
  <c r="Q42" i="18"/>
  <c r="F15" i="15"/>
  <c r="I90" i="15"/>
  <c r="D61" i="15"/>
  <c r="B18" i="19"/>
  <c r="S41" i="15"/>
  <c r="K54" i="18"/>
  <c r="AN49" i="15"/>
  <c r="N74" i="15"/>
  <c r="S47" i="15"/>
  <c r="T43" i="15"/>
  <c r="P46" i="18"/>
  <c r="AB13" i="15"/>
  <c r="N89" i="15"/>
  <c r="Z13" i="15"/>
  <c r="M34" i="15"/>
  <c r="U27" i="15"/>
  <c r="T13" i="9"/>
  <c r="AB72" i="15"/>
  <c r="AP27" i="15"/>
  <c r="AA63" i="15"/>
  <c r="Z16" i="15"/>
  <c r="Z59" i="15"/>
  <c r="P16" i="19"/>
  <c r="AN80" i="15"/>
  <c r="I58" i="15"/>
  <c r="AP47" i="15"/>
  <c r="I48" i="15"/>
  <c r="AK20" i="15"/>
  <c r="AN79" i="15"/>
  <c r="I56" i="18"/>
  <c r="AK45" i="15"/>
  <c r="AR11" i="15"/>
  <c r="AV95" i="15"/>
  <c r="T34" i="18"/>
  <c r="AT92" i="15"/>
  <c r="I35" i="15"/>
  <c r="C11" i="18"/>
  <c r="M58" i="15"/>
  <c r="AQ87" i="15"/>
  <c r="B34" i="15"/>
  <c r="D56" i="15"/>
  <c r="AO30" i="15"/>
  <c r="C43" i="18"/>
  <c r="AJ15" i="15"/>
  <c r="AJ19" i="15"/>
  <c r="D43" i="18"/>
  <c r="T56" i="18"/>
  <c r="AT59" i="15"/>
  <c r="B42" i="18"/>
  <c r="AK73" i="15"/>
  <c r="AT42" i="15"/>
  <c r="I42" i="18"/>
  <c r="AO79" i="15"/>
  <c r="B33" i="15"/>
  <c r="AQ78" i="15"/>
  <c r="N49" i="15"/>
  <c r="AM60" i="15"/>
  <c r="M77" i="15"/>
  <c r="AT16" i="15"/>
  <c r="AK77" i="15"/>
  <c r="AM13" i="15"/>
  <c r="AS13" i="15"/>
  <c r="M50" i="15"/>
  <c r="N20" i="15"/>
  <c r="N17" i="15"/>
  <c r="G32" i="15"/>
  <c r="B26" i="15"/>
  <c r="AN94" i="15"/>
  <c r="H77" i="15"/>
  <c r="AS59" i="15"/>
  <c r="AT74" i="15"/>
  <c r="AR19" i="15"/>
  <c r="I14" i="18"/>
  <c r="AJ48" i="15"/>
  <c r="M56" i="15"/>
  <c r="M28" i="15"/>
  <c r="H75" i="15"/>
  <c r="C44" i="18"/>
  <c r="AS18" i="15"/>
  <c r="J54" i="18"/>
  <c r="AT12" i="15"/>
  <c r="M26" i="18"/>
  <c r="F13" i="18"/>
  <c r="S43" i="18"/>
  <c r="J47" i="15"/>
  <c r="C26" i="18"/>
  <c r="K73" i="15"/>
  <c r="AR27" i="15"/>
  <c r="AU56" i="15"/>
  <c r="T14" i="9"/>
  <c r="B12" i="15"/>
  <c r="N57" i="15"/>
  <c r="AM80" i="15"/>
  <c r="F65" i="15"/>
  <c r="M18" i="19"/>
  <c r="I20" i="15"/>
  <c r="K11" i="15"/>
  <c r="AT75" i="15"/>
  <c r="Q45" i="18"/>
  <c r="F80" i="15"/>
  <c r="M64" i="15"/>
  <c r="E46" i="18"/>
  <c r="G30" i="15"/>
  <c r="L93" i="15"/>
  <c r="I51" i="18"/>
  <c r="AK26" i="15"/>
  <c r="K42" i="18"/>
  <c r="E23" i="18"/>
  <c r="Q13" i="18"/>
  <c r="AN26" i="15"/>
  <c r="L26" i="15"/>
  <c r="AO80" i="15"/>
  <c r="AK95" i="15"/>
  <c r="L33" i="15"/>
  <c r="AS42" i="15"/>
  <c r="G76" i="15"/>
  <c r="AL13" i="15"/>
  <c r="I32" i="15"/>
  <c r="AR50" i="15"/>
  <c r="AU15" i="15"/>
  <c r="AQ50" i="15"/>
  <c r="D92" i="15"/>
  <c r="AV72" i="15"/>
  <c r="Y94" i="15"/>
  <c r="AR13" i="15"/>
  <c r="B58" i="15"/>
  <c r="AJ41" i="15"/>
  <c r="AL73" i="15"/>
  <c r="AE60" i="15"/>
  <c r="L41" i="18"/>
  <c r="U50" i="15"/>
  <c r="C15" i="19"/>
  <c r="X47" i="15"/>
  <c r="AN28" i="15"/>
  <c r="I13" i="19"/>
  <c r="C34" i="15"/>
  <c r="AD61" i="15"/>
  <c r="AP31" i="15"/>
  <c r="Z75" i="15"/>
  <c r="AD20" i="15"/>
  <c r="J13" i="15"/>
  <c r="R14" i="19"/>
  <c r="D15" i="19"/>
  <c r="C32" i="9"/>
  <c r="M34" i="18"/>
  <c r="AU90" i="15"/>
  <c r="H80" i="15"/>
  <c r="F32" i="18"/>
  <c r="I78" i="15"/>
  <c r="M51" i="18"/>
  <c r="AN64" i="15"/>
  <c r="M44" i="15"/>
  <c r="C91" i="15"/>
  <c r="N90" i="15"/>
  <c r="M14" i="15"/>
  <c r="AM42" i="15"/>
  <c r="P17" i="19"/>
  <c r="L30" i="15"/>
  <c r="E11" i="18"/>
  <c r="AK63" i="15"/>
  <c r="AV73" i="15"/>
  <c r="AR75" i="15"/>
  <c r="R43" i="18"/>
  <c r="AK75" i="15"/>
  <c r="I56" i="15"/>
  <c r="S12" i="18"/>
  <c r="AR63" i="15"/>
  <c r="L51" i="18"/>
  <c r="L87" i="15"/>
  <c r="M24" i="18"/>
  <c r="J28" i="15"/>
  <c r="AV20" i="15"/>
  <c r="G71" i="15"/>
  <c r="AL18" i="15"/>
  <c r="G20" i="15"/>
  <c r="AL46" i="15"/>
  <c r="H64" i="15"/>
  <c r="AK72" i="15"/>
  <c r="H43" i="15"/>
  <c r="AK50" i="15"/>
  <c r="AO60" i="15"/>
  <c r="N29" i="15"/>
  <c r="G91" i="15"/>
  <c r="I15" i="18"/>
  <c r="I88" i="15"/>
  <c r="Q44" i="18"/>
  <c r="G86" i="15"/>
  <c r="AP76" i="15"/>
  <c r="F95" i="15"/>
  <c r="H91" i="15"/>
  <c r="G79" i="15"/>
  <c r="D26" i="18"/>
  <c r="AQ45" i="15"/>
  <c r="AL15" i="15"/>
  <c r="J46" i="15"/>
  <c r="F48" i="15"/>
  <c r="B14" i="18"/>
  <c r="Q14" i="18"/>
  <c r="AR64" i="15"/>
  <c r="J51" i="18"/>
  <c r="E42" i="15"/>
  <c r="AV15" i="15"/>
  <c r="F79" i="15"/>
  <c r="M79" i="15"/>
  <c r="AJ20" i="15"/>
  <c r="L13" i="18"/>
  <c r="B14" i="15"/>
  <c r="L22" i="18"/>
  <c r="M44" i="18"/>
  <c r="F44" i="15"/>
  <c r="E11" i="15"/>
  <c r="F92" i="15"/>
  <c r="L78" i="15"/>
  <c r="C44" i="15"/>
  <c r="W11" i="15"/>
  <c r="AP28" i="15"/>
  <c r="AP48" i="15"/>
  <c r="AV61" i="15"/>
  <c r="C34" i="9"/>
  <c r="J20" i="15"/>
  <c r="AN93" i="15"/>
  <c r="J75" i="15"/>
  <c r="AS95" i="15"/>
  <c r="M29" i="15"/>
  <c r="Q55" i="18"/>
  <c r="C40" i="9"/>
  <c r="B31" i="15"/>
  <c r="AL59" i="15"/>
  <c r="G42" i="15"/>
  <c r="G59" i="15"/>
  <c r="B57" i="15"/>
  <c r="AJ43" i="15"/>
  <c r="AL11" i="15"/>
  <c r="AU64" i="15"/>
  <c r="AN77" i="15"/>
  <c r="K14" i="18"/>
  <c r="M56" i="18"/>
  <c r="AT60" i="15"/>
  <c r="AR32" i="15"/>
  <c r="C63" i="15"/>
  <c r="AQ94" i="15"/>
  <c r="AN90" i="15"/>
  <c r="L52" i="18"/>
  <c r="X41" i="15"/>
  <c r="AR15" i="15"/>
  <c r="AO32" i="15"/>
  <c r="B61" i="15"/>
  <c r="K44" i="15"/>
  <c r="S13" i="15"/>
  <c r="F46" i="15"/>
  <c r="AB33" i="15"/>
  <c r="J34" i="15"/>
  <c r="U56" i="15"/>
  <c r="E145" i="12"/>
  <c r="AA94" i="15"/>
  <c r="C19" i="15"/>
  <c r="AE75" i="15"/>
  <c r="L56" i="18"/>
  <c r="AC28" i="15"/>
  <c r="AB47" i="15"/>
  <c r="M13" i="15"/>
  <c r="J17" i="1"/>
  <c r="AD89" i="15"/>
  <c r="AN34" i="15"/>
  <c r="AR77" i="15"/>
  <c r="J43" i="15"/>
  <c r="G17" i="15"/>
  <c r="AK62" i="15"/>
  <c r="E16" i="15"/>
  <c r="AJ65" i="15"/>
  <c r="AK42" i="15"/>
  <c r="K30" i="15"/>
  <c r="P44" i="18"/>
  <c r="AR78" i="15"/>
  <c r="F45" i="18"/>
  <c r="AT50" i="15"/>
  <c r="D28" i="15"/>
  <c r="AP95" i="15"/>
  <c r="AK46" i="15"/>
  <c r="AK56" i="15"/>
  <c r="K33" i="18"/>
  <c r="D54" i="18"/>
  <c r="D17" i="19"/>
  <c r="G62" i="15"/>
  <c r="E47" i="15"/>
  <c r="D58" i="15"/>
  <c r="AU59" i="15"/>
  <c r="F71" i="15"/>
  <c r="J44" i="18"/>
  <c r="AC17" i="15"/>
  <c r="H147" i="12"/>
  <c r="Y78" i="15"/>
  <c r="D31" i="15"/>
  <c r="I15" i="19"/>
  <c r="AA20" i="15"/>
  <c r="M53" i="18"/>
  <c r="AA16" i="15"/>
  <c r="J12" i="18"/>
  <c r="AD42" i="15"/>
  <c r="AP18" i="15"/>
  <c r="Y61" i="15"/>
  <c r="AU61" i="15"/>
  <c r="Z45" i="15"/>
  <c r="T47" i="15"/>
  <c r="D55" i="18"/>
  <c r="F77" i="15"/>
  <c r="AA90" i="15"/>
  <c r="AS93" i="15"/>
  <c r="AC34" i="15"/>
  <c r="D89" i="15"/>
  <c r="X13" i="15"/>
  <c r="T95" i="15"/>
  <c r="AV88" i="15"/>
  <c r="M16" i="19"/>
  <c r="AQ80" i="15"/>
  <c r="Y34" i="15"/>
  <c r="AK31" i="15"/>
  <c r="U79" i="15"/>
  <c r="AE29" i="15"/>
  <c r="AL50" i="15"/>
  <c r="B18" i="15"/>
  <c r="AD48" i="15"/>
  <c r="B54" i="18"/>
  <c r="V88" i="15"/>
  <c r="B92" i="15"/>
  <c r="S11" i="15"/>
  <c r="AR29" i="15"/>
  <c r="AB63" i="15"/>
  <c r="J15" i="15"/>
  <c r="T48" i="15"/>
  <c r="L48" i="15"/>
  <c r="S65" i="15"/>
  <c r="F62" i="15"/>
  <c r="B35" i="18"/>
  <c r="AT33" i="15"/>
  <c r="T44" i="15"/>
  <c r="AT86" i="15"/>
  <c r="AB19" i="15"/>
  <c r="AU89" i="15"/>
  <c r="AD72" i="15"/>
  <c r="AN11" i="15"/>
  <c r="S58" i="15"/>
  <c r="AJ75" i="15"/>
  <c r="Z88" i="15"/>
  <c r="V59" i="15"/>
  <c r="Z94" i="15"/>
  <c r="V60" i="15"/>
  <c r="U63" i="15"/>
  <c r="R44" i="18"/>
  <c r="K74" i="15"/>
  <c r="J22" i="18"/>
  <c r="T15" i="15"/>
  <c r="N43" i="15"/>
  <c r="AA42" i="15"/>
  <c r="D20" i="15"/>
  <c r="AA74" i="15"/>
  <c r="T31" i="18"/>
  <c r="S27" i="15"/>
  <c r="C64" i="15"/>
  <c r="H148" i="12"/>
  <c r="AT95" i="15"/>
  <c r="AA87" i="15"/>
  <c r="AC43" i="15"/>
  <c r="C73" i="15"/>
  <c r="D52" i="18"/>
  <c r="V33" i="15"/>
  <c r="AU80" i="15"/>
  <c r="U93" i="15"/>
  <c r="E48" i="15"/>
  <c r="V94" i="15"/>
  <c r="L31" i="15"/>
  <c r="AB60" i="15"/>
  <c r="W65" i="15"/>
  <c r="U43" i="15"/>
  <c r="T89" i="15"/>
  <c r="B93" i="15"/>
  <c r="Y76" i="15"/>
  <c r="M48" i="15"/>
  <c r="AQ74" i="15"/>
  <c r="K15" i="19"/>
  <c r="AQ15" i="15"/>
  <c r="S57" i="15"/>
  <c r="AD95" i="15"/>
  <c r="AE64" i="15"/>
  <c r="AT48" i="15"/>
  <c r="AL58" i="15"/>
  <c r="D43" i="15"/>
  <c r="S61" i="15"/>
  <c r="AD30" i="15"/>
  <c r="AA35" i="15"/>
  <c r="B62" i="15"/>
  <c r="B29" i="15"/>
  <c r="S45" i="18"/>
  <c r="N47" i="15"/>
  <c r="E15" i="18"/>
  <c r="AP88" i="15"/>
  <c r="AJ11" i="15"/>
  <c r="F13" i="19"/>
  <c r="D64" i="15"/>
  <c r="D16" i="19"/>
  <c r="M23" i="18"/>
  <c r="G57" i="15"/>
  <c r="AR95" i="15"/>
  <c r="F16" i="19"/>
  <c r="E54" i="18"/>
  <c r="AQ77" i="15"/>
  <c r="L65" i="15"/>
  <c r="W16" i="15"/>
  <c r="G35" i="15"/>
  <c r="K89" i="15"/>
  <c r="C16" i="19"/>
  <c r="AR46" i="15"/>
  <c r="H33" i="15"/>
  <c r="AV58" i="15"/>
  <c r="R23" i="18"/>
  <c r="AV89" i="15"/>
  <c r="P12" i="18"/>
  <c r="AL20" i="15"/>
  <c r="I80" i="15"/>
  <c r="E32" i="15"/>
  <c r="I12" i="18"/>
  <c r="X77" i="15"/>
  <c r="AN63" i="15"/>
  <c r="W27" i="15"/>
  <c r="I49" i="15"/>
  <c r="T52" i="18"/>
  <c r="AC95" i="15"/>
  <c r="F12" i="15"/>
  <c r="S49" i="15"/>
  <c r="I91" i="15"/>
  <c r="Y63" i="15"/>
  <c r="AL62" i="15"/>
  <c r="AP61" i="15"/>
  <c r="AC75" i="15"/>
  <c r="Z42" i="15"/>
  <c r="AK64" i="15"/>
  <c r="X94" i="15"/>
  <c r="AS14" i="15"/>
  <c r="AB76" i="15"/>
  <c r="L71" i="15"/>
  <c r="W92" i="15"/>
  <c r="AS49" i="15"/>
  <c r="Z46" i="15"/>
  <c r="L56" i="15"/>
  <c r="AD27" i="15"/>
  <c r="T17" i="15"/>
  <c r="L14" i="18"/>
  <c r="AQ33" i="15"/>
  <c r="V80" i="15"/>
  <c r="AP26" i="15"/>
  <c r="AD73" i="15"/>
  <c r="L27" i="15"/>
  <c r="S90" i="15"/>
  <c r="AS71" i="15"/>
  <c r="X45" i="15"/>
  <c r="I75" i="15"/>
  <c r="W32" i="15"/>
  <c r="AR45" i="15"/>
  <c r="V41" i="15"/>
  <c r="U14" i="15"/>
  <c r="H13" i="15"/>
  <c r="AO42" i="15"/>
  <c r="Z47" i="15"/>
  <c r="AK61" i="15"/>
  <c r="AD33" i="15"/>
  <c r="AQ18" i="15"/>
  <c r="V71" i="15"/>
  <c r="U59" i="15"/>
  <c r="AJ16" i="15"/>
  <c r="U18" i="15"/>
  <c r="L14" i="15"/>
  <c r="K18" i="19"/>
  <c r="R22" i="18"/>
  <c r="V87" i="15"/>
  <c r="F20" i="15"/>
  <c r="Y32" i="15"/>
  <c r="AU73" i="15"/>
  <c r="K56" i="18"/>
  <c r="U11" i="15"/>
  <c r="J27" i="15"/>
  <c r="W14" i="15"/>
  <c r="AS91" i="15"/>
  <c r="AA59" i="15"/>
  <c r="AJ94" i="15"/>
  <c r="AB29" i="15"/>
  <c r="X80" i="15"/>
  <c r="AB91" i="15"/>
  <c r="T79" i="15"/>
  <c r="AA48" i="15"/>
  <c r="S94" i="15"/>
  <c r="L17" i="15"/>
  <c r="AM86" i="15"/>
  <c r="Z50" i="15"/>
  <c r="Z93" i="15"/>
  <c r="AA32" i="15"/>
  <c r="AE46" i="15"/>
  <c r="AB16" i="15"/>
  <c r="AD87" i="15"/>
  <c r="AM63" i="15"/>
  <c r="W17" i="15"/>
  <c r="L24" i="18"/>
  <c r="AB11" i="15"/>
  <c r="M32" i="15"/>
  <c r="V19" i="15"/>
  <c r="X16" i="15"/>
  <c r="J18" i="15"/>
  <c r="N27" i="15"/>
  <c r="AB46" i="15"/>
  <c r="AB28" i="15"/>
  <c r="G89" i="15"/>
  <c r="AO28" i="15"/>
  <c r="Z35" i="15"/>
  <c r="T63" i="15"/>
  <c r="AB32" i="15"/>
  <c r="V45" i="15"/>
  <c r="W18" i="15"/>
  <c r="AR47" i="15"/>
  <c r="M12" i="15"/>
  <c r="B32" i="15"/>
  <c r="AM34" i="15"/>
  <c r="M93" i="15"/>
  <c r="I33" i="15"/>
  <c r="K26" i="18"/>
  <c r="AU58" i="15"/>
  <c r="AV59" i="15"/>
  <c r="AJ77" i="15"/>
  <c r="AL29" i="15"/>
  <c r="AT57" i="15"/>
  <c r="K50" i="15"/>
  <c r="M30" i="15"/>
  <c r="S51" i="18"/>
  <c r="I43" i="18"/>
  <c r="AL56" i="15"/>
  <c r="I77" i="15"/>
  <c r="AB75" i="15"/>
  <c r="T13" i="19"/>
  <c r="AS61" i="15"/>
  <c r="B79" i="15"/>
  <c r="J78" i="15"/>
  <c r="AU30" i="15"/>
  <c r="AQ60" i="15"/>
  <c r="M20" i="15"/>
  <c r="Q51" i="18"/>
  <c r="K45" i="15"/>
  <c r="AU71" i="15"/>
  <c r="N86" i="15"/>
  <c r="T43" i="18"/>
  <c r="B65" i="15"/>
  <c r="T65" i="15"/>
  <c r="K35" i="18"/>
  <c r="AE43" i="15"/>
  <c r="AL88" i="15"/>
  <c r="AN88" i="15"/>
  <c r="AD34" i="15"/>
  <c r="F14" i="18"/>
  <c r="AB90" i="15"/>
  <c r="AR91" i="15"/>
  <c r="Y29" i="15"/>
  <c r="K90" i="15"/>
  <c r="AM95" i="15"/>
  <c r="L45" i="18"/>
  <c r="U88" i="15"/>
  <c r="AV17" i="15"/>
  <c r="AD17" i="15"/>
  <c r="M47" i="15"/>
  <c r="S75" i="15"/>
  <c r="E33" i="18"/>
  <c r="X43" i="15"/>
  <c r="L49" i="15"/>
  <c r="AC71" i="15"/>
  <c r="G72" i="15"/>
  <c r="Y95" i="15"/>
  <c r="AA31" i="15"/>
  <c r="J14" i="18"/>
  <c r="N95" i="15"/>
  <c r="T26" i="15"/>
  <c r="AM65" i="15"/>
  <c r="AD71" i="15"/>
  <c r="AR92" i="15"/>
  <c r="AD79" i="15"/>
  <c r="AM17" i="15"/>
  <c r="AB61" i="15"/>
  <c r="AP60" i="15"/>
  <c r="Z44" i="15"/>
  <c r="T92" i="15"/>
  <c r="M15" i="19"/>
  <c r="V29" i="15"/>
  <c r="K42" i="15"/>
  <c r="C33" i="18"/>
  <c r="U47" i="15"/>
  <c r="AO44" i="15"/>
  <c r="AA95" i="15"/>
  <c r="W28" i="15"/>
  <c r="M17" i="19"/>
  <c r="AD29" i="15"/>
  <c r="AT73" i="15"/>
  <c r="T62" i="15"/>
  <c r="Q11" i="18"/>
  <c r="AC48" i="15"/>
  <c r="AN41" i="15"/>
  <c r="S88" i="15"/>
  <c r="Z86" i="15"/>
  <c r="AC78" i="15"/>
  <c r="M36" i="18"/>
  <c r="AL27" i="15"/>
  <c r="T87" i="15"/>
  <c r="AA72" i="15"/>
  <c r="U45" i="15"/>
  <c r="AE13" i="15"/>
  <c r="AD45" i="15"/>
  <c r="W31" i="15"/>
  <c r="AT46" i="15"/>
  <c r="AA26" i="15"/>
  <c r="G49" i="15"/>
  <c r="S33" i="15"/>
  <c r="K22" i="18"/>
  <c r="AA14" i="15"/>
  <c r="AO11" i="15"/>
  <c r="L63" i="15"/>
  <c r="AD64" i="15"/>
  <c r="Y16" i="15"/>
  <c r="T24" i="18"/>
  <c r="AB94" i="15"/>
  <c r="T25" i="18"/>
  <c r="S19" i="15"/>
  <c r="E76" i="15"/>
  <c r="U48" i="15"/>
  <c r="S56" i="18"/>
  <c r="Y26" i="15"/>
  <c r="G28" i="15"/>
  <c r="T50" i="15"/>
  <c r="AC58" i="15"/>
  <c r="T11" i="15"/>
  <c r="Z60" i="15"/>
  <c r="X46" i="15"/>
  <c r="AU62" i="15"/>
  <c r="AA58" i="15"/>
  <c r="X32" i="15"/>
  <c r="S34" i="15"/>
  <c r="T28" i="15"/>
  <c r="W60" i="15"/>
  <c r="H146" i="12"/>
  <c r="C14" i="19"/>
  <c r="S18" i="15"/>
  <c r="I57" i="15"/>
  <c r="K15" i="18"/>
  <c r="L11" i="18"/>
  <c r="AT91" i="15"/>
  <c r="E73" i="15"/>
  <c r="AP57" i="15"/>
  <c r="AJ93" i="15"/>
  <c r="AT47" i="15"/>
  <c r="F60" i="15"/>
  <c r="I34" i="18"/>
  <c r="AR72" i="15"/>
  <c r="I31" i="18"/>
  <c r="I93" i="15"/>
  <c r="J87" i="15"/>
  <c r="AR20" i="15"/>
  <c r="L12" i="15"/>
  <c r="AR62" i="15"/>
  <c r="I17" i="1"/>
  <c r="AM57" i="15"/>
  <c r="F93" i="15"/>
  <c r="L74" i="15"/>
  <c r="F33" i="18"/>
  <c r="F43" i="18"/>
  <c r="AK18" i="15"/>
  <c r="I31" i="15"/>
  <c r="M65" i="15"/>
  <c r="Z18" i="15"/>
  <c r="V58" i="15"/>
  <c r="AC56" i="15"/>
  <c r="AE31" i="15"/>
  <c r="E25" i="18"/>
  <c r="AP12" i="15"/>
  <c r="AE77" i="15"/>
  <c r="AN31" i="15"/>
  <c r="Z15" i="15"/>
  <c r="Y17" i="15"/>
  <c r="AV27" i="15"/>
  <c r="Y57" i="15"/>
  <c r="AS29" i="15"/>
  <c r="AC14" i="15"/>
  <c r="S36" i="18"/>
  <c r="Z62" i="15"/>
  <c r="B15" i="18"/>
  <c r="AV62" i="15"/>
  <c r="M14" i="18"/>
  <c r="T13" i="15"/>
  <c r="AR73" i="15"/>
  <c r="Y93" i="15"/>
  <c r="M35" i="15"/>
  <c r="T12" i="15"/>
  <c r="L94" i="15"/>
  <c r="T94" i="15"/>
  <c r="AM78" i="15"/>
  <c r="AC46" i="15"/>
  <c r="H31" i="15"/>
  <c r="J15" i="19"/>
  <c r="V64" i="15"/>
  <c r="F75" i="15"/>
  <c r="AV57" i="15"/>
  <c r="AD11" i="15"/>
  <c r="AT45" i="15"/>
  <c r="W50" i="15"/>
  <c r="AL49" i="15"/>
  <c r="AE62" i="15"/>
  <c r="T34" i="15"/>
  <c r="AN27" i="15"/>
  <c r="U12" i="15"/>
  <c r="AO26" i="15"/>
  <c r="AA89" i="15"/>
  <c r="J61" i="15"/>
  <c r="W35" i="15"/>
  <c r="L43" i="15"/>
  <c r="AP62" i="15"/>
  <c r="AC13" i="15"/>
  <c r="Y45" i="15"/>
  <c r="C65" i="15"/>
  <c r="AA19" i="15"/>
  <c r="G26" i="15"/>
  <c r="AE34" i="15"/>
  <c r="AR42" i="15"/>
  <c r="V73" i="15"/>
  <c r="S16" i="19"/>
  <c r="AB27" i="15"/>
  <c r="I60" i="15"/>
  <c r="Y33" i="15"/>
  <c r="AA30" i="15"/>
  <c r="AB79" i="15"/>
  <c r="K12" i="15"/>
  <c r="H46" i="15"/>
  <c r="U34" i="15"/>
  <c r="AC30" i="15"/>
  <c r="D34" i="15"/>
  <c r="AC59" i="15"/>
  <c r="R21" i="18"/>
  <c r="AB50" i="15"/>
  <c r="AT56" i="15"/>
  <c r="X71" i="15"/>
  <c r="K64" i="15"/>
  <c r="W33" i="15"/>
  <c r="AT72" i="15"/>
  <c r="V79" i="15"/>
  <c r="AU35" i="15"/>
  <c r="F46" i="18"/>
  <c r="I44" i="18"/>
  <c r="L16" i="19"/>
  <c r="I61" i="15"/>
  <c r="I16" i="19"/>
  <c r="M12" i="18"/>
  <c r="S76" i="15"/>
  <c r="AT65" i="15"/>
  <c r="S42" i="15"/>
  <c r="F15" i="19"/>
  <c r="S30" i="15"/>
  <c r="Q52" i="18"/>
  <c r="T58" i="15"/>
  <c r="AA92" i="15"/>
  <c r="G87" i="15"/>
  <c r="AQ14" i="15"/>
  <c r="AN43" i="15"/>
  <c r="AD41" i="15"/>
  <c r="Z89" i="15"/>
  <c r="AC64" i="15"/>
  <c r="AC72" i="15"/>
  <c r="AE86" i="15"/>
  <c r="V18" i="15"/>
  <c r="V74" i="15"/>
  <c r="AM47" i="15"/>
  <c r="D56" i="18"/>
  <c r="AJ27" i="15"/>
  <c r="K32" i="18"/>
  <c r="AV63" i="15"/>
  <c r="M76" i="15"/>
  <c r="AQ42" i="15"/>
  <c r="AR16" i="15"/>
  <c r="AL72" i="15"/>
  <c r="K21" i="18"/>
  <c r="AK41" i="15"/>
  <c r="F55" i="18"/>
  <c r="E31" i="18"/>
  <c r="D13" i="18"/>
  <c r="B45" i="18"/>
  <c r="B20" i="15"/>
  <c r="E50" i="15"/>
  <c r="D26" i="15"/>
  <c r="R33" i="18"/>
  <c r="AV94" i="15"/>
  <c r="H41" i="15"/>
  <c r="J44" i="15"/>
  <c r="R36" i="18"/>
  <c r="G58" i="15"/>
  <c r="K43" i="18"/>
  <c r="M16" i="15"/>
  <c r="AK76" i="15"/>
  <c r="AA75" i="15"/>
  <c r="U60" i="15"/>
  <c r="AE12" i="15"/>
  <c r="AA13" i="15"/>
  <c r="F41" i="15"/>
  <c r="AQ61" i="15"/>
  <c r="S79" i="15"/>
  <c r="AT88" i="15"/>
  <c r="H72" i="15"/>
  <c r="V20" i="15"/>
  <c r="AS90" i="15"/>
  <c r="T32" i="15"/>
  <c r="AJ13" i="15"/>
  <c r="T88" i="15"/>
  <c r="J42" i="15"/>
  <c r="N75" i="15"/>
  <c r="AO77" i="15"/>
  <c r="S17" i="15"/>
  <c r="AU79" i="15"/>
  <c r="W64" i="15"/>
  <c r="AV12" i="15"/>
  <c r="AC92" i="15"/>
  <c r="AQ89" i="15"/>
  <c r="X72" i="15"/>
  <c r="AV34" i="15"/>
  <c r="AE80" i="15"/>
  <c r="C72" i="15"/>
  <c r="U13" i="15"/>
  <c r="C33" i="15"/>
  <c r="AE14" i="15"/>
  <c r="AE35" i="15"/>
  <c r="AU77" i="15"/>
  <c r="AS76" i="15"/>
  <c r="AE16" i="15"/>
  <c r="M13" i="19"/>
  <c r="AQ31" i="15"/>
  <c r="AB12" i="15"/>
  <c r="C41" i="15"/>
  <c r="AB95" i="15"/>
  <c r="AN78" i="15"/>
  <c r="AC27" i="15"/>
  <c r="J19" i="15"/>
  <c r="Y15" i="15"/>
  <c r="K56" i="15"/>
  <c r="AD56" i="15"/>
  <c r="J45" i="18"/>
  <c r="N62" i="15"/>
  <c r="I26" i="15"/>
  <c r="X28" i="15"/>
  <c r="I18" i="1"/>
  <c r="U92" i="15"/>
  <c r="AK33" i="15"/>
  <c r="AC65" i="15"/>
  <c r="AP46" i="15"/>
  <c r="Y86" i="15"/>
  <c r="AS87" i="15"/>
  <c r="Z71" i="15"/>
  <c r="E34" i="15"/>
  <c r="U73" i="15"/>
  <c r="T74" i="15"/>
  <c r="V27" i="15"/>
  <c r="C17" i="19"/>
  <c r="S34" i="18"/>
  <c r="AV65" i="15"/>
  <c r="Y92" i="15"/>
  <c r="M22" i="18"/>
  <c r="AD78" i="15"/>
  <c r="G33" i="15"/>
  <c r="Y13" i="15"/>
  <c r="F54" i="18"/>
  <c r="V32" i="15"/>
  <c r="AU48" i="15"/>
  <c r="X87" i="15"/>
  <c r="AL71" i="15"/>
  <c r="AR80" i="15"/>
  <c r="AJ59" i="15"/>
  <c r="U89" i="15"/>
  <c r="AT34" i="15"/>
  <c r="AB45" i="15"/>
  <c r="AS35" i="15"/>
  <c r="AB49" i="15"/>
  <c r="T22" i="18"/>
  <c r="Z28" i="15"/>
  <c r="G63" i="15"/>
  <c r="AE89" i="15"/>
  <c r="AU63" i="15"/>
  <c r="U35" i="15"/>
  <c r="K16" i="15"/>
  <c r="U15" i="15"/>
  <c r="AE26" i="15"/>
  <c r="S71" i="15"/>
  <c r="T86" i="15"/>
  <c r="AE47" i="15"/>
  <c r="Z63" i="15"/>
  <c r="AC60" i="15"/>
  <c r="AC26" i="15"/>
  <c r="AB14" i="15"/>
  <c r="W49" i="15"/>
  <c r="AD94" i="15"/>
  <c r="AD60" i="15"/>
  <c r="X34" i="15"/>
  <c r="AS31" i="15"/>
  <c r="F25" i="18"/>
  <c r="AO62" i="15"/>
  <c r="B76" i="15"/>
  <c r="K57" i="15"/>
  <c r="AP17" i="15"/>
  <c r="AO63" i="15"/>
  <c r="AS28" i="15"/>
  <c r="B94" i="15"/>
  <c r="I29" i="15"/>
  <c r="M92" i="15"/>
  <c r="J94" i="15"/>
  <c r="AJ46" i="15"/>
  <c r="AR76" i="15"/>
  <c r="AQ35" i="15"/>
  <c r="AP74" i="15"/>
  <c r="AL35" i="15"/>
  <c r="B28" i="15"/>
  <c r="P32" i="18"/>
  <c r="AN30" i="15"/>
  <c r="AJ17" i="15"/>
  <c r="N35" i="15"/>
  <c r="D47" i="15"/>
  <c r="K41" i="15"/>
  <c r="AS12" i="15"/>
  <c r="AA18" i="15"/>
  <c r="L21" i="18"/>
  <c r="B78" i="15"/>
  <c r="G15" i="15"/>
  <c r="T16" i="15"/>
  <c r="U57" i="15"/>
  <c r="I50" i="15"/>
  <c r="AA12" i="15"/>
  <c r="AD12" i="15"/>
  <c r="H30" i="15"/>
  <c r="V95" i="15"/>
  <c r="AQ63" i="15"/>
  <c r="K13" i="19"/>
  <c r="M33" i="15"/>
  <c r="V42" i="15"/>
  <c r="AN56" i="15"/>
  <c r="D25" i="18"/>
  <c r="L26" i="18"/>
  <c r="T75" i="15"/>
  <c r="J15" i="18"/>
  <c r="AE71" i="15"/>
  <c r="G44" i="15"/>
  <c r="Y64" i="15"/>
  <c r="AM90" i="15"/>
  <c r="AB73" i="15"/>
  <c r="AJ33" i="15"/>
  <c r="T20" i="15"/>
  <c r="H28" i="15"/>
  <c r="I14" i="19"/>
  <c r="H94" i="15"/>
  <c r="T72" i="15"/>
  <c r="X78" i="15"/>
  <c r="M41" i="18"/>
  <c r="AK89" i="15"/>
  <c r="L46" i="18"/>
  <c r="X92" i="15"/>
  <c r="L19" i="15"/>
  <c r="X42" i="15"/>
  <c r="B60" i="15"/>
  <c r="Z41" i="15"/>
  <c r="C88" i="15"/>
  <c r="Y89" i="15"/>
  <c r="I12" i="15"/>
  <c r="AB71" i="15"/>
  <c r="E17" i="15"/>
  <c r="F17" i="19"/>
  <c r="R25" i="18"/>
  <c r="AA64" i="15"/>
  <c r="H15" i="15"/>
  <c r="W58" i="15"/>
  <c r="K29" i="15"/>
  <c r="W44" i="15"/>
  <c r="AP92" i="15"/>
  <c r="V13" i="15"/>
  <c r="D42" i="15"/>
  <c r="Z90" i="15"/>
  <c r="G34" i="15"/>
  <c r="Z79" i="15"/>
  <c r="AN76" i="15"/>
  <c r="AB20" i="15"/>
  <c r="S45" i="15"/>
  <c r="I55" i="18"/>
  <c r="AQ86" i="15"/>
  <c r="AC12" i="15"/>
  <c r="N80" i="15"/>
  <c r="AA88" i="15"/>
  <c r="L12" i="18"/>
  <c r="V89" i="15"/>
  <c r="AP72" i="15"/>
  <c r="AD19" i="15"/>
  <c r="AM11" i="15"/>
  <c r="AD74" i="15"/>
  <c r="AV78" i="15"/>
  <c r="W45" i="15"/>
  <c r="AL94" i="15"/>
  <c r="B46" i="15"/>
  <c r="AN20" i="15"/>
  <c r="V72" i="15"/>
  <c r="AK88" i="15"/>
  <c r="AC42" i="15"/>
  <c r="AM16" i="15"/>
  <c r="V46" i="15"/>
  <c r="AR44" i="15"/>
  <c r="AA73" i="15"/>
  <c r="C89" i="15"/>
  <c r="W79" i="15"/>
  <c r="I41" i="18"/>
  <c r="Y77" i="15"/>
  <c r="J77" i="15"/>
  <c r="X60" i="15"/>
  <c r="Z49" i="15"/>
  <c r="AS72" i="15"/>
  <c r="C14" i="18"/>
  <c r="M14" i="19"/>
  <c r="AT58" i="15"/>
  <c r="AJ44" i="15"/>
  <c r="AM87" i="15"/>
  <c r="F18" i="19"/>
  <c r="AV18" i="15"/>
  <c r="AS73" i="15"/>
  <c r="AO49" i="15"/>
  <c r="AM56" i="15"/>
  <c r="AA46" i="15"/>
  <c r="W93" i="15"/>
  <c r="AV90" i="15"/>
  <c r="AC11" i="15"/>
  <c r="AP58" i="15"/>
  <c r="AO61" i="15"/>
  <c r="E41" i="15"/>
  <c r="AK15" i="15"/>
  <c r="K60" i="15"/>
  <c r="AR12" i="15"/>
  <c r="D75" i="15"/>
  <c r="L64" i="15"/>
  <c r="AN71" i="15"/>
  <c r="X90" i="15"/>
  <c r="L20" i="15"/>
  <c r="K76" i="15"/>
  <c r="R26" i="18"/>
  <c r="K95" i="15"/>
  <c r="E15" i="15"/>
  <c r="K53" i="18"/>
  <c r="AP77" i="15"/>
  <c r="X14" i="15"/>
  <c r="X50" i="15"/>
  <c r="S95" i="15"/>
  <c r="AO20" i="15"/>
  <c r="V75" i="15"/>
  <c r="AE91" i="15"/>
  <c r="AE41" i="15"/>
  <c r="L15" i="19"/>
  <c r="X76" i="15"/>
  <c r="E17" i="19"/>
  <c r="AA29" i="15"/>
  <c r="AC45" i="15"/>
  <c r="Z95" i="15"/>
  <c r="AT27" i="15"/>
  <c r="B31" i="18"/>
  <c r="V86" i="15"/>
  <c r="V56" i="15"/>
  <c r="M94" i="15"/>
  <c r="X26" i="15"/>
  <c r="X44" i="15"/>
  <c r="X65" i="15"/>
  <c r="AB78" i="15"/>
  <c r="AD80" i="15"/>
  <c r="V77" i="15"/>
  <c r="X91" i="15"/>
  <c r="AJ71" i="15"/>
  <c r="X75" i="15"/>
  <c r="AA17" i="15"/>
  <c r="J13" i="19"/>
  <c r="AB43" i="15"/>
  <c r="AE58" i="15"/>
  <c r="AC87" i="15"/>
  <c r="U77" i="15"/>
  <c r="V93" i="15"/>
  <c r="AD35" i="15"/>
  <c r="AA61" i="15"/>
  <c r="AQ79" i="15"/>
  <c r="AA78" i="15"/>
  <c r="W63" i="15"/>
  <c r="F53" i="18"/>
  <c r="AE57" i="15"/>
  <c r="AA11" i="15"/>
  <c r="W61" i="15"/>
  <c r="AB42" i="15"/>
  <c r="K13" i="15"/>
  <c r="K72" i="15"/>
  <c r="AE95" i="15"/>
  <c r="D88" i="15"/>
  <c r="Z20" i="15"/>
  <c r="Y50" i="15"/>
  <c r="U74" i="15"/>
  <c r="W57" i="15"/>
  <c r="AU92" i="15"/>
  <c r="T27" i="15"/>
  <c r="AV74" i="15"/>
  <c r="G18" i="1"/>
  <c r="D37" i="1"/>
  <c r="AD75" i="15"/>
  <c r="S15" i="15"/>
  <c r="AC49" i="15"/>
  <c r="S91" i="15"/>
  <c r="V14" i="15"/>
  <c r="V26" i="15"/>
  <c r="S43" i="15"/>
  <c r="V30" i="15"/>
  <c r="C52" i="18"/>
  <c r="AL76" i="15"/>
  <c r="J13" i="18"/>
  <c r="L15" i="15"/>
  <c r="AJ78" i="15"/>
  <c r="L41" i="15"/>
  <c r="AM50" i="15"/>
  <c r="Z27" i="15"/>
  <c r="AS86" i="15"/>
  <c r="M72" i="15"/>
  <c r="E18" i="19"/>
  <c r="C29" i="15"/>
  <c r="AO64" i="15"/>
  <c r="T80" i="15"/>
  <c r="G45" i="15"/>
  <c r="AA79" i="15"/>
  <c r="Y88" i="15"/>
  <c r="T14" i="19"/>
  <c r="Z19" i="15"/>
  <c r="U49" i="15"/>
  <c r="AE33" i="15"/>
  <c r="S26" i="18"/>
  <c r="Y74" i="15"/>
  <c r="AD47" i="15"/>
  <c r="S14" i="15"/>
  <c r="T14" i="15"/>
  <c r="J17" i="19"/>
  <c r="X88" i="15"/>
  <c r="J18" i="19"/>
  <c r="U29" i="15"/>
  <c r="AA50" i="15"/>
  <c r="K17" i="19"/>
  <c r="S87" i="15"/>
  <c r="AM91" i="15"/>
  <c r="Z73" i="15"/>
  <c r="AR28" i="15"/>
  <c r="AE78" i="15"/>
  <c r="D18" i="15"/>
  <c r="AE49" i="15"/>
  <c r="C26" i="15"/>
  <c r="AC20" i="15"/>
  <c r="G13" i="15"/>
  <c r="AA80" i="15"/>
  <c r="L13" i="19"/>
  <c r="Z72" i="15"/>
  <c r="AA91" i="15"/>
  <c r="AP63" i="15"/>
  <c r="AO50" i="15"/>
  <c r="W48" i="15"/>
  <c r="AP34" i="15"/>
  <c r="W20" i="15"/>
  <c r="X19" i="15"/>
  <c r="AE42" i="15"/>
  <c r="V35" i="15"/>
  <c r="M33" i="18"/>
  <c r="Y47" i="15"/>
  <c r="K41" i="18"/>
  <c r="U64" i="15"/>
  <c r="AD92" i="15"/>
  <c r="S86" i="15"/>
  <c r="T41" i="15"/>
  <c r="AB88" i="15"/>
  <c r="C59" i="15"/>
  <c r="AB41" i="15"/>
  <c r="U86" i="15"/>
  <c r="W75" i="15"/>
  <c r="D94" i="15"/>
  <c r="AV60" i="15"/>
  <c r="K14" i="19"/>
  <c r="Z29" i="15"/>
  <c r="AE17" i="15"/>
  <c r="AE87" i="15"/>
  <c r="X33" i="15"/>
  <c r="H62" i="15"/>
  <c r="AT28" i="15"/>
  <c r="AL12" i="15"/>
  <c r="W89" i="15"/>
  <c r="AC90" i="15"/>
  <c r="AL31" i="15"/>
  <c r="AK78" i="15"/>
  <c r="Q56" i="18"/>
  <c r="AB57" i="15"/>
  <c r="J50" i="15"/>
  <c r="AS26" i="15"/>
  <c r="E79" i="12"/>
  <c r="AM73" i="15"/>
  <c r="Y31" i="15"/>
  <c r="S63" i="15"/>
  <c r="U46" i="15"/>
  <c r="Y27" i="15"/>
  <c r="Z14" i="15"/>
  <c r="X30" i="15"/>
  <c r="AB58" i="15"/>
  <c r="Y62" i="15"/>
  <c r="K48" i="15"/>
  <c r="AC41" i="15"/>
  <c r="G127" i="1"/>
  <c r="C75" i="15"/>
  <c r="AM26" i="15"/>
  <c r="L62" i="15"/>
  <c r="F57" i="15"/>
  <c r="B15" i="19"/>
  <c r="AV14" i="15"/>
  <c r="AC73" i="15"/>
  <c r="W46" i="15"/>
  <c r="AV44" i="15"/>
  <c r="AN46" i="15"/>
  <c r="Q46" i="18"/>
  <c r="B91" i="15"/>
  <c r="H145" i="12"/>
  <c r="AD88" i="15"/>
  <c r="U90" i="15"/>
  <c r="L18" i="19"/>
  <c r="AA47" i="15"/>
  <c r="P14" i="18"/>
  <c r="V28" i="15"/>
  <c r="Y59" i="15"/>
  <c r="Z12" i="15"/>
  <c r="AP64" i="15"/>
  <c r="AE76" i="15"/>
  <c r="AC94" i="15"/>
  <c r="V78" i="15"/>
  <c r="V76" i="15"/>
  <c r="Y30" i="15"/>
  <c r="AC76" i="15"/>
  <c r="AE90" i="15"/>
  <c r="AB15" i="15"/>
  <c r="X79" i="15"/>
  <c r="X64" i="15"/>
  <c r="AK57" i="15"/>
  <c r="S12" i="15"/>
  <c r="V61" i="15"/>
  <c r="AN72" i="15"/>
  <c r="I13" i="1"/>
  <c r="AB77" i="15"/>
  <c r="Z33" i="15"/>
  <c r="W26" i="15"/>
  <c r="AD26" i="15"/>
  <c r="AA27" i="15"/>
  <c r="AD59" i="15"/>
  <c r="AC61" i="15"/>
  <c r="AB30" i="15"/>
  <c r="Y71" i="15"/>
  <c r="AC31" i="15"/>
  <c r="AE44" i="15"/>
  <c r="X73" i="15"/>
  <c r="V15" i="15"/>
  <c r="W56" i="15"/>
  <c r="AE15" i="15"/>
  <c r="AE11" i="15"/>
  <c r="AB64" i="15"/>
  <c r="AR74" i="15"/>
  <c r="U19" i="15"/>
  <c r="AC63" i="15"/>
  <c r="Z76" i="15"/>
  <c r="AD91" i="15"/>
  <c r="Y11" i="15"/>
  <c r="C51" i="18"/>
  <c r="W72" i="15"/>
  <c r="C87" i="15"/>
  <c r="Y65" i="15"/>
  <c r="T30" i="15"/>
  <c r="AD14" i="15"/>
  <c r="L17" i="19"/>
  <c r="AA34" i="15"/>
  <c r="Z48" i="15"/>
  <c r="Z77" i="15"/>
  <c r="Z91" i="15"/>
  <c r="AC80" i="15"/>
  <c r="Z17" i="15"/>
  <c r="Y18" i="15"/>
  <c r="AB89" i="15"/>
  <c r="X56" i="15"/>
  <c r="V11" i="15"/>
  <c r="M45" i="18"/>
  <c r="AB48" i="15"/>
  <c r="AD15" i="15"/>
  <c r="V62" i="15"/>
  <c r="AA76" i="15"/>
  <c r="W19" i="15"/>
  <c r="S89" i="15"/>
  <c r="E77" i="12"/>
  <c r="AE88" i="15"/>
  <c r="AD58" i="15"/>
  <c r="C31" i="15"/>
  <c r="F51" i="18"/>
  <c r="E91" i="15"/>
  <c r="Y91" i="15"/>
  <c r="V91" i="15"/>
  <c r="T59" i="15"/>
  <c r="T45" i="15"/>
  <c r="Z58" i="15"/>
  <c r="S74" i="15"/>
  <c r="V49" i="15"/>
  <c r="U78" i="15"/>
  <c r="AE63" i="15"/>
  <c r="U95" i="15"/>
  <c r="Y43" i="15"/>
  <c r="U94" i="15"/>
  <c r="R11" i="18"/>
  <c r="B16" i="18"/>
  <c r="E15" i="19"/>
  <c r="G93" i="15"/>
  <c r="D62" i="15"/>
  <c r="B72" i="15"/>
  <c r="AK79" i="15"/>
  <c r="J95" i="15"/>
  <c r="E45" i="15"/>
  <c r="T64" i="15"/>
  <c r="AE56" i="15"/>
  <c r="AD16" i="15"/>
  <c r="Y42" i="15"/>
  <c r="W91" i="15"/>
  <c r="V43" i="15"/>
  <c r="AN92" i="15"/>
  <c r="AV26" i="15"/>
  <c r="AT19" i="15"/>
  <c r="AV71" i="15"/>
  <c r="AU44" i="15"/>
  <c r="AL57" i="15"/>
  <c r="AQ34" i="15"/>
  <c r="E146" i="12"/>
  <c r="AK71" i="15"/>
  <c r="AS79" i="15"/>
  <c r="J49" i="15"/>
  <c r="K15" i="15"/>
  <c r="F29" i="15"/>
  <c r="E19" i="15"/>
  <c r="AE72" i="15"/>
  <c r="AE74" i="15"/>
  <c r="X35" i="15"/>
  <c r="AP65" i="15"/>
  <c r="AN89" i="15"/>
  <c r="W15" i="15"/>
  <c r="E78" i="15"/>
  <c r="J16" i="19"/>
  <c r="X89" i="15"/>
  <c r="Y60" i="15"/>
  <c r="Z43" i="15"/>
  <c r="K71" i="15"/>
  <c r="S62" i="15"/>
  <c r="W74" i="15"/>
  <c r="Y41" i="15"/>
  <c r="X11" i="15"/>
  <c r="S72" i="15"/>
  <c r="AA28" i="15"/>
  <c r="P23" i="18"/>
  <c r="K46" i="15"/>
  <c r="AE93" i="15"/>
  <c r="T91" i="15"/>
  <c r="AA15" i="15"/>
  <c r="W13" i="15"/>
  <c r="AB80" i="15"/>
  <c r="Y87" i="15"/>
  <c r="S29" i="15"/>
  <c r="AM58" i="15"/>
  <c r="P11" i="18"/>
  <c r="U80" i="15"/>
  <c r="X12" i="15"/>
  <c r="AD31" i="15"/>
  <c r="Y20" i="15"/>
  <c r="AJ62" i="15"/>
  <c r="S35" i="15"/>
  <c r="AD49" i="15"/>
  <c r="Z11" i="15"/>
  <c r="Z80" i="15"/>
  <c r="J86" i="15"/>
  <c r="AD86" i="15"/>
  <c r="S60" i="15"/>
  <c r="AE18" i="15"/>
  <c r="AC18" i="15"/>
  <c r="AC33" i="15"/>
  <c r="AA62" i="15"/>
  <c r="Z56" i="15"/>
  <c r="AT49" i="15"/>
  <c r="D41" i="18"/>
  <c r="T60" i="15"/>
  <c r="S16" i="15"/>
  <c r="AC62" i="15"/>
  <c r="AE48" i="15"/>
  <c r="V44" i="15"/>
  <c r="AA60" i="15"/>
  <c r="U44" i="15"/>
  <c r="AA71" i="15"/>
  <c r="G17" i="1"/>
  <c r="AB18" i="15"/>
  <c r="D127" i="1"/>
  <c r="F22" i="18"/>
  <c r="N92" i="15"/>
  <c r="T29" i="15"/>
  <c r="W77" i="15"/>
  <c r="J36" i="18"/>
  <c r="U20" i="15"/>
  <c r="U42" i="15"/>
  <c r="AA86" i="15"/>
  <c r="S54" i="18"/>
  <c r="AN44" i="15"/>
  <c r="V92" i="15"/>
  <c r="T19" i="15"/>
  <c r="AE20" i="15"/>
  <c r="C33" i="9"/>
  <c r="R13" i="19"/>
  <c r="J56" i="18"/>
  <c r="AL65" i="15"/>
  <c r="D79" i="15"/>
  <c r="K32" i="15"/>
  <c r="Y44" i="15"/>
  <c r="T33" i="15"/>
  <c r="Y73" i="15"/>
  <c r="U91" i="15"/>
  <c r="U75" i="15"/>
  <c r="AA43" i="15"/>
  <c r="L44" i="15"/>
  <c r="AJ61" i="15"/>
  <c r="B74" i="15"/>
  <c r="C30" i="15"/>
  <c r="L73" i="15"/>
  <c r="N45" i="15"/>
  <c r="B43" i="15"/>
  <c r="AU17" i="15"/>
  <c r="J45" i="15"/>
  <c r="L34" i="15"/>
  <c r="AU46" i="15"/>
  <c r="F26" i="15"/>
  <c r="B24" i="18"/>
  <c r="AT15" i="15"/>
  <c r="AV91" i="15"/>
  <c r="N87" i="15"/>
  <c r="T56" i="15"/>
  <c r="X27" i="15"/>
  <c r="X18" i="15"/>
  <c r="T90" i="15"/>
  <c r="T61" i="15"/>
  <c r="AE92" i="15"/>
  <c r="AE73" i="15"/>
  <c r="AD43" i="15"/>
  <c r="W95" i="15"/>
  <c r="B73" i="15"/>
  <c r="Z65" i="15"/>
  <c r="Y12" i="15"/>
  <c r="S92" i="15"/>
  <c r="V63" i="15"/>
  <c r="AD63" i="15"/>
  <c r="AE94" i="15"/>
  <c r="U72" i="15"/>
  <c r="AE65" i="15"/>
  <c r="T77" i="15"/>
  <c r="S28" i="15"/>
  <c r="W71" i="15"/>
  <c r="Y58" i="15"/>
  <c r="T93" i="15"/>
  <c r="V57" i="15"/>
  <c r="U28" i="15"/>
  <c r="AE59" i="15"/>
  <c r="U17" i="15"/>
  <c r="F64" i="15"/>
  <c r="Z92" i="15"/>
  <c r="AD76" i="15"/>
  <c r="W41" i="15"/>
  <c r="AO72" i="15"/>
  <c r="W88" i="15"/>
  <c r="S26" i="15"/>
  <c r="AE28" i="15"/>
  <c r="AU91" i="15"/>
  <c r="W43" i="15"/>
  <c r="AS94" i="15"/>
  <c r="U58" i="15"/>
  <c r="AA57" i="15"/>
  <c r="U76" i="15"/>
  <c r="T18" i="15"/>
  <c r="AB87" i="15"/>
  <c r="V65" i="15"/>
  <c r="H49" i="15"/>
  <c r="Y46" i="15"/>
  <c r="AD28" i="15"/>
  <c r="AC32" i="15"/>
  <c r="AV42" i="15"/>
  <c r="AE45" i="15"/>
  <c r="W34" i="15"/>
  <c r="Z78" i="15"/>
  <c r="S77" i="15"/>
  <c r="N18" i="15"/>
  <c r="J73" i="15"/>
  <c r="AV43" i="15"/>
  <c r="I16" i="15"/>
  <c r="AT61" i="15"/>
  <c r="G16" i="15"/>
  <c r="AC88" i="15"/>
  <c r="AC19" i="15"/>
  <c r="AB44" i="15"/>
  <c r="AB17" i="15"/>
  <c r="L14" i="19"/>
  <c r="AD65" i="15"/>
  <c r="Z31" i="15"/>
  <c r="K16" i="19"/>
  <c r="W78" i="15"/>
  <c r="W87" i="15"/>
  <c r="B23" i="18"/>
  <c r="J57" i="15"/>
  <c r="AQ93" i="15"/>
  <c r="AN65" i="15"/>
  <c r="I13" i="15"/>
  <c r="C42" i="18"/>
  <c r="Q54" i="18"/>
  <c r="J26" i="15"/>
  <c r="AS15" i="15"/>
  <c r="N94" i="15"/>
  <c r="F19" i="15"/>
  <c r="AO58" i="15"/>
  <c r="AJ76" i="15"/>
  <c r="E88" i="15"/>
  <c r="N71" i="15"/>
  <c r="X74" i="15"/>
  <c r="S59" i="15"/>
  <c r="S44" i="15"/>
  <c r="W12" i="15"/>
  <c r="U71" i="15"/>
  <c r="AD90" i="15"/>
  <c r="S64" i="15"/>
  <c r="X63" i="15"/>
  <c r="X58" i="15"/>
  <c r="T49" i="15"/>
  <c r="F42" i="18"/>
  <c r="V48" i="15"/>
  <c r="V90" i="15"/>
  <c r="U32" i="15"/>
  <c r="W47" i="15"/>
  <c r="U87" i="15"/>
  <c r="Y28" i="15"/>
  <c r="U16" i="15"/>
  <c r="E26" i="15"/>
  <c r="AB34" i="15"/>
  <c r="Y35" i="15"/>
  <c r="AE27" i="15"/>
  <c r="S32" i="15"/>
  <c r="AJ45" i="15"/>
  <c r="AV13" i="15"/>
  <c r="AA65" i="15"/>
  <c r="AA49" i="15"/>
  <c r="AB62" i="15"/>
  <c r="AD77" i="15"/>
  <c r="W80" i="15"/>
  <c r="X17" i="15"/>
  <c r="S78" i="15"/>
  <c r="AP87" i="15"/>
  <c r="AC74" i="15"/>
  <c r="W94" i="15"/>
  <c r="W62" i="15"/>
  <c r="C48" i="15"/>
  <c r="Z34" i="15"/>
  <c r="H26" i="15"/>
  <c r="U26" i="15"/>
  <c r="Y56" i="15"/>
  <c r="B56" i="15"/>
  <c r="N14" i="15"/>
  <c r="W86" i="15"/>
  <c r="AC16" i="15"/>
  <c r="AD57" i="15"/>
  <c r="S31" i="15"/>
  <c r="AC47" i="15"/>
  <c r="AA41" i="15"/>
  <c r="AB31" i="15"/>
  <c r="X31" i="15"/>
  <c r="C35" i="9"/>
  <c r="AJ86" i="15"/>
  <c r="X48" i="15"/>
  <c r="T46" i="15"/>
  <c r="V17" i="15"/>
  <c r="D36" i="18"/>
  <c r="AO13" i="15"/>
  <c r="H65" i="15"/>
  <c r="X62" i="15"/>
  <c r="I89" i="15"/>
  <c r="AU18" i="15"/>
  <c r="AA45" i="15"/>
  <c r="AC93" i="15"/>
  <c r="T76" i="15"/>
  <c r="AC79" i="15"/>
  <c r="X86" i="15"/>
  <c r="W90" i="15"/>
  <c r="S80" i="15"/>
  <c r="AE61" i="15"/>
  <c r="E75" i="12"/>
  <c r="Z87" i="15"/>
  <c r="I59" i="15"/>
  <c r="T42" i="15"/>
  <c r="T57" i="15"/>
  <c r="U61" i="15"/>
  <c r="AN13" i="15"/>
  <c r="S48" i="15"/>
  <c r="Z30" i="15"/>
  <c r="AD44" i="15"/>
  <c r="Y19" i="15"/>
  <c r="AD93" i="15"/>
  <c r="AD32" i="15"/>
  <c r="U65" i="15"/>
  <c r="AR49" i="15"/>
  <c r="X59" i="15"/>
  <c r="J58" i="15"/>
  <c r="N79" i="15"/>
  <c r="G29" i="15"/>
  <c r="AK16" i="15"/>
  <c r="G48" i="15"/>
  <c r="Q15" i="19"/>
  <c r="F16" i="18"/>
  <c r="T31" i="15"/>
  <c r="J14" i="19"/>
  <c r="AC35" i="15"/>
  <c r="V12" i="15"/>
  <c r="AL61" i="15"/>
  <c r="V47" i="15"/>
  <c r="U31" i="15"/>
  <c r="AD50" i="15"/>
  <c r="S13" i="18"/>
  <c r="H86" i="15"/>
  <c r="E74" i="15"/>
  <c r="G14" i="15"/>
  <c r="R15" i="18"/>
  <c r="R56" i="18"/>
  <c r="N42" i="15"/>
  <c r="Z26" i="15"/>
  <c r="F21" i="18"/>
  <c r="I21" i="18"/>
  <c r="AU87" i="15"/>
  <c r="AL28" i="15"/>
  <c r="B63" i="15"/>
  <c r="AL87" i="15"/>
  <c r="AN35" i="15"/>
  <c r="S56" i="15"/>
  <c r="X15" i="15"/>
  <c r="AA44" i="15"/>
  <c r="AA56" i="15"/>
  <c r="AD13" i="15"/>
  <c r="AE79" i="15"/>
  <c r="V31" i="15"/>
  <c r="AE19" i="15"/>
  <c r="Y72" i="15"/>
  <c r="F31" i="18"/>
  <c r="K19" i="15"/>
  <c r="AD46" i="15"/>
  <c r="AC86" i="15"/>
  <c r="AB26" i="15"/>
  <c r="X20" i="15"/>
  <c r="AO41" i="15"/>
  <c r="U30" i="15"/>
  <c r="F89" i="15"/>
  <c r="AK44" i="15"/>
  <c r="AB65" i="15"/>
  <c r="AC29" i="15"/>
  <c r="AO89" i="15"/>
  <c r="AL47" i="15"/>
  <c r="I18" i="19"/>
  <c r="X57" i="15"/>
  <c r="S20" i="15"/>
  <c r="Y75" i="15"/>
  <c r="C13" i="15"/>
  <c r="AN47" i="15"/>
  <c r="I17" i="19"/>
  <c r="U62" i="15"/>
  <c r="V34" i="15"/>
  <c r="Y14" i="15"/>
  <c r="X93" i="15"/>
  <c r="W59" i="15"/>
  <c r="C18" i="15"/>
  <c r="AD62" i="15"/>
  <c r="N46" i="15"/>
  <c r="B49" i="15"/>
  <c r="S93" i="15"/>
  <c r="AE32" i="15"/>
  <c r="V16" i="15"/>
  <c r="W76" i="15"/>
  <c r="AB35" i="15"/>
  <c r="G146" i="12"/>
  <c r="AB86" i="15"/>
  <c r="K43" i="15"/>
  <c r="W73" i="15"/>
  <c r="AB93" i="15"/>
  <c r="Z32" i="15"/>
  <c r="V50" i="15"/>
  <c r="T78" i="15"/>
  <c r="AA33" i="15"/>
  <c r="X61" i="15"/>
  <c r="W42" i="15"/>
  <c r="E81" i="12"/>
  <c r="G16" i="1"/>
  <c r="AC89" i="15"/>
  <c r="AC91" i="15"/>
  <c r="AB59" i="15"/>
  <c r="AA93" i="15"/>
  <c r="X95" i="15"/>
  <c r="D31" i="1" l="1"/>
  <c r="N4" i="12"/>
  <c r="C125" i="18"/>
  <c r="B74" i="18"/>
  <c r="B64" i="18"/>
  <c r="K161" i="18"/>
  <c r="M4" i="12"/>
  <c r="E66" i="18"/>
  <c r="E76" i="18"/>
  <c r="F125" i="18"/>
  <c r="D124" i="18"/>
  <c r="B123" i="18"/>
  <c r="D19" i="1"/>
  <c r="O4" i="12"/>
  <c r="T123" i="18"/>
  <c r="R66" i="18"/>
  <c r="R76" i="18"/>
  <c r="B125" i="18"/>
  <c r="K194" i="18"/>
  <c r="I124" i="18"/>
  <c r="T122" i="18"/>
  <c r="T71" i="18"/>
  <c r="T61" i="18"/>
  <c r="M159" i="18"/>
  <c r="D37" i="9"/>
  <c r="I71" i="18"/>
  <c r="I122" i="18"/>
  <c r="I61" i="18"/>
  <c r="F61" i="18"/>
  <c r="F71" i="18"/>
  <c r="F122" i="18"/>
  <c r="I65" i="18"/>
  <c r="I193" i="18"/>
  <c r="I75" i="18"/>
  <c r="F161" i="18"/>
  <c r="B160" i="18"/>
  <c r="K66" i="18"/>
  <c r="K76" i="18"/>
  <c r="D39" i="9"/>
  <c r="T63" i="18"/>
  <c r="T73" i="18"/>
  <c r="T158" i="18"/>
  <c r="E159" i="18"/>
  <c r="Q125" i="18"/>
  <c r="M161" i="18"/>
  <c r="Q196" i="18"/>
  <c r="C62" i="18"/>
  <c r="C72" i="18"/>
  <c r="L159" i="18"/>
  <c r="C159" i="18"/>
  <c r="S74" i="18"/>
  <c r="S64" i="18"/>
  <c r="R195" i="18"/>
  <c r="T62" i="18"/>
  <c r="T72" i="18"/>
  <c r="C63" i="18"/>
  <c r="C73" i="18"/>
  <c r="C158" i="18"/>
  <c r="I125" i="18"/>
  <c r="F123" i="18"/>
  <c r="L122" i="18"/>
  <c r="L61" i="18"/>
  <c r="L71" i="18"/>
  <c r="J62" i="18"/>
  <c r="J72" i="18"/>
  <c r="R63" i="18"/>
  <c r="R73" i="18"/>
  <c r="R158" i="18"/>
  <c r="M195" i="18"/>
  <c r="S196" i="18"/>
  <c r="T194" i="18"/>
  <c r="S195" i="18"/>
  <c r="L160" i="18"/>
  <c r="S161" i="18"/>
  <c r="F195" i="18"/>
  <c r="S125" i="18"/>
  <c r="K195" i="18"/>
  <c r="J195" i="18"/>
  <c r="B122" i="18"/>
  <c r="B71" i="18"/>
  <c r="B61" i="18"/>
  <c r="K124" i="18"/>
  <c r="R64" i="18"/>
  <c r="R74" i="18"/>
  <c r="M124" i="18"/>
  <c r="T160" i="18"/>
  <c r="P160" i="18"/>
  <c r="J196" i="18"/>
  <c r="L125" i="18"/>
  <c r="E63" i="18"/>
  <c r="E158" i="18"/>
  <c r="E73" i="18"/>
  <c r="M62" i="18"/>
  <c r="M72" i="18"/>
  <c r="D196" i="18"/>
  <c r="E125" i="18"/>
  <c r="D40" i="9"/>
  <c r="R196" i="18"/>
  <c r="S159" i="18"/>
  <c r="P125" i="18"/>
  <c r="I194" i="18"/>
  <c r="J71" i="18"/>
  <c r="J122" i="18"/>
  <c r="J61" i="18"/>
  <c r="F196" i="18"/>
  <c r="Q160" i="18"/>
  <c r="D160" i="18"/>
  <c r="P64" i="18"/>
  <c r="P74" i="18"/>
  <c r="D66" i="18"/>
  <c r="D76" i="18"/>
  <c r="L124" i="18"/>
  <c r="M13" i="1"/>
  <c r="E61" i="18"/>
  <c r="E71" i="18"/>
  <c r="E122" i="18"/>
  <c r="D35" i="9"/>
  <c r="T193" i="18"/>
  <c r="T65" i="18"/>
  <c r="T75" i="18"/>
  <c r="P63" i="18"/>
  <c r="P73" i="18"/>
  <c r="P158" i="18"/>
  <c r="K159" i="18"/>
  <c r="L62" i="18"/>
  <c r="L72" i="18"/>
  <c r="P161" i="18"/>
  <c r="K72" i="18"/>
  <c r="K62" i="18"/>
  <c r="L74" i="18"/>
  <c r="L64" i="18"/>
  <c r="R61" i="18"/>
  <c r="R122" i="18"/>
  <c r="R71" i="18"/>
  <c r="T64" i="18"/>
  <c r="T74" i="18"/>
  <c r="R62" i="18"/>
  <c r="R72" i="18"/>
  <c r="F73" i="18"/>
  <c r="F63" i="18"/>
  <c r="F158" i="18"/>
  <c r="C75" i="18"/>
  <c r="C65" i="18"/>
  <c r="C193" i="18"/>
  <c r="K158" i="18"/>
  <c r="K73" i="18"/>
  <c r="K63" i="18"/>
  <c r="L195" i="18"/>
  <c r="B159" i="18"/>
  <c r="D34" i="9"/>
  <c r="C66" i="18"/>
  <c r="C76" i="18"/>
  <c r="S160" i="18"/>
  <c r="C124" i="18"/>
  <c r="K71" i="18"/>
  <c r="K61" i="18"/>
  <c r="K122" i="18"/>
  <c r="M125" i="18"/>
  <c r="Q161" i="18"/>
  <c r="E195" i="18"/>
  <c r="F76" i="18"/>
  <c r="F66" i="18"/>
  <c r="P124" i="18"/>
  <c r="C161" i="18"/>
  <c r="E72" i="18"/>
  <c r="E62" i="18"/>
  <c r="F160" i="18"/>
  <c r="B66" i="18"/>
  <c r="B76" i="18"/>
  <c r="J73" i="18"/>
  <c r="J158" i="18"/>
  <c r="J63" i="18"/>
  <c r="Q66" i="18"/>
  <c r="Q76" i="18"/>
  <c r="Q195" i="18"/>
  <c r="J66" i="18"/>
  <c r="J76" i="18"/>
  <c r="C71" i="18"/>
  <c r="C122" i="18"/>
  <c r="C61" i="18"/>
  <c r="D123" i="18"/>
  <c r="K123" i="18"/>
  <c r="I76" i="18"/>
  <c r="I66" i="18"/>
  <c r="Q158" i="18"/>
  <c r="Q73" i="18"/>
  <c r="Q63" i="18"/>
  <c r="P71" i="18"/>
  <c r="P122" i="18"/>
  <c r="P61" i="18"/>
  <c r="T195" i="18"/>
  <c r="J125" i="18"/>
  <c r="I161" i="18"/>
  <c r="C64" i="18"/>
  <c r="C74" i="18"/>
  <c r="E160" i="18"/>
  <c r="B124" i="18"/>
  <c r="L75" i="18"/>
  <c r="L193" i="18"/>
  <c r="L65" i="18"/>
  <c r="K64" i="18"/>
  <c r="K74" i="18"/>
  <c r="J124" i="18"/>
  <c r="C194" i="18"/>
  <c r="S61" i="18"/>
  <c r="S71" i="18"/>
  <c r="S122" i="18"/>
  <c r="S126" i="18" s="1"/>
  <c r="S130" i="18" s="1"/>
  <c r="R194" i="18"/>
  <c r="M64" i="18"/>
  <c r="M74" i="18"/>
  <c r="B161" i="18"/>
  <c r="S73" i="18"/>
  <c r="S158" i="18"/>
  <c r="S63" i="18"/>
  <c r="J74" i="18"/>
  <c r="J64" i="18"/>
  <c r="P76" i="18"/>
  <c r="P66" i="18"/>
  <c r="I72" i="18"/>
  <c r="I62" i="18"/>
  <c r="F72" i="18"/>
  <c r="F62" i="18"/>
  <c r="D33" i="9"/>
  <c r="D75" i="18"/>
  <c r="D193" i="18"/>
  <c r="D65" i="18"/>
  <c r="S124" i="18"/>
  <c r="I159" i="18"/>
  <c r="E194" i="18"/>
  <c r="M66" i="18"/>
  <c r="M76" i="18"/>
  <c r="Q193" i="18"/>
  <c r="Q75" i="18"/>
  <c r="Q65" i="18"/>
  <c r="J160" i="18"/>
  <c r="J194" i="18"/>
  <c r="E64" i="18"/>
  <c r="E74" i="18"/>
  <c r="D74" i="18"/>
  <c r="D64" i="18"/>
  <c r="K193" i="18"/>
  <c r="K65" i="18"/>
  <c r="K75" i="18"/>
  <c r="R125" i="18"/>
  <c r="R123" i="18"/>
  <c r="P196" i="18"/>
  <c r="Q159" i="18"/>
  <c r="Q162" i="18" s="1"/>
  <c r="Q168" i="18" s="1"/>
  <c r="E123" i="18"/>
  <c r="S62" i="18"/>
  <c r="S72" i="18"/>
  <c r="S123" i="18"/>
  <c r="S75" i="18"/>
  <c r="S65" i="18"/>
  <c r="S193" i="18"/>
  <c r="T125" i="18"/>
  <c r="T161" i="18"/>
  <c r="E193" i="18"/>
  <c r="E65" i="18"/>
  <c r="E75" i="18"/>
  <c r="F65" i="18"/>
  <c r="F75" i="18"/>
  <c r="F193" i="18"/>
  <c r="J159" i="18"/>
  <c r="J162" i="18" s="1"/>
  <c r="J166" i="18" s="1"/>
  <c r="Q194" i="18"/>
  <c r="B196" i="18"/>
  <c r="F194" i="18"/>
  <c r="B158" i="18"/>
  <c r="B63" i="18"/>
  <c r="B73" i="18"/>
  <c r="C195" i="18"/>
  <c r="P194" i="18"/>
  <c r="P197" i="18" s="1"/>
  <c r="P201" i="18" s="1"/>
  <c r="R75" i="18"/>
  <c r="R65" i="18"/>
  <c r="R193" i="18"/>
  <c r="K160" i="18"/>
  <c r="T124" i="18"/>
  <c r="C196" i="18"/>
  <c r="B193" i="18"/>
  <c r="B65" i="18"/>
  <c r="B75" i="18"/>
  <c r="T159" i="18"/>
  <c r="F124" i="18"/>
  <c r="C123" i="18"/>
  <c r="D194" i="18"/>
  <c r="F159" i="18"/>
  <c r="Q62" i="18"/>
  <c r="Q72" i="18"/>
  <c r="D61" i="18"/>
  <c r="D122" i="18"/>
  <c r="D71" i="18"/>
  <c r="D159" i="18"/>
  <c r="K125" i="18"/>
  <c r="J123" i="18"/>
  <c r="D72" i="18"/>
  <c r="D62" i="18"/>
  <c r="S76" i="18"/>
  <c r="S66" i="18"/>
  <c r="D125" i="18"/>
  <c r="M71" i="18"/>
  <c r="M122" i="18"/>
  <c r="M61" i="18"/>
  <c r="Q123" i="18"/>
  <c r="I196" i="18"/>
  <c r="I197" i="18" s="1"/>
  <c r="I202" i="18" s="1"/>
  <c r="R159" i="18"/>
  <c r="J161" i="18"/>
  <c r="L76" i="18"/>
  <c r="L66" i="18"/>
  <c r="I160" i="18"/>
  <c r="D38" i="9"/>
  <c r="I73" i="18"/>
  <c r="I63" i="18"/>
  <c r="I158" i="18"/>
  <c r="P72" i="18"/>
  <c r="P62" i="18"/>
  <c r="D195" i="18"/>
  <c r="E196" i="18"/>
  <c r="I123" i="18"/>
  <c r="P195" i="18"/>
  <c r="K196" i="18"/>
  <c r="K197" i="18" s="1"/>
  <c r="K202" i="18" s="1"/>
  <c r="R160" i="18"/>
  <c r="E161" i="18"/>
  <c r="M158" i="18"/>
  <c r="M73" i="18"/>
  <c r="M63" i="18"/>
  <c r="J75" i="18"/>
  <c r="J193" i="18"/>
  <c r="J65" i="18"/>
  <c r="I195" i="18"/>
  <c r="F74" i="18"/>
  <c r="F64" i="18"/>
  <c r="C160" i="18"/>
  <c r="Q124" i="18"/>
  <c r="M196" i="18"/>
  <c r="B195" i="18"/>
  <c r="B194" i="18"/>
  <c r="B197" i="18" s="1"/>
  <c r="B204" i="18" s="1"/>
  <c r="R161" i="18"/>
  <c r="D158" i="18"/>
  <c r="D63" i="18"/>
  <c r="D73" i="18"/>
  <c r="B72" i="18"/>
  <c r="B62" i="18"/>
  <c r="P159" i="18"/>
  <c r="E124" i="18"/>
  <c r="E126" i="18" s="1"/>
  <c r="E133" i="18" s="1"/>
  <c r="L161" i="18"/>
  <c r="L196" i="18"/>
  <c r="M65" i="18"/>
  <c r="M75" i="18"/>
  <c r="M193" i="18"/>
  <c r="S194" i="18"/>
  <c r="L123" i="18"/>
  <c r="I64" i="18"/>
  <c r="I74" i="18"/>
  <c r="M123" i="18"/>
  <c r="D161" i="18"/>
  <c r="Q71" i="18"/>
  <c r="Q61" i="18"/>
  <c r="Q122" i="18"/>
  <c r="T66" i="18"/>
  <c r="T76" i="18"/>
  <c r="Q64" i="18"/>
  <c r="Q74" i="18"/>
  <c r="M194" i="18"/>
  <c r="P123" i="18"/>
  <c r="P126" i="18" s="1"/>
  <c r="P75" i="18"/>
  <c r="P193" i="18"/>
  <c r="P65" i="18"/>
  <c r="L73" i="18"/>
  <c r="L158" i="18"/>
  <c r="L63" i="18"/>
  <c r="D36" i="9"/>
  <c r="D32" i="9"/>
  <c r="T196" i="18"/>
  <c r="L194" i="18"/>
  <c r="R124" i="18"/>
  <c r="M160" i="18"/>
  <c r="M162" i="18" s="1"/>
  <c r="M168" i="18" s="1"/>
  <c r="E132" i="12"/>
  <c r="E136" i="12" s="1"/>
  <c r="E140" i="12" s="1"/>
  <c r="G157" i="12"/>
  <c r="F174" i="12"/>
  <c r="H122" i="12"/>
  <c r="H123" i="12"/>
  <c r="H126" i="12"/>
  <c r="H127" i="12"/>
  <c r="I114" i="12"/>
  <c r="H156" i="12"/>
  <c r="H128" i="12"/>
  <c r="F157" i="12"/>
  <c r="AN190" i="12"/>
  <c r="AO179" i="12"/>
  <c r="AN186" i="12"/>
  <c r="F132" i="12"/>
  <c r="F136" i="12" s="1"/>
  <c r="F183" i="12" s="1"/>
  <c r="G173" i="12"/>
  <c r="G109" i="12"/>
  <c r="H106" i="12"/>
  <c r="F108" i="12"/>
  <c r="F158" i="12" s="1"/>
  <c r="G105" i="12"/>
  <c r="E159" i="12"/>
  <c r="E181" i="12" s="1"/>
  <c r="C197" i="18"/>
  <c r="C203" i="18" s="1"/>
  <c r="I126" i="18"/>
  <c r="I132" i="18" s="1"/>
  <c r="K162" i="18"/>
  <c r="K169" i="18" s="1"/>
  <c r="E197" i="18"/>
  <c r="E203" i="18" s="1"/>
  <c r="R197" i="18"/>
  <c r="R202" i="18" s="1"/>
  <c r="I162" i="18"/>
  <c r="I167" i="18" s="1"/>
  <c r="S197" i="18"/>
  <c r="S201" i="18" s="1"/>
  <c r="R162" i="18"/>
  <c r="R167" i="18" s="1"/>
  <c r="L126" i="18"/>
  <c r="L130" i="18" s="1"/>
  <c r="R126" i="18"/>
  <c r="R130" i="18" s="1"/>
  <c r="S162" i="18"/>
  <c r="S166" i="18" s="1"/>
  <c r="C126" i="18"/>
  <c r="C133" i="18" s="1"/>
  <c r="Q126" i="18"/>
  <c r="Q133" i="18" s="1"/>
  <c r="L162" i="18"/>
  <c r="L167" i="18" s="1"/>
  <c r="E162" i="18"/>
  <c r="E167" i="18" s="1"/>
  <c r="T162" i="18"/>
  <c r="T169" i="18" s="1"/>
  <c r="F197" i="18"/>
  <c r="F203" i="18" s="1"/>
  <c r="C162" i="18"/>
  <c r="C166" i="18" s="1"/>
  <c r="M197" i="18"/>
  <c r="M203" i="18" s="1"/>
  <c r="M126" i="18"/>
  <c r="M133" i="18" s="1"/>
  <c r="J197" i="18"/>
  <c r="J203" i="18" s="1"/>
  <c r="D197" i="18"/>
  <c r="D202" i="18" s="1"/>
  <c r="D126" i="18"/>
  <c r="D131" i="18" s="1"/>
  <c r="B162" i="18"/>
  <c r="B166" i="18" s="1"/>
  <c r="D162" i="18"/>
  <c r="D166" i="18" s="1"/>
  <c r="K126" i="18"/>
  <c r="K132" i="18" s="1"/>
  <c r="E98" i="12"/>
  <c r="AX30" i="15"/>
  <c r="AG29" i="15"/>
  <c r="AG32" i="15"/>
  <c r="P34" i="15"/>
  <c r="AX26" i="15"/>
  <c r="E35" i="9"/>
  <c r="D45" i="1"/>
  <c r="AX32" i="15"/>
  <c r="E32" i="9"/>
  <c r="P35" i="15"/>
  <c r="AG28" i="15"/>
  <c r="AX33" i="15"/>
  <c r="E36" i="9"/>
  <c r="G37" i="1"/>
  <c r="P27" i="15"/>
  <c r="AG35" i="15"/>
  <c r="I148" i="12"/>
  <c r="AX34" i="15"/>
  <c r="AX31" i="15"/>
  <c r="P26" i="15"/>
  <c r="G19" i="1"/>
  <c r="G31" i="1"/>
  <c r="AG30" i="15"/>
  <c r="P30" i="15"/>
  <c r="I146" i="12"/>
  <c r="AX35" i="15"/>
  <c r="P29" i="15"/>
  <c r="E38" i="9"/>
  <c r="D32" i="1"/>
  <c r="D35" i="1"/>
  <c r="D44" i="1"/>
  <c r="P32" i="15"/>
  <c r="AG27" i="15"/>
  <c r="I145" i="12"/>
  <c r="AG34" i="15"/>
  <c r="E33" i="9"/>
  <c r="E34" i="9"/>
  <c r="AX29" i="15"/>
  <c r="AX28" i="15"/>
  <c r="AG31" i="15"/>
  <c r="P31" i="15"/>
  <c r="E40" i="9"/>
  <c r="E37" i="9"/>
  <c r="AG26" i="15"/>
  <c r="E39" i="9"/>
  <c r="AX27" i="15"/>
  <c r="AG33" i="15"/>
  <c r="P28" i="15"/>
  <c r="P33" i="15"/>
  <c r="I147" i="12"/>
  <c r="D46" i="1"/>
  <c r="L197" i="18" l="1"/>
  <c r="L203" i="18" s="1"/>
  <c r="Q197" i="18"/>
  <c r="Q204" i="18" s="1"/>
  <c r="F162" i="18"/>
  <c r="F167" i="18" s="1"/>
  <c r="J126" i="18"/>
  <c r="J132" i="18" s="1"/>
  <c r="P162" i="18"/>
  <c r="P166" i="18" s="1"/>
  <c r="B126" i="18"/>
  <c r="B132" i="18" s="1"/>
  <c r="T197" i="18"/>
  <c r="T203" i="18" s="1"/>
  <c r="F126" i="18"/>
  <c r="F133" i="18" s="1"/>
  <c r="T126" i="18"/>
  <c r="L132" i="18"/>
  <c r="T168" i="18"/>
  <c r="Q131" i="18"/>
  <c r="L133" i="18"/>
  <c r="T131" i="18"/>
  <c r="T132" i="18"/>
  <c r="F32" i="9"/>
  <c r="F38" i="9"/>
  <c r="F35" i="9"/>
  <c r="D47" i="1"/>
  <c r="F36" i="9"/>
  <c r="F33" i="9"/>
  <c r="F39" i="9"/>
  <c r="H39" i="9" s="1"/>
  <c r="F37" i="9"/>
  <c r="F40" i="9"/>
  <c r="F34" i="9"/>
  <c r="D38" i="1"/>
  <c r="P130" i="18"/>
  <c r="P132" i="18"/>
  <c r="E183" i="12"/>
  <c r="H132" i="12"/>
  <c r="I156" i="12"/>
  <c r="I157" i="12" s="1"/>
  <c r="I124" i="12"/>
  <c r="I122" i="12"/>
  <c r="I118" i="12"/>
  <c r="J114" i="12"/>
  <c r="I123" i="12"/>
  <c r="I119" i="12"/>
  <c r="I120" i="12"/>
  <c r="I144" i="12"/>
  <c r="I121" i="12"/>
  <c r="H157" i="12"/>
  <c r="H174" i="12"/>
  <c r="H173" i="12"/>
  <c r="F159" i="12"/>
  <c r="F162" i="12" s="1"/>
  <c r="AO186" i="12"/>
  <c r="AP179" i="12"/>
  <c r="AO190" i="12"/>
  <c r="S132" i="18"/>
  <c r="P133" i="18"/>
  <c r="T133" i="18"/>
  <c r="P169" i="18"/>
  <c r="C167" i="18"/>
  <c r="P168" i="18"/>
  <c r="D201" i="18"/>
  <c r="Q201" i="18"/>
  <c r="Q202" i="18"/>
  <c r="I204" i="18"/>
  <c r="P167" i="18"/>
  <c r="L202" i="18"/>
  <c r="R203" i="18"/>
  <c r="R132" i="18"/>
  <c r="C204" i="18"/>
  <c r="Q203" i="18"/>
  <c r="L131" i="18"/>
  <c r="H109" i="12"/>
  <c r="I106" i="12"/>
  <c r="F140" i="12"/>
  <c r="H105" i="12"/>
  <c r="G108" i="12"/>
  <c r="I131" i="18"/>
  <c r="M132" i="18"/>
  <c r="E202" i="18"/>
  <c r="I133" i="18"/>
  <c r="I169" i="18"/>
  <c r="Q167" i="18"/>
  <c r="Q166" i="18"/>
  <c r="E204" i="18"/>
  <c r="I168" i="18"/>
  <c r="E201" i="18"/>
  <c r="S202" i="18"/>
  <c r="R204" i="18"/>
  <c r="K204" i="18"/>
  <c r="K167" i="18"/>
  <c r="S203" i="18"/>
  <c r="C202" i="18"/>
  <c r="J131" i="18"/>
  <c r="C168" i="18"/>
  <c r="C169" i="18"/>
  <c r="D169" i="18"/>
  <c r="J133" i="18"/>
  <c r="L201" i="18"/>
  <c r="S204" i="18"/>
  <c r="C201" i="18"/>
  <c r="J169" i="18"/>
  <c r="F201" i="18"/>
  <c r="K201" i="18"/>
  <c r="E162" i="12"/>
  <c r="K130" i="18"/>
  <c r="D130" i="18"/>
  <c r="E131" i="18"/>
  <c r="M202" i="18"/>
  <c r="K168" i="18"/>
  <c r="P204" i="18"/>
  <c r="K203" i="18"/>
  <c r="K166" i="18"/>
  <c r="E132" i="18"/>
  <c r="S133" i="18"/>
  <c r="D133" i="18"/>
  <c r="T167" i="18"/>
  <c r="S168" i="18"/>
  <c r="T166" i="18"/>
  <c r="C130" i="18"/>
  <c r="R133" i="18"/>
  <c r="Q169" i="18"/>
  <c r="D168" i="18"/>
  <c r="S167" i="18"/>
  <c r="D132" i="18"/>
  <c r="L166" i="18"/>
  <c r="L169" i="18"/>
  <c r="F131" i="18"/>
  <c r="F169" i="18"/>
  <c r="P203" i="18"/>
  <c r="J130" i="18"/>
  <c r="R201" i="18"/>
  <c r="R205" i="18" s="1"/>
  <c r="J204" i="18"/>
  <c r="D167" i="18"/>
  <c r="P202" i="18"/>
  <c r="S131" i="18"/>
  <c r="M204" i="18"/>
  <c r="K131" i="18"/>
  <c r="S169" i="18"/>
  <c r="M201" i="18"/>
  <c r="E161" i="12"/>
  <c r="B201" i="18"/>
  <c r="J201" i="18"/>
  <c r="K133" i="18"/>
  <c r="M169" i="18"/>
  <c r="D204" i="18"/>
  <c r="R131" i="18"/>
  <c r="R169" i="18"/>
  <c r="B133" i="18"/>
  <c r="I166" i="18"/>
  <c r="F168" i="18"/>
  <c r="B130" i="18"/>
  <c r="D203" i="18"/>
  <c r="C131" i="18"/>
  <c r="E168" i="18"/>
  <c r="L204" i="18"/>
  <c r="E166" i="18"/>
  <c r="B203" i="18"/>
  <c r="L168" i="18"/>
  <c r="J168" i="18"/>
  <c r="F132" i="18"/>
  <c r="E169" i="18"/>
  <c r="J167" i="18"/>
  <c r="E130" i="18"/>
  <c r="M166" i="18"/>
  <c r="T201" i="18"/>
  <c r="R166" i="18"/>
  <c r="F130" i="18"/>
  <c r="I130" i="18"/>
  <c r="J202" i="18"/>
  <c r="M167" i="18"/>
  <c r="R168" i="18"/>
  <c r="M131" i="18"/>
  <c r="P131" i="18"/>
  <c r="P134" i="18" s="1"/>
  <c r="I203" i="18"/>
  <c r="C132" i="18"/>
  <c r="B169" i="18"/>
  <c r="B202" i="18"/>
  <c r="M130" i="18"/>
  <c r="B168" i="18"/>
  <c r="F166" i="18"/>
  <c r="L134" i="18"/>
  <c r="B167" i="18"/>
  <c r="F202" i="18"/>
  <c r="F204" i="18"/>
  <c r="Q132" i="18"/>
  <c r="Q130" i="18"/>
  <c r="I201" i="18"/>
  <c r="B131" i="18"/>
  <c r="T130" i="18"/>
  <c r="I126" i="12"/>
  <c r="J126" i="12"/>
  <c r="G38" i="1"/>
  <c r="G45" i="1"/>
  <c r="G47" i="1"/>
  <c r="J146" i="12"/>
  <c r="J145" i="12"/>
  <c r="D48" i="1"/>
  <c r="G35" i="1"/>
  <c r="J148" i="12"/>
  <c r="G46" i="1"/>
  <c r="G44" i="1"/>
  <c r="J147" i="12"/>
  <c r="D34" i="1"/>
  <c r="T202" i="18" l="1"/>
  <c r="T204" i="18"/>
  <c r="S134" i="18"/>
  <c r="D60" i="1"/>
  <c r="E18" i="12"/>
  <c r="P4" i="12" s="1"/>
  <c r="E17" i="12"/>
  <c r="D51" i="1"/>
  <c r="D135" i="1" s="1"/>
  <c r="D137" i="1" s="1"/>
  <c r="G137" i="1" s="1"/>
  <c r="E100" i="12" s="1"/>
  <c r="C170" i="18"/>
  <c r="Q205" i="18"/>
  <c r="P170" i="18"/>
  <c r="J134" i="18"/>
  <c r="E134" i="18"/>
  <c r="T134" i="18"/>
  <c r="Q170" i="18"/>
  <c r="K134" i="18"/>
  <c r="K205" i="18"/>
  <c r="I170" i="18"/>
  <c r="D134" i="18"/>
  <c r="C205" i="18"/>
  <c r="F161" i="12"/>
  <c r="F181" i="12"/>
  <c r="AQ179" i="12"/>
  <c r="AP186" i="12"/>
  <c r="AP190" i="12"/>
  <c r="J122" i="12"/>
  <c r="K114" i="12"/>
  <c r="J124" i="12"/>
  <c r="J118" i="12"/>
  <c r="J123" i="12"/>
  <c r="J156" i="12"/>
  <c r="J157" i="12" s="1"/>
  <c r="J119" i="12"/>
  <c r="J121" i="12"/>
  <c r="J120" i="12"/>
  <c r="J144" i="12"/>
  <c r="I130" i="12"/>
  <c r="I131" i="12" s="1"/>
  <c r="I134" i="18"/>
  <c r="D205" i="18"/>
  <c r="E205" i="18"/>
  <c r="S205" i="18"/>
  <c r="C134" i="18"/>
  <c r="M205" i="18"/>
  <c r="R134" i="18"/>
  <c r="J106" i="12"/>
  <c r="I109" i="12"/>
  <c r="G158" i="12"/>
  <c r="G159" i="12" s="1"/>
  <c r="G136" i="12"/>
  <c r="I105" i="12"/>
  <c r="H108" i="12"/>
  <c r="L170" i="18"/>
  <c r="S170" i="18"/>
  <c r="J205" i="18"/>
  <c r="J170" i="18"/>
  <c r="L205" i="18"/>
  <c r="F205" i="18"/>
  <c r="P205" i="18"/>
  <c r="I205" i="18"/>
  <c r="F134" i="18"/>
  <c r="K170" i="18"/>
  <c r="F170" i="18"/>
  <c r="D170" i="18"/>
  <c r="T170" i="18"/>
  <c r="B205" i="18"/>
  <c r="R170" i="18"/>
  <c r="M134" i="18"/>
  <c r="B170" i="18"/>
  <c r="Q134" i="18"/>
  <c r="B134" i="18"/>
  <c r="E170" i="18"/>
  <c r="T205" i="18"/>
  <c r="M170" i="18"/>
  <c r="K147" i="12"/>
  <c r="D66" i="1"/>
  <c r="D72" i="1"/>
  <c r="D71" i="1"/>
  <c r="K148" i="12"/>
  <c r="D67" i="1"/>
  <c r="D76" i="1"/>
  <c r="K145" i="12"/>
  <c r="D70" i="1"/>
  <c r="G34" i="1"/>
  <c r="K146" i="12"/>
  <c r="D64" i="1"/>
  <c r="G48" i="1"/>
  <c r="D62" i="1"/>
  <c r="D77" i="1"/>
  <c r="D78" i="1"/>
  <c r="D65" i="1"/>
  <c r="D73" i="1"/>
  <c r="D79" i="1"/>
  <c r="D118" i="1" l="1"/>
  <c r="D119" i="1" s="1"/>
  <c r="G66" i="1"/>
  <c r="G84" i="1" s="1"/>
  <c r="G103" i="1" s="1"/>
  <c r="G71" i="1"/>
  <c r="G89" i="1" s="1"/>
  <c r="G78" i="1"/>
  <c r="G96" i="1" s="1"/>
  <c r="G65" i="1"/>
  <c r="G83" i="1" s="1"/>
  <c r="G102" i="1" s="1"/>
  <c r="G72" i="1"/>
  <c r="G90" i="1" s="1"/>
  <c r="G76" i="1"/>
  <c r="G94" i="1" s="1"/>
  <c r="D80" i="1"/>
  <c r="G67" i="1"/>
  <c r="G85" i="1" s="1"/>
  <c r="G104" i="1" s="1"/>
  <c r="G73" i="1"/>
  <c r="G91" i="1" s="1"/>
  <c r="G79" i="1"/>
  <c r="G97" i="1" s="1"/>
  <c r="D68" i="1"/>
  <c r="G64" i="1"/>
  <c r="G82" i="1" s="1"/>
  <c r="G101" i="1" s="1"/>
  <c r="G77" i="1"/>
  <c r="G95" i="1" s="1"/>
  <c r="G70" i="1"/>
  <c r="G88" i="1" s="1"/>
  <c r="D74" i="1"/>
  <c r="AR179" i="12"/>
  <c r="AQ186" i="12"/>
  <c r="AQ190" i="12"/>
  <c r="J130" i="12"/>
  <c r="J131" i="12" s="1"/>
  <c r="K122" i="12"/>
  <c r="K123" i="12"/>
  <c r="K119" i="12"/>
  <c r="K124" i="12"/>
  <c r="K121" i="12"/>
  <c r="L114" i="12"/>
  <c r="K118" i="12"/>
  <c r="K120" i="12"/>
  <c r="K144" i="12"/>
  <c r="K156" i="12"/>
  <c r="K157" i="12" s="1"/>
  <c r="K126" i="12"/>
  <c r="K106" i="12"/>
  <c r="J109" i="12"/>
  <c r="H158" i="12"/>
  <c r="H159" i="12" s="1"/>
  <c r="H136" i="12"/>
  <c r="J105" i="12"/>
  <c r="I108" i="12"/>
  <c r="G183" i="12"/>
  <c r="G140" i="12"/>
  <c r="G181" i="12"/>
  <c r="G162" i="12"/>
  <c r="G161" i="12"/>
  <c r="K128" i="12"/>
  <c r="L128" i="12"/>
  <c r="J128" i="12"/>
  <c r="I128" i="12"/>
  <c r="L148" i="12"/>
  <c r="E90" i="12"/>
  <c r="D36" i="1"/>
  <c r="E91" i="12"/>
  <c r="L146" i="12"/>
  <c r="E89" i="12"/>
  <c r="L147" i="12"/>
  <c r="L145" i="12"/>
  <c r="G118" i="1" l="1"/>
  <c r="G119" i="1" s="1"/>
  <c r="G130" i="1" s="1"/>
  <c r="G132" i="1" s="1"/>
  <c r="G74" i="1"/>
  <c r="G80" i="1"/>
  <c r="G68" i="1"/>
  <c r="E121" i="12"/>
  <c r="G121" i="12"/>
  <c r="F121" i="12"/>
  <c r="H121" i="12"/>
  <c r="F120" i="12"/>
  <c r="G120" i="12"/>
  <c r="E120" i="12"/>
  <c r="H120" i="12"/>
  <c r="K130" i="12"/>
  <c r="K131" i="12" s="1"/>
  <c r="M114" i="12"/>
  <c r="L120" i="12"/>
  <c r="L121" i="12"/>
  <c r="L124" i="12"/>
  <c r="L144" i="12"/>
  <c r="L118" i="12"/>
  <c r="L122" i="12"/>
  <c r="L123" i="12"/>
  <c r="L119" i="12"/>
  <c r="L156" i="12"/>
  <c r="L157" i="12" s="1"/>
  <c r="L126" i="12"/>
  <c r="AS179" i="12"/>
  <c r="AR186" i="12"/>
  <c r="AR190" i="12"/>
  <c r="G98" i="1"/>
  <c r="G92" i="1"/>
  <c r="G86" i="1"/>
  <c r="G119" i="12"/>
  <c r="F119" i="12"/>
  <c r="H119" i="12"/>
  <c r="E119" i="12"/>
  <c r="L106" i="12"/>
  <c r="K109" i="12"/>
  <c r="H140" i="12"/>
  <c r="H183" i="12"/>
  <c r="I158" i="12"/>
  <c r="I159" i="12" s="1"/>
  <c r="I135" i="12"/>
  <c r="H181" i="12"/>
  <c r="H161" i="12"/>
  <c r="H162" i="12"/>
  <c r="K105" i="12"/>
  <c r="J108" i="12"/>
  <c r="G105" i="1"/>
  <c r="G36" i="1"/>
  <c r="M145" i="12"/>
  <c r="M147" i="12"/>
  <c r="M148" i="12"/>
  <c r="E88" i="12"/>
  <c r="M146" i="12"/>
  <c r="G106" i="1"/>
  <c r="E94" i="12" l="1"/>
  <c r="E95" i="12" s="1"/>
  <c r="AS186" i="12"/>
  <c r="AT179" i="12"/>
  <c r="AS190" i="12"/>
  <c r="M120" i="12"/>
  <c r="M122" i="12"/>
  <c r="M118" i="12"/>
  <c r="M156" i="12"/>
  <c r="M157" i="12" s="1"/>
  <c r="M123" i="12"/>
  <c r="M124" i="12"/>
  <c r="M121" i="12"/>
  <c r="N114" i="12"/>
  <c r="M144" i="12"/>
  <c r="M119" i="12"/>
  <c r="M126" i="12"/>
  <c r="M128" i="12"/>
  <c r="L130" i="12"/>
  <c r="L131" i="12" s="1"/>
  <c r="L109" i="12"/>
  <c r="M106" i="12"/>
  <c r="L105" i="12"/>
  <c r="K108" i="12"/>
  <c r="J135" i="12"/>
  <c r="J158" i="12"/>
  <c r="J159" i="12" s="1"/>
  <c r="I143" i="12"/>
  <c r="I195" i="12" s="1"/>
  <c r="I139" i="12"/>
  <c r="I181" i="12"/>
  <c r="I162" i="12"/>
  <c r="I161" i="12"/>
  <c r="E99" i="12"/>
  <c r="G138" i="1"/>
  <c r="H118" i="12"/>
  <c r="G118" i="12"/>
  <c r="E118" i="12"/>
  <c r="F118" i="12"/>
  <c r="G113" i="1"/>
  <c r="G120" i="1" s="1"/>
  <c r="N147" i="12"/>
  <c r="N148" i="12"/>
  <c r="N145" i="12"/>
  <c r="N146" i="12"/>
  <c r="G124" i="12" l="1"/>
  <c r="G130" i="12" s="1"/>
  <c r="G131" i="12" s="1"/>
  <c r="G135" i="12" s="1"/>
  <c r="G139" i="12" s="1"/>
  <c r="E124" i="12"/>
  <c r="E130" i="12" s="1"/>
  <c r="H124" i="12"/>
  <c r="H130" i="12" s="1"/>
  <c r="H131" i="12" s="1"/>
  <c r="H135" i="12" s="1"/>
  <c r="H143" i="12" s="1"/>
  <c r="F124" i="12"/>
  <c r="F130" i="12" s="1"/>
  <c r="F131" i="12" s="1"/>
  <c r="F135" i="12" s="1"/>
  <c r="F143" i="12" s="1"/>
  <c r="M130" i="12"/>
  <c r="M131" i="12" s="1"/>
  <c r="N124" i="12"/>
  <c r="N144" i="12"/>
  <c r="N118" i="12"/>
  <c r="N123" i="12"/>
  <c r="N119" i="12"/>
  <c r="N121" i="12"/>
  <c r="N122" i="12"/>
  <c r="N120" i="12"/>
  <c r="O114" i="12"/>
  <c r="N156" i="12"/>
  <c r="N157" i="12" s="1"/>
  <c r="N126" i="12"/>
  <c r="N128" i="12"/>
  <c r="AT186" i="12"/>
  <c r="AT190" i="12"/>
  <c r="AU179" i="12"/>
  <c r="N106" i="12"/>
  <c r="M109" i="12"/>
  <c r="J143" i="12"/>
  <c r="J195" i="12" s="1"/>
  <c r="J139" i="12"/>
  <c r="J162" i="12"/>
  <c r="J161" i="12"/>
  <c r="J181" i="12"/>
  <c r="K158" i="12"/>
  <c r="K159" i="12" s="1"/>
  <c r="K135" i="12"/>
  <c r="L108" i="12"/>
  <c r="M105" i="12"/>
  <c r="I127" i="12"/>
  <c r="O127" i="12"/>
  <c r="N127" i="12"/>
  <c r="K127" i="12"/>
  <c r="K132" i="12" s="1"/>
  <c r="K136" i="12" s="1"/>
  <c r="L127" i="12"/>
  <c r="L132" i="12" s="1"/>
  <c r="E101" i="12"/>
  <c r="J127" i="12"/>
  <c r="J132" i="12" s="1"/>
  <c r="J136" i="12" s="1"/>
  <c r="M127" i="12"/>
  <c r="M132" i="12" s="1"/>
  <c r="O145" i="12"/>
  <c r="O146" i="12"/>
  <c r="O147" i="12"/>
  <c r="O148" i="12"/>
  <c r="N132" i="12" l="1"/>
  <c r="N130" i="12"/>
  <c r="N131" i="12" s="1"/>
  <c r="O124" i="12"/>
  <c r="O123" i="12"/>
  <c r="O120" i="12"/>
  <c r="O156" i="12"/>
  <c r="O157" i="12" s="1"/>
  <c r="P114" i="12"/>
  <c r="O121" i="12"/>
  <c r="O118" i="12"/>
  <c r="O122" i="12"/>
  <c r="O119" i="12"/>
  <c r="O144" i="12"/>
  <c r="O126" i="12"/>
  <c r="O128" i="12"/>
  <c r="AU190" i="12"/>
  <c r="AU186" i="12"/>
  <c r="AV179" i="12"/>
  <c r="L136" i="12"/>
  <c r="L140" i="12" s="1"/>
  <c r="O106" i="12"/>
  <c r="N109" i="12"/>
  <c r="K139" i="12"/>
  <c r="K143" i="12"/>
  <c r="K195" i="12" s="1"/>
  <c r="K161" i="12"/>
  <c r="K181" i="12"/>
  <c r="K162" i="12"/>
  <c r="N105" i="12"/>
  <c r="M108" i="12"/>
  <c r="M136" i="12" s="1"/>
  <c r="M140" i="12" s="1"/>
  <c r="L158" i="12"/>
  <c r="L159" i="12" s="1"/>
  <c r="L135" i="12"/>
  <c r="G143" i="12"/>
  <c r="G195" i="12" s="1"/>
  <c r="H139" i="12"/>
  <c r="F139" i="12"/>
  <c r="I132" i="12"/>
  <c r="J183" i="12"/>
  <c r="J140" i="12"/>
  <c r="K140" i="12"/>
  <c r="K183" i="12"/>
  <c r="H144" i="12"/>
  <c r="H195" i="12"/>
  <c r="E131" i="12"/>
  <c r="F195" i="12"/>
  <c r="F144" i="12"/>
  <c r="P148" i="12"/>
  <c r="P147" i="12"/>
  <c r="P145" i="12"/>
  <c r="P146" i="12"/>
  <c r="O132" i="12" l="1"/>
  <c r="AW179" i="12"/>
  <c r="AV186" i="12"/>
  <c r="AV190" i="12"/>
  <c r="O130" i="12"/>
  <c r="P120" i="12"/>
  <c r="P124" i="12"/>
  <c r="P122" i="12"/>
  <c r="P118" i="12"/>
  <c r="P121" i="12"/>
  <c r="P119" i="12"/>
  <c r="P144" i="12"/>
  <c r="P123" i="12"/>
  <c r="Q114" i="12"/>
  <c r="P156" i="12"/>
  <c r="P157" i="12" s="1"/>
  <c r="P126" i="12"/>
  <c r="P128" i="12"/>
  <c r="P127" i="12"/>
  <c r="L183" i="12"/>
  <c r="M183" i="12"/>
  <c r="P106" i="12"/>
  <c r="O109" i="12"/>
  <c r="N108" i="12"/>
  <c r="O105" i="12"/>
  <c r="L139" i="12"/>
  <c r="L143" i="12"/>
  <c r="L195" i="12" s="1"/>
  <c r="L161" i="12"/>
  <c r="L162" i="12"/>
  <c r="L181" i="12"/>
  <c r="M135" i="12"/>
  <c r="M158" i="12"/>
  <c r="M159" i="12" s="1"/>
  <c r="G144" i="12"/>
  <c r="I136" i="12"/>
  <c r="E135" i="12"/>
  <c r="Q146" i="12"/>
  <c r="Q148" i="12"/>
  <c r="Q147" i="12"/>
  <c r="Q145" i="12"/>
  <c r="O131" i="12" l="1"/>
  <c r="P132" i="12"/>
  <c r="P130" i="12"/>
  <c r="P131" i="12" s="1"/>
  <c r="AX179" i="12"/>
  <c r="AW186" i="12"/>
  <c r="AW190" i="12"/>
  <c r="Q122" i="12"/>
  <c r="Q124" i="12"/>
  <c r="Q156" i="12"/>
  <c r="Q157" i="12" s="1"/>
  <c r="R114" i="12"/>
  <c r="Q144" i="12"/>
  <c r="Q120" i="12"/>
  <c r="Q118" i="12"/>
  <c r="Q123" i="12"/>
  <c r="Q119" i="12"/>
  <c r="Q121" i="12"/>
  <c r="Q126" i="12"/>
  <c r="Q128" i="12"/>
  <c r="Q127" i="12"/>
  <c r="Q106" i="12"/>
  <c r="P109" i="12"/>
  <c r="M139" i="12"/>
  <c r="M143" i="12"/>
  <c r="M195" i="12" s="1"/>
  <c r="M162" i="12"/>
  <c r="M181" i="12"/>
  <c r="M161" i="12"/>
  <c r="O108" i="12"/>
  <c r="P105" i="12"/>
  <c r="N135" i="12"/>
  <c r="N158" i="12"/>
  <c r="N159" i="12" s="1"/>
  <c r="N136" i="12"/>
  <c r="I183" i="12"/>
  <c r="I140" i="12"/>
  <c r="E143" i="12"/>
  <c r="E171" i="12"/>
  <c r="E139" i="12"/>
  <c r="R145" i="12"/>
  <c r="R147" i="12"/>
  <c r="R148" i="12"/>
  <c r="R146" i="12"/>
  <c r="Q132" i="12" l="1"/>
  <c r="R122" i="12"/>
  <c r="R123" i="12"/>
  <c r="R124" i="12"/>
  <c r="R119" i="12"/>
  <c r="R120" i="12"/>
  <c r="S114" i="12"/>
  <c r="R156" i="12"/>
  <c r="R157" i="12" s="1"/>
  <c r="R144" i="12"/>
  <c r="R121" i="12"/>
  <c r="R118" i="12"/>
  <c r="R126" i="12"/>
  <c r="R128" i="12"/>
  <c r="R127" i="12"/>
  <c r="AY179" i="12"/>
  <c r="AX190" i="12"/>
  <c r="AX186" i="12"/>
  <c r="Q130" i="12"/>
  <c r="Q131" i="12" s="1"/>
  <c r="Q109" i="12"/>
  <c r="R106" i="12"/>
  <c r="O158" i="12"/>
  <c r="O159" i="12" s="1"/>
  <c r="O135" i="12"/>
  <c r="O136" i="12"/>
  <c r="N162" i="12"/>
  <c r="N181" i="12"/>
  <c r="N161" i="12"/>
  <c r="N139" i="12"/>
  <c r="N143" i="12"/>
  <c r="N195" i="12" s="1"/>
  <c r="N183" i="12"/>
  <c r="N140" i="12"/>
  <c r="Q105" i="12"/>
  <c r="P108" i="12"/>
  <c r="E172" i="12"/>
  <c r="F171" i="12" s="1"/>
  <c r="E144" i="12"/>
  <c r="E195" i="12"/>
  <c r="S145" i="12"/>
  <c r="S146" i="12"/>
  <c r="S148" i="12"/>
  <c r="S147" i="12"/>
  <c r="S119" i="12" l="1"/>
  <c r="S144" i="12"/>
  <c r="T114" i="12"/>
  <c r="S156" i="12"/>
  <c r="S157" i="12" s="1"/>
  <c r="S124" i="12"/>
  <c r="S123" i="12"/>
  <c r="S121" i="12"/>
  <c r="S122" i="12"/>
  <c r="S118" i="12"/>
  <c r="S120" i="12"/>
  <c r="S126" i="12"/>
  <c r="S128" i="12"/>
  <c r="S127" i="12"/>
  <c r="R132" i="12"/>
  <c r="AY190" i="12"/>
  <c r="AZ179" i="12"/>
  <c r="AY186" i="12"/>
  <c r="R130" i="12"/>
  <c r="R109" i="12"/>
  <c r="S106" i="12"/>
  <c r="Q108" i="12"/>
  <c r="R105" i="12"/>
  <c r="O143" i="12"/>
  <c r="O195" i="12" s="1"/>
  <c r="O139" i="12"/>
  <c r="P136" i="12"/>
  <c r="P158" i="12"/>
  <c r="P159" i="12" s="1"/>
  <c r="P135" i="12"/>
  <c r="O140" i="12"/>
  <c r="O183" i="12"/>
  <c r="O181" i="12"/>
  <c r="O162" i="12"/>
  <c r="O161" i="12"/>
  <c r="F172" i="12"/>
  <c r="T145" i="12"/>
  <c r="T148" i="12"/>
  <c r="T146" i="12"/>
  <c r="T147" i="12"/>
  <c r="S132" i="12" l="1"/>
  <c r="T120" i="12"/>
  <c r="T122" i="12"/>
  <c r="T118" i="12"/>
  <c r="T119" i="12"/>
  <c r="T124" i="12"/>
  <c r="T144" i="12"/>
  <c r="T123" i="12"/>
  <c r="U114" i="12"/>
  <c r="T121" i="12"/>
  <c r="T156" i="12"/>
  <c r="T157" i="12" s="1"/>
  <c r="T126" i="12"/>
  <c r="T128" i="12"/>
  <c r="T127" i="12"/>
  <c r="R131" i="12"/>
  <c r="AZ186" i="12"/>
  <c r="BA179" i="12"/>
  <c r="AZ190" i="12"/>
  <c r="S130" i="12"/>
  <c r="S131" i="12" s="1"/>
  <c r="S109" i="12"/>
  <c r="T106" i="12"/>
  <c r="P181" i="12"/>
  <c r="P161" i="12"/>
  <c r="P162" i="12"/>
  <c r="S105" i="12"/>
  <c r="R108" i="12"/>
  <c r="Q158" i="12"/>
  <c r="Q159" i="12" s="1"/>
  <c r="Q135" i="12"/>
  <c r="Q136" i="12"/>
  <c r="P139" i="12"/>
  <c r="P143" i="12"/>
  <c r="P195" i="12" s="1"/>
  <c r="P183" i="12"/>
  <c r="P140" i="12"/>
  <c r="G171" i="12"/>
  <c r="U145" i="12"/>
  <c r="U148" i="12"/>
  <c r="U147" i="12"/>
  <c r="U146" i="12"/>
  <c r="T132" i="12" l="1"/>
  <c r="T130" i="12"/>
  <c r="T131" i="12" s="1"/>
  <c r="BA190" i="12"/>
  <c r="BB179" i="12"/>
  <c r="BA186" i="12"/>
  <c r="U122" i="12"/>
  <c r="U144" i="12"/>
  <c r="V114" i="12"/>
  <c r="U156" i="12"/>
  <c r="U157" i="12" s="1"/>
  <c r="U118" i="12"/>
  <c r="U124" i="12"/>
  <c r="U123" i="12"/>
  <c r="U119" i="12"/>
  <c r="U120" i="12"/>
  <c r="U121" i="12"/>
  <c r="U126" i="12"/>
  <c r="U128" i="12"/>
  <c r="U127" i="12"/>
  <c r="U106" i="12"/>
  <c r="T109" i="12"/>
  <c r="Q162" i="12"/>
  <c r="Q161" i="12"/>
  <c r="Q181" i="12"/>
  <c r="Q139" i="12"/>
  <c r="Q143" i="12"/>
  <c r="Q195" i="12" s="1"/>
  <c r="R158" i="12"/>
  <c r="R159" i="12" s="1"/>
  <c r="R136" i="12"/>
  <c r="R135" i="12"/>
  <c r="T105" i="12"/>
  <c r="S108" i="12"/>
  <c r="Q183" i="12"/>
  <c r="Q140" i="12"/>
  <c r="G172" i="12"/>
  <c r="V148" i="12"/>
  <c r="V147" i="12"/>
  <c r="V145" i="12"/>
  <c r="V146" i="12"/>
  <c r="V124" i="12" l="1"/>
  <c r="V122" i="12"/>
  <c r="V123" i="12"/>
  <c r="V119" i="12"/>
  <c r="W114" i="12"/>
  <c r="V156" i="12"/>
  <c r="V157" i="12" s="1"/>
  <c r="V118" i="12"/>
  <c r="V120" i="12"/>
  <c r="V121" i="12"/>
  <c r="V144" i="12"/>
  <c r="V126" i="12"/>
  <c r="V128" i="12"/>
  <c r="V127" i="12"/>
  <c r="BB190" i="12"/>
  <c r="BC179" i="12"/>
  <c r="BB186" i="12"/>
  <c r="U132" i="12"/>
  <c r="U130" i="12"/>
  <c r="U109" i="12"/>
  <c r="V106" i="12"/>
  <c r="R161" i="12"/>
  <c r="R181" i="12"/>
  <c r="R162" i="12"/>
  <c r="R139" i="12"/>
  <c r="R143" i="12"/>
  <c r="R195" i="12" s="1"/>
  <c r="U105" i="12"/>
  <c r="T108" i="12"/>
  <c r="R140" i="12"/>
  <c r="R183" i="12"/>
  <c r="S158" i="12"/>
  <c r="S159" i="12" s="1"/>
  <c r="S135" i="12"/>
  <c r="S136" i="12"/>
  <c r="H171" i="12"/>
  <c r="H172" i="12" s="1"/>
  <c r="W148" i="12"/>
  <c r="W145" i="12"/>
  <c r="W146" i="12"/>
  <c r="W147" i="12"/>
  <c r="V130" i="12" l="1"/>
  <c r="V131" i="12" s="1"/>
  <c r="V132" i="12"/>
  <c r="W124" i="12"/>
  <c r="W122" i="12"/>
  <c r="W123" i="12"/>
  <c r="W119" i="12"/>
  <c r="W118" i="12"/>
  <c r="X114" i="12"/>
  <c r="W120" i="12"/>
  <c r="W144" i="12"/>
  <c r="W121" i="12"/>
  <c r="W156" i="12"/>
  <c r="W157" i="12" s="1"/>
  <c r="W126" i="12"/>
  <c r="W128" i="12"/>
  <c r="W127" i="12"/>
  <c r="U131" i="12"/>
  <c r="BC190" i="12"/>
  <c r="BD179" i="12"/>
  <c r="BC186" i="12"/>
  <c r="V109" i="12"/>
  <c r="W106" i="12"/>
  <c r="S140" i="12"/>
  <c r="S183" i="12"/>
  <c r="S143" i="12"/>
  <c r="S195" i="12" s="1"/>
  <c r="S139" i="12"/>
  <c r="S181" i="12"/>
  <c r="S162" i="12"/>
  <c r="S161" i="12"/>
  <c r="T158" i="12"/>
  <c r="T159" i="12" s="1"/>
  <c r="T135" i="12"/>
  <c r="T136" i="12"/>
  <c r="V105" i="12"/>
  <c r="U108" i="12"/>
  <c r="I171" i="12"/>
  <c r="I172" i="12" s="1"/>
  <c r="I173" i="12" s="1"/>
  <c r="J171" i="12" s="1"/>
  <c r="X145" i="12"/>
  <c r="X146" i="12"/>
  <c r="X147" i="12"/>
  <c r="X148" i="12"/>
  <c r="BD186" i="12" l="1"/>
  <c r="BE179" i="12"/>
  <c r="BD190" i="12"/>
  <c r="X119" i="12"/>
  <c r="X124" i="12"/>
  <c r="X156" i="12"/>
  <c r="X157" i="12" s="1"/>
  <c r="X120" i="12"/>
  <c r="X118" i="12"/>
  <c r="Y114" i="12"/>
  <c r="X144" i="12"/>
  <c r="X121" i="12"/>
  <c r="X122" i="12"/>
  <c r="X123" i="12"/>
  <c r="X126" i="12"/>
  <c r="X128" i="12"/>
  <c r="X127" i="12"/>
  <c r="W132" i="12"/>
  <c r="W130" i="12"/>
  <c r="W131" i="12" s="1"/>
  <c r="W109" i="12"/>
  <c r="X106" i="12"/>
  <c r="U135" i="12"/>
  <c r="U136" i="12"/>
  <c r="U158" i="12"/>
  <c r="U159" i="12" s="1"/>
  <c r="V108" i="12"/>
  <c r="W105" i="12"/>
  <c r="T140" i="12"/>
  <c r="T183" i="12"/>
  <c r="T139" i="12"/>
  <c r="T143" i="12"/>
  <c r="T195" i="12" s="1"/>
  <c r="T161" i="12"/>
  <c r="T181" i="12"/>
  <c r="T162" i="12"/>
  <c r="J172" i="12"/>
  <c r="J173" i="12" s="1"/>
  <c r="K171" i="12" s="1"/>
  <c r="I174" i="12"/>
  <c r="Y148" i="12"/>
  <c r="Y145" i="12"/>
  <c r="Y147" i="12"/>
  <c r="Y146" i="12"/>
  <c r="Y119" i="12" l="1"/>
  <c r="Y124" i="12"/>
  <c r="Y121" i="12"/>
  <c r="Y122" i="12"/>
  <c r="Y118" i="12"/>
  <c r="Y144" i="12"/>
  <c r="Y123" i="12"/>
  <c r="Y120" i="12"/>
  <c r="Z114" i="12"/>
  <c r="Y156" i="12"/>
  <c r="Y157" i="12" s="1"/>
  <c r="Y126" i="12"/>
  <c r="Y128" i="12"/>
  <c r="Y127" i="12"/>
  <c r="X132" i="12"/>
  <c r="X130" i="12"/>
  <c r="X131" i="12" s="1"/>
  <c r="BE190" i="12"/>
  <c r="BE186" i="12"/>
  <c r="BF179" i="12"/>
  <c r="X109" i="12"/>
  <c r="Y106" i="12"/>
  <c r="V158" i="12"/>
  <c r="V159" i="12" s="1"/>
  <c r="V135" i="12"/>
  <c r="V136" i="12"/>
  <c r="U162" i="12"/>
  <c r="U161" i="12"/>
  <c r="U181" i="12"/>
  <c r="U183" i="12"/>
  <c r="U140" i="12"/>
  <c r="X105" i="12"/>
  <c r="W108" i="12"/>
  <c r="U143" i="12"/>
  <c r="U195" i="12" s="1"/>
  <c r="U139" i="12"/>
  <c r="K172" i="12"/>
  <c r="K173" i="12" s="1"/>
  <c r="L171" i="12" s="1"/>
  <c r="J174" i="12"/>
  <c r="Z147" i="12"/>
  <c r="Z145" i="12"/>
  <c r="Z148" i="12"/>
  <c r="Z146" i="12"/>
  <c r="Y130" i="12" l="1"/>
  <c r="Y131" i="12" s="1"/>
  <c r="Y132" i="12"/>
  <c r="BG179" i="12"/>
  <c r="BF190" i="12"/>
  <c r="BF186" i="12"/>
  <c r="Z121" i="12"/>
  <c r="Z156" i="12"/>
  <c r="Z157" i="12" s="1"/>
  <c r="Z124" i="12"/>
  <c r="Z122" i="12"/>
  <c r="Z120" i="12"/>
  <c r="Z144" i="12"/>
  <c r="Z118" i="12"/>
  <c r="Z123" i="12"/>
  <c r="AA114" i="12"/>
  <c r="Z119" i="12"/>
  <c r="Z126" i="12"/>
  <c r="Z128" i="12"/>
  <c r="Z127" i="12"/>
  <c r="Z106" i="12"/>
  <c r="Y109" i="12"/>
  <c r="W158" i="12"/>
  <c r="W159" i="12" s="1"/>
  <c r="W135" i="12"/>
  <c r="W136" i="12"/>
  <c r="V183" i="12"/>
  <c r="V140" i="12"/>
  <c r="Y105" i="12"/>
  <c r="X108" i="12"/>
  <c r="V162" i="12"/>
  <c r="V181" i="12"/>
  <c r="V161" i="12"/>
  <c r="V143" i="12"/>
  <c r="V195" i="12" s="1"/>
  <c r="V139" i="12"/>
  <c r="L172" i="12"/>
  <c r="L173" i="12" s="1"/>
  <c r="M171" i="12" s="1"/>
  <c r="K174" i="12"/>
  <c r="AA146" i="12"/>
  <c r="AA145" i="12"/>
  <c r="AA148" i="12"/>
  <c r="AA147" i="12"/>
  <c r="Z132" i="12" l="1"/>
  <c r="AA156" i="12"/>
  <c r="AA157" i="12" s="1"/>
  <c r="AA122" i="12"/>
  <c r="AA118" i="12"/>
  <c r="AA119" i="12"/>
  <c r="AB114" i="12"/>
  <c r="AA124" i="12"/>
  <c r="AA144" i="12"/>
  <c r="AA121" i="12"/>
  <c r="AA123" i="12"/>
  <c r="AA120" i="12"/>
  <c r="AA126" i="12"/>
  <c r="AA128" i="12"/>
  <c r="AA127" i="12"/>
  <c r="Z130" i="12"/>
  <c r="Z131" i="12" s="1"/>
  <c r="BG186" i="12"/>
  <c r="BG190" i="12"/>
  <c r="BH179" i="12"/>
  <c r="AA106" i="12"/>
  <c r="Z109" i="12"/>
  <c r="Z105" i="12"/>
  <c r="Y108" i="12"/>
  <c r="W162" i="12"/>
  <c r="W181" i="12"/>
  <c r="W161" i="12"/>
  <c r="W183" i="12"/>
  <c r="W140" i="12"/>
  <c r="X136" i="12"/>
  <c r="X135" i="12"/>
  <c r="X158" i="12"/>
  <c r="X159" i="12" s="1"/>
  <c r="W139" i="12"/>
  <c r="W143" i="12"/>
  <c r="W195" i="12" s="1"/>
  <c r="M172" i="12"/>
  <c r="M173" i="12" s="1"/>
  <c r="N171" i="12" s="1"/>
  <c r="L174" i="12"/>
  <c r="AB147" i="12"/>
  <c r="AB146" i="12"/>
  <c r="AB145" i="12"/>
  <c r="AB148" i="12"/>
  <c r="AA132" i="12" l="1"/>
  <c r="AB118" i="12"/>
  <c r="AB119" i="12"/>
  <c r="AB144" i="12"/>
  <c r="AC114" i="12"/>
  <c r="AB123" i="12"/>
  <c r="AB124" i="12"/>
  <c r="AB156" i="12"/>
  <c r="AB157" i="12" s="1"/>
  <c r="AB122" i="12"/>
  <c r="AB121" i="12"/>
  <c r="AB120" i="12"/>
  <c r="AB126" i="12"/>
  <c r="AB128" i="12"/>
  <c r="AB127" i="12"/>
  <c r="BI179" i="12"/>
  <c r="BH186" i="12"/>
  <c r="BH190" i="12"/>
  <c r="AA130" i="12"/>
  <c r="AA131" i="12" s="1"/>
  <c r="AB106" i="12"/>
  <c r="AA109" i="12"/>
  <c r="X162" i="12"/>
  <c r="X181" i="12"/>
  <c r="X161" i="12"/>
  <c r="X139" i="12"/>
  <c r="X143" i="12"/>
  <c r="X195" i="12" s="1"/>
  <c r="X183" i="12"/>
  <c r="X140" i="12"/>
  <c r="Y135" i="12"/>
  <c r="Y158" i="12"/>
  <c r="Y159" i="12" s="1"/>
  <c r="Y136" i="12"/>
  <c r="AA105" i="12"/>
  <c r="Z108" i="12"/>
  <c r="N172" i="12"/>
  <c r="N173" i="12" s="1"/>
  <c r="O171" i="12" s="1"/>
  <c r="M174" i="12"/>
  <c r="AC145" i="12"/>
  <c r="AC147" i="12"/>
  <c r="AC148" i="12"/>
  <c r="AC146" i="12"/>
  <c r="AB132" i="12" l="1"/>
  <c r="AC156" i="12"/>
  <c r="AC157" i="12" s="1"/>
  <c r="AC119" i="12"/>
  <c r="AC120" i="12"/>
  <c r="AC118" i="12"/>
  <c r="AC144" i="12"/>
  <c r="AC124" i="12"/>
  <c r="AC123" i="12"/>
  <c r="AC121" i="12"/>
  <c r="AC122" i="12"/>
  <c r="AD114" i="12"/>
  <c r="AC126" i="12"/>
  <c r="AC128" i="12"/>
  <c r="AC127" i="12"/>
  <c r="AC149" i="12"/>
  <c r="AB130" i="12"/>
  <c r="AB131" i="12" s="1"/>
  <c r="BJ179" i="12"/>
  <c r="BI186" i="12"/>
  <c r="BI190" i="12"/>
  <c r="AC106" i="12"/>
  <c r="AB109" i="12"/>
  <c r="Z158" i="12"/>
  <c r="Z159" i="12" s="1"/>
  <c r="Z135" i="12"/>
  <c r="Z136" i="12"/>
  <c r="AB105" i="12"/>
  <c r="AA108" i="12"/>
  <c r="Y143" i="12"/>
  <c r="Y195" i="12" s="1"/>
  <c r="Y139" i="12"/>
  <c r="Y140" i="12"/>
  <c r="Y183" i="12"/>
  <c r="Y162" i="12"/>
  <c r="Y161" i="12"/>
  <c r="Y181" i="12"/>
  <c r="O172" i="12"/>
  <c r="O173" i="12" s="1"/>
  <c r="P171" i="12" s="1"/>
  <c r="N174" i="12"/>
  <c r="AD146" i="12"/>
  <c r="AD148" i="12"/>
  <c r="AD145" i="12"/>
  <c r="AD147" i="12"/>
  <c r="AC194" i="12" l="1"/>
  <c r="AC184" i="12"/>
  <c r="BK179" i="12"/>
  <c r="BJ186" i="12"/>
  <c r="BJ190" i="12"/>
  <c r="AC132" i="12"/>
  <c r="AC130" i="12"/>
  <c r="AC131" i="12" s="1"/>
  <c r="AD124" i="12"/>
  <c r="AD119" i="12"/>
  <c r="AD121" i="12"/>
  <c r="AD144" i="12"/>
  <c r="AE114" i="12"/>
  <c r="AD122" i="12"/>
  <c r="AD118" i="12"/>
  <c r="AD123" i="12"/>
  <c r="AD120" i="12"/>
  <c r="AD156" i="12"/>
  <c r="AD157" i="12" s="1"/>
  <c r="AD126" i="12"/>
  <c r="AD128" i="12"/>
  <c r="AD127" i="12"/>
  <c r="AD149" i="12"/>
  <c r="AD106" i="12"/>
  <c r="AC109" i="12"/>
  <c r="AA158" i="12"/>
  <c r="AA159" i="12" s="1"/>
  <c r="AA135" i="12"/>
  <c r="AA136" i="12"/>
  <c r="AC105" i="12"/>
  <c r="AB108" i="12"/>
  <c r="Z183" i="12"/>
  <c r="Z140" i="12"/>
  <c r="Z143" i="12"/>
  <c r="Z195" i="12" s="1"/>
  <c r="Z139" i="12"/>
  <c r="Z162" i="12"/>
  <c r="Z161" i="12"/>
  <c r="Z181" i="12"/>
  <c r="P172" i="12"/>
  <c r="P173" i="12" s="1"/>
  <c r="Q171" i="12" s="1"/>
  <c r="O174" i="12"/>
  <c r="AE145" i="12"/>
  <c r="AE148" i="12"/>
  <c r="AE147" i="12"/>
  <c r="AE146" i="12"/>
  <c r="AD132" i="12" l="1"/>
  <c r="AD130" i="12"/>
  <c r="AD131" i="12" s="1"/>
  <c r="AD194" i="12"/>
  <c r="AD184" i="12"/>
  <c r="AE124" i="12"/>
  <c r="AE156" i="12"/>
  <c r="AE157" i="12" s="1"/>
  <c r="AE122" i="12"/>
  <c r="AE118" i="12"/>
  <c r="AF114" i="12"/>
  <c r="AE121" i="12"/>
  <c r="AE144" i="12"/>
  <c r="AE123" i="12"/>
  <c r="AE119" i="12"/>
  <c r="AE120" i="12"/>
  <c r="AE126" i="12"/>
  <c r="AE128" i="12"/>
  <c r="AE127" i="12"/>
  <c r="AE149" i="12"/>
  <c r="BL179" i="12"/>
  <c r="BK186" i="12"/>
  <c r="BK190" i="12"/>
  <c r="AD109" i="12"/>
  <c r="AE106" i="12"/>
  <c r="AB135" i="12"/>
  <c r="AB136" i="12"/>
  <c r="AB158" i="12"/>
  <c r="AB159" i="12" s="1"/>
  <c r="AD105" i="12"/>
  <c r="AC108" i="12"/>
  <c r="AA161" i="12"/>
  <c r="AA181" i="12"/>
  <c r="AA162" i="12"/>
  <c r="AA139" i="12"/>
  <c r="AA143" i="12"/>
  <c r="AA195" i="12" s="1"/>
  <c r="AA183" i="12"/>
  <c r="AA140" i="12"/>
  <c r="Q172" i="12"/>
  <c r="Q173" i="12" s="1"/>
  <c r="R171" i="12" s="1"/>
  <c r="P174" i="12"/>
  <c r="AF147" i="12"/>
  <c r="AF146" i="12"/>
  <c r="AF145" i="12"/>
  <c r="AF148" i="12"/>
  <c r="AE130" i="12" l="1"/>
  <c r="AE131" i="12" s="1"/>
  <c r="AE132" i="12"/>
  <c r="AF118" i="12"/>
  <c r="AF124" i="12"/>
  <c r="AF119" i="12"/>
  <c r="AF144" i="12"/>
  <c r="AG114" i="12"/>
  <c r="AF156" i="12"/>
  <c r="AF157" i="12" s="1"/>
  <c r="AF121" i="12"/>
  <c r="AF120" i="12"/>
  <c r="AF122" i="12"/>
  <c r="AF123" i="12"/>
  <c r="AF126" i="12"/>
  <c r="AF128" i="12"/>
  <c r="AF127" i="12"/>
  <c r="AF149" i="12"/>
  <c r="BM179" i="12"/>
  <c r="BL190" i="12"/>
  <c r="BL186" i="12"/>
  <c r="AE184" i="12"/>
  <c r="AE194" i="12"/>
  <c r="AF106" i="12"/>
  <c r="AE109" i="12"/>
  <c r="AC135" i="12"/>
  <c r="AC136" i="12"/>
  <c r="AC158" i="12"/>
  <c r="AC159" i="12" s="1"/>
  <c r="AE105" i="12"/>
  <c r="AD108" i="12"/>
  <c r="AB162" i="12"/>
  <c r="AB161" i="12"/>
  <c r="AB181" i="12"/>
  <c r="AB140" i="12"/>
  <c r="AB183" i="12"/>
  <c r="AB139" i="12"/>
  <c r="AB143" i="12"/>
  <c r="AB195" i="12" s="1"/>
  <c r="R172" i="12"/>
  <c r="Q174" i="12"/>
  <c r="AG145" i="12"/>
  <c r="AG147" i="12"/>
  <c r="AG148" i="12"/>
  <c r="AG146" i="12"/>
  <c r="BN179" i="12" l="1"/>
  <c r="BM186" i="12"/>
  <c r="BM190" i="12"/>
  <c r="AF132" i="12"/>
  <c r="AG156" i="12"/>
  <c r="AG157" i="12" s="1"/>
  <c r="AG124" i="12"/>
  <c r="AG119" i="12"/>
  <c r="AG120" i="12"/>
  <c r="AG144" i="12"/>
  <c r="AG121" i="12"/>
  <c r="AG118" i="12"/>
  <c r="AH114" i="12"/>
  <c r="AG123" i="12"/>
  <c r="AG122" i="12"/>
  <c r="AG126" i="12"/>
  <c r="AG128" i="12"/>
  <c r="AG127" i="12"/>
  <c r="AG149" i="12"/>
  <c r="AF184" i="12"/>
  <c r="AF194" i="12"/>
  <c r="AF130" i="12"/>
  <c r="AF131" i="12" s="1"/>
  <c r="AG106" i="12"/>
  <c r="AF109" i="12"/>
  <c r="AD136" i="12"/>
  <c r="AD158" i="12"/>
  <c r="AD159" i="12" s="1"/>
  <c r="AD135" i="12"/>
  <c r="AC183" i="12"/>
  <c r="AC140" i="12"/>
  <c r="AF105" i="12"/>
  <c r="AE108" i="12"/>
  <c r="AC181" i="12"/>
  <c r="AC162" i="12"/>
  <c r="AC161" i="12"/>
  <c r="AC139" i="12"/>
  <c r="AC143" i="12"/>
  <c r="AC195" i="12" s="1"/>
  <c r="R173" i="12"/>
  <c r="S171" i="12" s="1"/>
  <c r="AH148" i="12"/>
  <c r="AH147" i="12"/>
  <c r="AH146" i="12"/>
  <c r="AH145" i="12"/>
  <c r="AH119" i="12" l="1"/>
  <c r="AH121" i="12"/>
  <c r="AH124" i="12"/>
  <c r="AH144" i="12"/>
  <c r="AI114" i="12"/>
  <c r="AH122" i="12"/>
  <c r="AH123" i="12"/>
  <c r="AH156" i="12"/>
  <c r="AH157" i="12" s="1"/>
  <c r="AH118" i="12"/>
  <c r="AH120" i="12"/>
  <c r="AH126" i="12"/>
  <c r="AH128" i="12"/>
  <c r="AH127" i="12"/>
  <c r="AH149" i="12"/>
  <c r="AG130" i="12"/>
  <c r="AG131" i="12" s="1"/>
  <c r="AG194" i="12"/>
  <c r="AG184" i="12"/>
  <c r="AG132" i="12"/>
  <c r="BN190" i="12"/>
  <c r="BO179" i="12"/>
  <c r="BN186" i="12"/>
  <c r="AH106" i="12"/>
  <c r="AG109" i="12"/>
  <c r="AD143" i="12"/>
  <c r="AD195" i="12" s="1"/>
  <c r="AD139" i="12"/>
  <c r="AD181" i="12"/>
  <c r="AD162" i="12"/>
  <c r="AD161" i="12"/>
  <c r="AC185" i="12"/>
  <c r="AE158" i="12"/>
  <c r="AE159" i="12" s="1"/>
  <c r="AE135" i="12"/>
  <c r="AE136" i="12"/>
  <c r="AF108" i="12"/>
  <c r="AG105" i="12"/>
  <c r="AD183" i="12"/>
  <c r="AD140" i="12"/>
  <c r="R174" i="12"/>
  <c r="S172" i="12"/>
  <c r="S173" i="12" s="1"/>
  <c r="T171" i="12" s="1"/>
  <c r="AI147" i="12"/>
  <c r="AI146" i="12"/>
  <c r="AI145" i="12"/>
  <c r="AI148" i="12"/>
  <c r="AH132" i="12" l="1"/>
  <c r="AH194" i="12"/>
  <c r="AH184" i="12"/>
  <c r="AI156" i="12"/>
  <c r="AI157" i="12" s="1"/>
  <c r="AI122" i="12"/>
  <c r="AI118" i="12"/>
  <c r="AI121" i="12"/>
  <c r="AI119" i="12"/>
  <c r="AI123" i="12"/>
  <c r="AI124" i="12"/>
  <c r="AI120" i="12"/>
  <c r="AJ114" i="12"/>
  <c r="AI144" i="12"/>
  <c r="AI126" i="12"/>
  <c r="AI128" i="12"/>
  <c r="AI127" i="12"/>
  <c r="AI149" i="12"/>
  <c r="BP179" i="12"/>
  <c r="BO186" i="12"/>
  <c r="BO190" i="12"/>
  <c r="AH130" i="12"/>
  <c r="AH131" i="12" s="1"/>
  <c r="AH109" i="12"/>
  <c r="AI106" i="12"/>
  <c r="AE139" i="12"/>
  <c r="AE143" i="12"/>
  <c r="AE195" i="12" s="1"/>
  <c r="AE162" i="12"/>
  <c r="AE181" i="12"/>
  <c r="AE161" i="12"/>
  <c r="AH105" i="12"/>
  <c r="AG108" i="12"/>
  <c r="AF135" i="12"/>
  <c r="AF136" i="12"/>
  <c r="AF158" i="12"/>
  <c r="AF159" i="12" s="1"/>
  <c r="AD185" i="12"/>
  <c r="AE140" i="12"/>
  <c r="AE183" i="12"/>
  <c r="T172" i="12"/>
  <c r="T173" i="12" s="1"/>
  <c r="U171" i="12" s="1"/>
  <c r="S174" i="12"/>
  <c r="AJ147" i="12"/>
  <c r="AJ145" i="12"/>
  <c r="AJ148" i="12"/>
  <c r="AJ146" i="12"/>
  <c r="AI132" i="12" l="1"/>
  <c r="AI184" i="12"/>
  <c r="AI194" i="12"/>
  <c r="AI130" i="12"/>
  <c r="AI131" i="12" s="1"/>
  <c r="AJ119" i="12"/>
  <c r="AJ144" i="12"/>
  <c r="AK114" i="12"/>
  <c r="AJ156" i="12"/>
  <c r="AJ157" i="12" s="1"/>
  <c r="AJ121" i="12"/>
  <c r="AJ118" i="12"/>
  <c r="AJ124" i="12"/>
  <c r="AJ120" i="12"/>
  <c r="AJ122" i="12"/>
  <c r="AJ123" i="12"/>
  <c r="AJ126" i="12"/>
  <c r="AJ128" i="12"/>
  <c r="AJ127" i="12"/>
  <c r="AJ149" i="12"/>
  <c r="BP190" i="12"/>
  <c r="BP186" i="12"/>
  <c r="BQ179" i="12"/>
  <c r="AI109" i="12"/>
  <c r="AJ106" i="12"/>
  <c r="AI105" i="12"/>
  <c r="AH108" i="12"/>
  <c r="AF161" i="12"/>
  <c r="AF181" i="12"/>
  <c r="AF162" i="12"/>
  <c r="AE185" i="12"/>
  <c r="AF183" i="12"/>
  <c r="AF140" i="12"/>
  <c r="AF139" i="12"/>
  <c r="AF143" i="12"/>
  <c r="AF195" i="12" s="1"/>
  <c r="AG158" i="12"/>
  <c r="AG159" i="12" s="1"/>
  <c r="AG135" i="12"/>
  <c r="AG136" i="12"/>
  <c r="U172" i="12"/>
  <c r="U173" i="12" s="1"/>
  <c r="V171" i="12" s="1"/>
  <c r="T174" i="12"/>
  <c r="AK147" i="12"/>
  <c r="AK146" i="12"/>
  <c r="AK148" i="12"/>
  <c r="AK145" i="12"/>
  <c r="AJ132" i="12" l="1"/>
  <c r="AK124" i="12"/>
  <c r="AK118" i="12"/>
  <c r="AK156" i="12"/>
  <c r="AK157" i="12" s="1"/>
  <c r="AK119" i="12"/>
  <c r="AK144" i="12"/>
  <c r="AK123" i="12"/>
  <c r="AK120" i="12"/>
  <c r="AK121" i="12"/>
  <c r="AK122" i="12"/>
  <c r="AL114" i="12"/>
  <c r="AK126" i="12"/>
  <c r="AK128" i="12"/>
  <c r="AK127" i="12"/>
  <c r="AK149" i="12"/>
  <c r="BR179" i="12"/>
  <c r="BQ186" i="12"/>
  <c r="BQ190" i="12"/>
  <c r="AJ184" i="12"/>
  <c r="AJ194" i="12"/>
  <c r="AJ130" i="12"/>
  <c r="AJ131" i="12" s="1"/>
  <c r="AK106" i="12"/>
  <c r="AJ109" i="12"/>
  <c r="AF185" i="12"/>
  <c r="AG183" i="12"/>
  <c r="AG140" i="12"/>
  <c r="AG161" i="12"/>
  <c r="AG162" i="12"/>
  <c r="AG181" i="12"/>
  <c r="AG139" i="12"/>
  <c r="AG143" i="12"/>
  <c r="AG195" i="12" s="1"/>
  <c r="AH135" i="12"/>
  <c r="AH158" i="12"/>
  <c r="AH159" i="12" s="1"/>
  <c r="AH136" i="12"/>
  <c r="AJ105" i="12"/>
  <c r="AI108" i="12"/>
  <c r="V172" i="12"/>
  <c r="V173" i="12" s="1"/>
  <c r="W171" i="12" s="1"/>
  <c r="U174" i="12"/>
  <c r="AL146" i="12"/>
  <c r="AL148" i="12"/>
  <c r="AL145" i="12"/>
  <c r="AL147" i="12"/>
  <c r="BR186" i="12" l="1"/>
  <c r="BR190" i="12"/>
  <c r="BS179" i="12"/>
  <c r="AK194" i="12"/>
  <c r="AK184" i="12"/>
  <c r="AK132" i="12"/>
  <c r="AL124" i="12"/>
  <c r="AL118" i="12"/>
  <c r="AL119" i="12"/>
  <c r="AL121" i="12"/>
  <c r="AL156" i="12"/>
  <c r="AL157" i="12" s="1"/>
  <c r="AL144" i="12"/>
  <c r="AL122" i="12"/>
  <c r="AL123" i="12"/>
  <c r="AL120" i="12"/>
  <c r="AM114" i="12"/>
  <c r="AL126" i="12"/>
  <c r="AL128" i="12"/>
  <c r="AL127" i="12"/>
  <c r="AL149" i="12"/>
  <c r="AK130" i="12"/>
  <c r="AK131" i="12" s="1"/>
  <c r="AK109" i="12"/>
  <c r="AL106" i="12"/>
  <c r="AG185" i="12"/>
  <c r="AI135" i="12"/>
  <c r="AI158" i="12"/>
  <c r="AI159" i="12" s="1"/>
  <c r="AI136" i="12"/>
  <c r="AH161" i="12"/>
  <c r="AH162" i="12"/>
  <c r="AH181" i="12"/>
  <c r="AH139" i="12"/>
  <c r="AH143" i="12"/>
  <c r="AH195" i="12" s="1"/>
  <c r="AK105" i="12"/>
  <c r="AJ108" i="12"/>
  <c r="AH140" i="12"/>
  <c r="AH183" i="12"/>
  <c r="W172" i="12"/>
  <c r="V174" i="12"/>
  <c r="AM145" i="12"/>
  <c r="AM146" i="12"/>
  <c r="AM147" i="12"/>
  <c r="AM148" i="12"/>
  <c r="AL130" i="12" l="1"/>
  <c r="AL131" i="12" s="1"/>
  <c r="AL132" i="12"/>
  <c r="AM124" i="12"/>
  <c r="AM118" i="12"/>
  <c r="AM144" i="12"/>
  <c r="AM119" i="12"/>
  <c r="AM126" i="12"/>
  <c r="AN114" i="12"/>
  <c r="AM156" i="12"/>
  <c r="AM127" i="12"/>
  <c r="AM128" i="12"/>
  <c r="AM121" i="12"/>
  <c r="AM122" i="12"/>
  <c r="AM123" i="12"/>
  <c r="AM120" i="12"/>
  <c r="AM149" i="12"/>
  <c r="AL184" i="12"/>
  <c r="AL194" i="12"/>
  <c r="BT179" i="12"/>
  <c r="BS186" i="12"/>
  <c r="BS190" i="12"/>
  <c r="AH185" i="12"/>
  <c r="AM106" i="12"/>
  <c r="AL109" i="12"/>
  <c r="AI183" i="12"/>
  <c r="AI140" i="12"/>
  <c r="AJ135" i="12"/>
  <c r="AJ158" i="12"/>
  <c r="AJ159" i="12" s="1"/>
  <c r="AJ136" i="12"/>
  <c r="AI181" i="12"/>
  <c r="AI161" i="12"/>
  <c r="AI162" i="12"/>
  <c r="AK108" i="12"/>
  <c r="AL105" i="12"/>
  <c r="AI143" i="12"/>
  <c r="AI195" i="12" s="1"/>
  <c r="AI139" i="12"/>
  <c r="W173" i="12"/>
  <c r="X171" i="12" s="1"/>
  <c r="AN146" i="12"/>
  <c r="AN145" i="12"/>
  <c r="AN147" i="12"/>
  <c r="AN148" i="12"/>
  <c r="AM174" i="12" l="1"/>
  <c r="AM157" i="12"/>
  <c r="AM173" i="12"/>
  <c r="AM194" i="12"/>
  <c r="AM184" i="12"/>
  <c r="AN124" i="12"/>
  <c r="AN156" i="12"/>
  <c r="AN118" i="12"/>
  <c r="AN127" i="12"/>
  <c r="AN119" i="12"/>
  <c r="AN128" i="12"/>
  <c r="AO114" i="12"/>
  <c r="AN144" i="12"/>
  <c r="AN126" i="12"/>
  <c r="AN120" i="12"/>
  <c r="AN121" i="12"/>
  <c r="AN122" i="12"/>
  <c r="AN123" i="12"/>
  <c r="AN149" i="12"/>
  <c r="AM132" i="12"/>
  <c r="AM130" i="12"/>
  <c r="AM131" i="12" s="1"/>
  <c r="BT186" i="12"/>
  <c r="BT190" i="12"/>
  <c r="BU179" i="12"/>
  <c r="AI185" i="12"/>
  <c r="AN106" i="12"/>
  <c r="AM109" i="12"/>
  <c r="AJ140" i="12"/>
  <c r="AJ183" i="12"/>
  <c r="AM105" i="12"/>
  <c r="AL108" i="12"/>
  <c r="AK158" i="12"/>
  <c r="AK159" i="12" s="1"/>
  <c r="AK135" i="12"/>
  <c r="AK136" i="12"/>
  <c r="AJ139" i="12"/>
  <c r="AJ143" i="12"/>
  <c r="AJ195" i="12" s="1"/>
  <c r="AJ162" i="12"/>
  <c r="AJ181" i="12"/>
  <c r="AJ161" i="12"/>
  <c r="X172" i="12"/>
  <c r="X173" i="12" s="1"/>
  <c r="Y171" i="12" s="1"/>
  <c r="W174" i="12"/>
  <c r="AO147" i="12"/>
  <c r="AO145" i="12"/>
  <c r="AO148" i="12"/>
  <c r="AO146" i="12"/>
  <c r="AN132" i="12" l="1"/>
  <c r="AN174" i="12"/>
  <c r="AN157" i="12"/>
  <c r="AN173" i="12"/>
  <c r="AN130" i="12"/>
  <c r="AN131" i="12" s="1"/>
  <c r="AO124" i="12"/>
  <c r="AO144" i="12"/>
  <c r="AO122" i="12"/>
  <c r="AO127" i="12"/>
  <c r="AP114" i="12"/>
  <c r="AO123" i="12"/>
  <c r="AO121" i="12"/>
  <c r="AO118" i="12"/>
  <c r="AO156" i="12"/>
  <c r="AO128" i="12"/>
  <c r="AO126" i="12"/>
  <c r="AO119" i="12"/>
  <c r="AO120" i="12"/>
  <c r="AO149" i="12"/>
  <c r="BU186" i="12"/>
  <c r="BV179" i="12"/>
  <c r="BU190" i="12"/>
  <c r="AN194" i="12"/>
  <c r="AN184" i="12"/>
  <c r="AO106" i="12"/>
  <c r="AN109" i="12"/>
  <c r="AJ185" i="12"/>
  <c r="AK140" i="12"/>
  <c r="AK183" i="12"/>
  <c r="AK143" i="12"/>
  <c r="AK195" i="12" s="1"/>
  <c r="AK139" i="12"/>
  <c r="AK181" i="12"/>
  <c r="AK162" i="12"/>
  <c r="AK161" i="12"/>
  <c r="AL135" i="12"/>
  <c r="AL136" i="12"/>
  <c r="AL158" i="12"/>
  <c r="AL159" i="12" s="1"/>
  <c r="AM108" i="12"/>
  <c r="AN105" i="12"/>
  <c r="Y172" i="12"/>
  <c r="Y173" i="12" s="1"/>
  <c r="Z171" i="12" s="1"/>
  <c r="X174" i="12"/>
  <c r="AP147" i="12"/>
  <c r="AP148" i="12"/>
  <c r="AP146" i="12"/>
  <c r="AP145" i="12"/>
  <c r="AO157" i="12" l="1"/>
  <c r="AO173" i="12"/>
  <c r="AO174" i="12"/>
  <c r="BW179" i="12"/>
  <c r="BV190" i="12"/>
  <c r="BV186" i="12"/>
  <c r="AO130" i="12"/>
  <c r="AO131" i="12" s="1"/>
  <c r="AO132" i="12"/>
  <c r="AO194" i="12"/>
  <c r="AO184" i="12"/>
  <c r="AP124" i="12"/>
  <c r="AP127" i="12"/>
  <c r="AP121" i="12"/>
  <c r="AP128" i="12"/>
  <c r="AP118" i="12"/>
  <c r="AP123" i="12"/>
  <c r="AP119" i="12"/>
  <c r="AP120" i="12"/>
  <c r="AQ114" i="12"/>
  <c r="AP156" i="12"/>
  <c r="AP126" i="12"/>
  <c r="AP122" i="12"/>
  <c r="AP144" i="12"/>
  <c r="AP149" i="12"/>
  <c r="AK185" i="12"/>
  <c r="AP106" i="12"/>
  <c r="AO109" i="12"/>
  <c r="AL181" i="12"/>
  <c r="AL161" i="12"/>
  <c r="AL162" i="12"/>
  <c r="AM158" i="12"/>
  <c r="AM159" i="12" s="1"/>
  <c r="AM136" i="12"/>
  <c r="AM135" i="12"/>
  <c r="AL140" i="12"/>
  <c r="AL183" i="12"/>
  <c r="AL143" i="12"/>
  <c r="AL195" i="12" s="1"/>
  <c r="AL139" i="12"/>
  <c r="AO105" i="12"/>
  <c r="AN108" i="12"/>
  <c r="Z172" i="12"/>
  <c r="Z173" i="12" s="1"/>
  <c r="AA171" i="12" s="1"/>
  <c r="Y174" i="12"/>
  <c r="AQ146" i="12"/>
  <c r="AQ148" i="12"/>
  <c r="AQ145" i="12"/>
  <c r="AQ147" i="12"/>
  <c r="AP130" i="12" l="1"/>
  <c r="AP131" i="12" s="1"/>
  <c r="AP184" i="12"/>
  <c r="AP194" i="12"/>
  <c r="AP132" i="12"/>
  <c r="AP157" i="12"/>
  <c r="AP174" i="12"/>
  <c r="AP173" i="12"/>
  <c r="BW190" i="12"/>
  <c r="BX179" i="12"/>
  <c r="BW186" i="12"/>
  <c r="AQ126" i="12"/>
  <c r="AR114" i="12"/>
  <c r="AQ124" i="12"/>
  <c r="AQ121" i="12"/>
  <c r="AQ118" i="12"/>
  <c r="AQ128" i="12"/>
  <c r="AQ122" i="12"/>
  <c r="AQ123" i="12"/>
  <c r="AQ119" i="12"/>
  <c r="AQ120" i="12"/>
  <c r="AQ156" i="12"/>
  <c r="AQ144" i="12"/>
  <c r="AQ127" i="12"/>
  <c r="AQ149" i="12"/>
  <c r="AP109" i="12"/>
  <c r="AQ106" i="12"/>
  <c r="AM140" i="12"/>
  <c r="AM183" i="12"/>
  <c r="AP105" i="12"/>
  <c r="AO108" i="12"/>
  <c r="AM162" i="12"/>
  <c r="AM181" i="12"/>
  <c r="AM161" i="12"/>
  <c r="AM143" i="12"/>
  <c r="AM195" i="12" s="1"/>
  <c r="AM139" i="12"/>
  <c r="AN135" i="12"/>
  <c r="AN158" i="12"/>
  <c r="AN159" i="12" s="1"/>
  <c r="AN136" i="12"/>
  <c r="AL185" i="12"/>
  <c r="AA172" i="12"/>
  <c r="AA173" i="12" s="1"/>
  <c r="AB171" i="12" s="1"/>
  <c r="Z174" i="12"/>
  <c r="AR146" i="12"/>
  <c r="AR145" i="12"/>
  <c r="AR147" i="12"/>
  <c r="AR148" i="12"/>
  <c r="AQ184" i="12" l="1"/>
  <c r="AQ194" i="12"/>
  <c r="AQ157" i="12"/>
  <c r="AQ173" i="12"/>
  <c r="AQ174" i="12"/>
  <c r="AR128" i="12"/>
  <c r="AR124" i="12"/>
  <c r="AR121" i="12"/>
  <c r="AR156" i="12"/>
  <c r="AR118" i="12"/>
  <c r="AR127" i="12"/>
  <c r="AR126" i="12"/>
  <c r="AR120" i="12"/>
  <c r="AR122" i="12"/>
  <c r="AR123" i="12"/>
  <c r="AR119" i="12"/>
  <c r="AS114" i="12"/>
  <c r="AR144" i="12"/>
  <c r="AR149" i="12"/>
  <c r="AQ132" i="12"/>
  <c r="BY179" i="12"/>
  <c r="BX190" i="12"/>
  <c r="BX186" i="12"/>
  <c r="AQ130" i="12"/>
  <c r="AQ131" i="12" s="1"/>
  <c r="AR106" i="12"/>
  <c r="AQ109" i="12"/>
  <c r="AM185" i="12"/>
  <c r="AM191" i="12" s="1"/>
  <c r="AM192" i="12" s="1"/>
  <c r="AM193" i="12" s="1"/>
  <c r="AM197" i="12" s="1"/>
  <c r="AM198" i="12" s="1"/>
  <c r="AN183" i="12"/>
  <c r="AN140" i="12"/>
  <c r="AO135" i="12"/>
  <c r="AO158" i="12"/>
  <c r="AO159" i="12" s="1"/>
  <c r="AO136" i="12"/>
  <c r="AN181" i="12"/>
  <c r="AN162" i="12"/>
  <c r="AN161" i="12"/>
  <c r="AN139" i="12"/>
  <c r="AN143" i="12"/>
  <c r="AN195" i="12" s="1"/>
  <c r="AP108" i="12"/>
  <c r="AQ105" i="12"/>
  <c r="AB172" i="12"/>
  <c r="AB173" i="12" s="1"/>
  <c r="AC171" i="12" s="1"/>
  <c r="AA174" i="12"/>
  <c r="AC186" i="12"/>
  <c r="AS147" i="12"/>
  <c r="AS146" i="12"/>
  <c r="AS148" i="12"/>
  <c r="AS145" i="12"/>
  <c r="BY190" i="12" l="1"/>
  <c r="BZ179" i="12"/>
  <c r="BY186" i="12"/>
  <c r="AR132" i="12"/>
  <c r="AR184" i="12"/>
  <c r="AR194" i="12"/>
  <c r="AR130" i="12"/>
  <c r="AR131" i="12" s="1"/>
  <c r="AS126" i="12"/>
  <c r="AS119" i="12"/>
  <c r="AS124" i="12"/>
  <c r="AS156" i="12"/>
  <c r="AS121" i="12"/>
  <c r="AT114" i="12"/>
  <c r="AS144" i="12"/>
  <c r="AS128" i="12"/>
  <c r="AS127" i="12"/>
  <c r="AS123" i="12"/>
  <c r="AS120" i="12"/>
  <c r="AS118" i="12"/>
  <c r="AS122" i="12"/>
  <c r="AS149" i="12"/>
  <c r="AR174" i="12"/>
  <c r="AR157" i="12"/>
  <c r="AR173" i="12"/>
  <c r="AR109" i="12"/>
  <c r="AS106" i="12"/>
  <c r="AR105" i="12"/>
  <c r="AQ108" i="12"/>
  <c r="AN185" i="12"/>
  <c r="AN191" i="12" s="1"/>
  <c r="AN192" i="12" s="1"/>
  <c r="AN193" i="12" s="1"/>
  <c r="AN197" i="12" s="1"/>
  <c r="AN198" i="12" s="1"/>
  <c r="AP158" i="12"/>
  <c r="AP159" i="12" s="1"/>
  <c r="AP136" i="12"/>
  <c r="AP135" i="12"/>
  <c r="AO140" i="12"/>
  <c r="AO183" i="12"/>
  <c r="AO161" i="12"/>
  <c r="AO162" i="12"/>
  <c r="AO181" i="12"/>
  <c r="AO139" i="12"/>
  <c r="AO143" i="12"/>
  <c r="AO195" i="12" s="1"/>
  <c r="AC172" i="12"/>
  <c r="AC173" i="12" s="1"/>
  <c r="AD171" i="12" s="1"/>
  <c r="AD186" i="12"/>
  <c r="AB174" i="12"/>
  <c r="AT146" i="12"/>
  <c r="AT147" i="12"/>
  <c r="AT145" i="12"/>
  <c r="AT148" i="12"/>
  <c r="AS132" i="12" l="1"/>
  <c r="AS130" i="12"/>
  <c r="AS131" i="12" s="1"/>
  <c r="AS194" i="12"/>
  <c r="AS184" i="12"/>
  <c r="AT124" i="12"/>
  <c r="AT122" i="12"/>
  <c r="AT123" i="12"/>
  <c r="AT144" i="12"/>
  <c r="AT120" i="12"/>
  <c r="AT121" i="12"/>
  <c r="AU114" i="12"/>
  <c r="AT156" i="12"/>
  <c r="AT127" i="12"/>
  <c r="AT126" i="12"/>
  <c r="AT119" i="12"/>
  <c r="AT128" i="12"/>
  <c r="AT118" i="12"/>
  <c r="AT149" i="12"/>
  <c r="AS173" i="12"/>
  <c r="AS157" i="12"/>
  <c r="AS174" i="12"/>
  <c r="BZ190" i="12"/>
  <c r="BZ186" i="12"/>
  <c r="CA179" i="12"/>
  <c r="AT106" i="12"/>
  <c r="AS109" i="12"/>
  <c r="AP183" i="12"/>
  <c r="AP140" i="12"/>
  <c r="AP139" i="12"/>
  <c r="AP143" i="12"/>
  <c r="AP195" i="12" s="1"/>
  <c r="AO185" i="12"/>
  <c r="AO191" i="12" s="1"/>
  <c r="AO192" i="12" s="1"/>
  <c r="AO193" i="12" s="1"/>
  <c r="AO197" i="12" s="1"/>
  <c r="AO198" i="12" s="1"/>
  <c r="AP181" i="12"/>
  <c r="AP161" i="12"/>
  <c r="AP162" i="12"/>
  <c r="AQ135" i="12"/>
  <c r="AQ136" i="12"/>
  <c r="AQ158" i="12"/>
  <c r="AQ159" i="12" s="1"/>
  <c r="AS105" i="12"/>
  <c r="AR108" i="12"/>
  <c r="AD172" i="12"/>
  <c r="AD173" i="12" s="1"/>
  <c r="AE171" i="12" s="1"/>
  <c r="AE186" i="12"/>
  <c r="AC187" i="12"/>
  <c r="AC174" i="12"/>
  <c r="AU147" i="12"/>
  <c r="AU145" i="12"/>
  <c r="AU148" i="12"/>
  <c r="AU146" i="12"/>
  <c r="AT184" i="12" l="1"/>
  <c r="AT194" i="12"/>
  <c r="AT132" i="12"/>
  <c r="CB179" i="12"/>
  <c r="CA190" i="12"/>
  <c r="CA186" i="12"/>
  <c r="AT130" i="12"/>
  <c r="AT131" i="12" s="1"/>
  <c r="AT174" i="12"/>
  <c r="AT157" i="12"/>
  <c r="AT173" i="12"/>
  <c r="AU124" i="12"/>
  <c r="AU122" i="12"/>
  <c r="AU156" i="12"/>
  <c r="AU123" i="12"/>
  <c r="AU127" i="12"/>
  <c r="AU120" i="12"/>
  <c r="AU118" i="12"/>
  <c r="AU119" i="12"/>
  <c r="AV114" i="12"/>
  <c r="AU144" i="12"/>
  <c r="AU126" i="12"/>
  <c r="AU128" i="12"/>
  <c r="AU121" i="12"/>
  <c r="AU149" i="12"/>
  <c r="AP185" i="12"/>
  <c r="AP191" i="12" s="1"/>
  <c r="AP192" i="12" s="1"/>
  <c r="AP193" i="12" s="1"/>
  <c r="AP197" i="12" s="1"/>
  <c r="AP198" i="12" s="1"/>
  <c r="AU106" i="12"/>
  <c r="AT109" i="12"/>
  <c r="AQ161" i="12"/>
  <c r="AQ162" i="12"/>
  <c r="AQ181" i="12"/>
  <c r="AR158" i="12"/>
  <c r="AR159" i="12" s="1"/>
  <c r="AR136" i="12"/>
  <c r="AR135" i="12"/>
  <c r="AQ183" i="12"/>
  <c r="AQ140" i="12"/>
  <c r="AT105" i="12"/>
  <c r="AS108" i="12"/>
  <c r="AQ143" i="12"/>
  <c r="AQ195" i="12" s="1"/>
  <c r="AQ139" i="12"/>
  <c r="AE172" i="12"/>
  <c r="AE173" i="12" s="1"/>
  <c r="AF171" i="12" s="1"/>
  <c r="AF186" i="12"/>
  <c r="AC189" i="12"/>
  <c r="AD187" i="12"/>
  <c r="AD174" i="12"/>
  <c r="AV147" i="12"/>
  <c r="AV148" i="12"/>
  <c r="AV146" i="12"/>
  <c r="AV145" i="12"/>
  <c r="AU174" i="12" l="1"/>
  <c r="AU157" i="12"/>
  <c r="AU173" i="12"/>
  <c r="AU194" i="12"/>
  <c r="AU184" i="12"/>
  <c r="AU132" i="12"/>
  <c r="CB190" i="12"/>
  <c r="CC179" i="12"/>
  <c r="CB186" i="12"/>
  <c r="AV124" i="12"/>
  <c r="AV122" i="12"/>
  <c r="AV144" i="12"/>
  <c r="AV123" i="12"/>
  <c r="AV126" i="12"/>
  <c r="AW114" i="12"/>
  <c r="AV120" i="12"/>
  <c r="AV121" i="12"/>
  <c r="AV118" i="12"/>
  <c r="AV119" i="12"/>
  <c r="AV156" i="12"/>
  <c r="AV127" i="12"/>
  <c r="AV128" i="12"/>
  <c r="AV149" i="12"/>
  <c r="AU130" i="12"/>
  <c r="AU131" i="12" s="1"/>
  <c r="AV106" i="12"/>
  <c r="AU109" i="12"/>
  <c r="AR183" i="12"/>
  <c r="AR140" i="12"/>
  <c r="AQ185" i="12"/>
  <c r="AQ191" i="12" s="1"/>
  <c r="AQ192" i="12" s="1"/>
  <c r="AQ193" i="12" s="1"/>
  <c r="AQ197" i="12" s="1"/>
  <c r="AQ198" i="12" s="1"/>
  <c r="AR139" i="12"/>
  <c r="AR143" i="12"/>
  <c r="AR195" i="12" s="1"/>
  <c r="AR161" i="12"/>
  <c r="AR181" i="12"/>
  <c r="AR162" i="12"/>
  <c r="AS158" i="12"/>
  <c r="AS159" i="12" s="1"/>
  <c r="AS135" i="12"/>
  <c r="AS136" i="12"/>
  <c r="AU105" i="12"/>
  <c r="AT108" i="12"/>
  <c r="AF172" i="12"/>
  <c r="AF173" i="12" s="1"/>
  <c r="AG171" i="12" s="1"/>
  <c r="AG186" i="12"/>
  <c r="AD189" i="12"/>
  <c r="AE187" i="12"/>
  <c r="AE174" i="12"/>
  <c r="AW146" i="12"/>
  <c r="AW148" i="12"/>
  <c r="AW145" i="12"/>
  <c r="AW147" i="12"/>
  <c r="CC190" i="12" l="1"/>
  <c r="CC186" i="12"/>
  <c r="CD179" i="12"/>
  <c r="AV132" i="12"/>
  <c r="AV174" i="12"/>
  <c r="AV157" i="12"/>
  <c r="AV173" i="12"/>
  <c r="AV194" i="12"/>
  <c r="AV184" i="12"/>
  <c r="AV130" i="12"/>
  <c r="AV131" i="12" s="1"/>
  <c r="AW124" i="12"/>
  <c r="AW156" i="12"/>
  <c r="AW121" i="12"/>
  <c r="AW128" i="12"/>
  <c r="AW118" i="12"/>
  <c r="AW126" i="12"/>
  <c r="AW127" i="12"/>
  <c r="AW123" i="12"/>
  <c r="AW119" i="12"/>
  <c r="AW120" i="12"/>
  <c r="AW122" i="12"/>
  <c r="AW144" i="12"/>
  <c r="AX114" i="12"/>
  <c r="AW149" i="12"/>
  <c r="AV109" i="12"/>
  <c r="AW106" i="12"/>
  <c r="AR185" i="12"/>
  <c r="AR191" i="12" s="1"/>
  <c r="AR192" i="12" s="1"/>
  <c r="AR193" i="12" s="1"/>
  <c r="AR197" i="12" s="1"/>
  <c r="AR198" i="12" s="1"/>
  <c r="AT136" i="12"/>
  <c r="AT135" i="12"/>
  <c r="AT158" i="12"/>
  <c r="AT159" i="12" s="1"/>
  <c r="AS183" i="12"/>
  <c r="AS140" i="12"/>
  <c r="AS139" i="12"/>
  <c r="AS143" i="12"/>
  <c r="AS195" i="12" s="1"/>
  <c r="AS181" i="12"/>
  <c r="AS161" i="12"/>
  <c r="AS162" i="12"/>
  <c r="AU108" i="12"/>
  <c r="AV105" i="12"/>
  <c r="AG172" i="12"/>
  <c r="AG173" i="12" s="1"/>
  <c r="AH171" i="12" s="1"/>
  <c r="AH186" i="12"/>
  <c r="AE189" i="12"/>
  <c r="AF187" i="12"/>
  <c r="AF174" i="12"/>
  <c r="AX147" i="12"/>
  <c r="AX145" i="12"/>
  <c r="AX146" i="12"/>
  <c r="AX148" i="12"/>
  <c r="AW132" i="12" l="1"/>
  <c r="AW130" i="12"/>
  <c r="AW131" i="12" s="1"/>
  <c r="AW184" i="12"/>
  <c r="AW194" i="12"/>
  <c r="AX124" i="12"/>
  <c r="AX144" i="12"/>
  <c r="AX120" i="12"/>
  <c r="AX126" i="12"/>
  <c r="AY114" i="12"/>
  <c r="AX122" i="12"/>
  <c r="AX156" i="12"/>
  <c r="AX127" i="12"/>
  <c r="AX128" i="12"/>
  <c r="AX118" i="12"/>
  <c r="AX123" i="12"/>
  <c r="AX119" i="12"/>
  <c r="AX121" i="12"/>
  <c r="AX149" i="12"/>
  <c r="AW157" i="12"/>
  <c r="AW174" i="12"/>
  <c r="AW173" i="12"/>
  <c r="CD190" i="12"/>
  <c r="CE179" i="12"/>
  <c r="CD186" i="12"/>
  <c r="AX106" i="12"/>
  <c r="AW109" i="12"/>
  <c r="AV108" i="12"/>
  <c r="AW105" i="12"/>
  <c r="AU158" i="12"/>
  <c r="AU159" i="12" s="1"/>
  <c r="AU136" i="12"/>
  <c r="AU135" i="12"/>
  <c r="AT162" i="12"/>
  <c r="AT161" i="12"/>
  <c r="AT181" i="12"/>
  <c r="AT139" i="12"/>
  <c r="AT143" i="12"/>
  <c r="AT195" i="12" s="1"/>
  <c r="AS185" i="12"/>
  <c r="AS191" i="12" s="1"/>
  <c r="AS192" i="12" s="1"/>
  <c r="AS193" i="12" s="1"/>
  <c r="AS197" i="12" s="1"/>
  <c r="AS198" i="12" s="1"/>
  <c r="AT183" i="12"/>
  <c r="AT140" i="12"/>
  <c r="AH172" i="12"/>
  <c r="AH173" i="12" s="1"/>
  <c r="AI171" i="12" s="1"/>
  <c r="AI186" i="12"/>
  <c r="AF189" i="12"/>
  <c r="AG187" i="12"/>
  <c r="AG174" i="12"/>
  <c r="AY146" i="12"/>
  <c r="AY148" i="12"/>
  <c r="AY145" i="12"/>
  <c r="AY147" i="12"/>
  <c r="AX132" i="12" l="1"/>
  <c r="AY144" i="12"/>
  <c r="AY119" i="12"/>
  <c r="AY126" i="12"/>
  <c r="AZ114" i="12"/>
  <c r="AY124" i="12"/>
  <c r="AY121" i="12"/>
  <c r="AY120" i="12"/>
  <c r="AY156" i="12"/>
  <c r="AY127" i="12"/>
  <c r="AY128" i="12"/>
  <c r="AY122" i="12"/>
  <c r="AY118" i="12"/>
  <c r="AY123" i="12"/>
  <c r="AY149" i="12"/>
  <c r="AX184" i="12"/>
  <c r="AX194" i="12"/>
  <c r="CF179" i="12"/>
  <c r="CE186" i="12"/>
  <c r="CE190" i="12"/>
  <c r="AX130" i="12"/>
  <c r="AX131" i="12" s="1"/>
  <c r="AX174" i="12"/>
  <c r="AX157" i="12"/>
  <c r="AX173" i="12"/>
  <c r="AY106" i="12"/>
  <c r="AX109" i="12"/>
  <c r="AU143" i="12"/>
  <c r="AU195" i="12" s="1"/>
  <c r="AU139" i="12"/>
  <c r="AU161" i="12"/>
  <c r="AU162" i="12"/>
  <c r="AU181" i="12"/>
  <c r="AU183" i="12"/>
  <c r="AU140" i="12"/>
  <c r="AX105" i="12"/>
  <c r="AW108" i="12"/>
  <c r="AT185" i="12"/>
  <c r="AT191" i="12" s="1"/>
  <c r="AT192" i="12" s="1"/>
  <c r="AT193" i="12" s="1"/>
  <c r="AT197" i="12" s="1"/>
  <c r="AT198" i="12" s="1"/>
  <c r="AV158" i="12"/>
  <c r="AV159" i="12" s="1"/>
  <c r="AV136" i="12"/>
  <c r="AV135" i="12"/>
  <c r="AI172" i="12"/>
  <c r="AI173" i="12" s="1"/>
  <c r="AJ171" i="12" s="1"/>
  <c r="AJ186" i="12"/>
  <c r="AG189" i="12"/>
  <c r="AH187" i="12"/>
  <c r="AH174" i="12"/>
  <c r="AZ147" i="12"/>
  <c r="AZ146" i="12"/>
  <c r="AZ145" i="12"/>
  <c r="AZ148" i="12"/>
  <c r="AY132" i="12" l="1"/>
  <c r="AY174" i="12"/>
  <c r="AY173" i="12"/>
  <c r="AY157" i="12"/>
  <c r="AY194" i="12"/>
  <c r="AY184" i="12"/>
  <c r="AY130" i="12"/>
  <c r="AY131" i="12" s="1"/>
  <c r="AZ127" i="12"/>
  <c r="AZ119" i="12"/>
  <c r="AZ128" i="12"/>
  <c r="AZ121" i="12"/>
  <c r="AZ118" i="12"/>
  <c r="AZ123" i="12"/>
  <c r="BA114" i="12"/>
  <c r="AZ124" i="12"/>
  <c r="AZ156" i="12"/>
  <c r="AZ144" i="12"/>
  <c r="AZ126" i="12"/>
  <c r="AZ120" i="12"/>
  <c r="AZ122" i="12"/>
  <c r="AZ149" i="12"/>
  <c r="CG179" i="12"/>
  <c r="CF186" i="12"/>
  <c r="CF190" i="12"/>
  <c r="AY109" i="12"/>
  <c r="AZ106" i="12"/>
  <c r="AX108" i="12"/>
  <c r="AY105" i="12"/>
  <c r="AV139" i="12"/>
  <c r="AV143" i="12"/>
  <c r="AV195" i="12" s="1"/>
  <c r="AU185" i="12"/>
  <c r="AU191" i="12" s="1"/>
  <c r="AU192" i="12" s="1"/>
  <c r="AU193" i="12" s="1"/>
  <c r="AU197" i="12" s="1"/>
  <c r="AU198" i="12" s="1"/>
  <c r="AV140" i="12"/>
  <c r="AV183" i="12"/>
  <c r="AV161" i="12"/>
  <c r="AV181" i="12"/>
  <c r="AV162" i="12"/>
  <c r="AW136" i="12"/>
  <c r="AW135" i="12"/>
  <c r="AW158" i="12"/>
  <c r="AW159" i="12" s="1"/>
  <c r="AJ172" i="12"/>
  <c r="AJ173" i="12" s="1"/>
  <c r="AK171" i="12" s="1"/>
  <c r="AH189" i="12"/>
  <c r="AK186" i="12"/>
  <c r="AI187" i="12"/>
  <c r="AI174" i="12"/>
  <c r="BA147" i="12"/>
  <c r="BA145" i="12"/>
  <c r="BA148" i="12"/>
  <c r="BA146" i="12"/>
  <c r="CG190" i="12" l="1"/>
  <c r="CH179" i="12"/>
  <c r="CG186" i="12"/>
  <c r="BA127" i="12"/>
  <c r="BB114" i="12"/>
  <c r="BA123" i="12"/>
  <c r="BA120" i="12"/>
  <c r="BA119" i="12"/>
  <c r="BA121" i="12"/>
  <c r="BA122" i="12"/>
  <c r="BA118" i="12"/>
  <c r="BA124" i="12"/>
  <c r="BA156" i="12"/>
  <c r="BA126" i="12"/>
  <c r="BA144" i="12"/>
  <c r="BA128" i="12"/>
  <c r="BA149" i="12"/>
  <c r="AZ184" i="12"/>
  <c r="AZ194" i="12"/>
  <c r="AZ130" i="12"/>
  <c r="AZ131" i="12" s="1"/>
  <c r="AZ174" i="12"/>
  <c r="AZ173" i="12"/>
  <c r="AZ157" i="12"/>
  <c r="AZ132" i="12"/>
  <c r="BA106" i="12"/>
  <c r="AZ109" i="12"/>
  <c r="AW143" i="12"/>
  <c r="AW195" i="12" s="1"/>
  <c r="AW139" i="12"/>
  <c r="AW183" i="12"/>
  <c r="AW140" i="12"/>
  <c r="AW181" i="12"/>
  <c r="AW161" i="12"/>
  <c r="AW162" i="12"/>
  <c r="AV185" i="12"/>
  <c r="AV191" i="12" s="1"/>
  <c r="AV192" i="12" s="1"/>
  <c r="AV193" i="12" s="1"/>
  <c r="AV197" i="12" s="1"/>
  <c r="AV198" i="12" s="1"/>
  <c r="AZ105" i="12"/>
  <c r="AY108" i="12"/>
  <c r="AX158" i="12"/>
  <c r="AX159" i="12" s="1"/>
  <c r="AX135" i="12"/>
  <c r="AX136" i="12"/>
  <c r="AK172" i="12"/>
  <c r="AK173" i="12" s="1"/>
  <c r="AL171" i="12" s="1"/>
  <c r="AL186" i="12"/>
  <c r="AI189" i="12"/>
  <c r="AJ187" i="12"/>
  <c r="AJ174" i="12"/>
  <c r="BB146" i="12"/>
  <c r="BB145" i="12"/>
  <c r="BB148" i="12"/>
  <c r="BB147" i="12"/>
  <c r="BA132" i="12" l="1"/>
  <c r="BA173" i="12"/>
  <c r="BA157" i="12"/>
  <c r="BA174" i="12"/>
  <c r="BB124" i="12"/>
  <c r="BB128" i="12"/>
  <c r="BB118" i="12"/>
  <c r="BB156" i="12"/>
  <c r="BB119" i="12"/>
  <c r="BB126" i="12"/>
  <c r="BB122" i="12"/>
  <c r="BB123" i="12"/>
  <c r="BB120" i="12"/>
  <c r="BB121" i="12"/>
  <c r="BB144" i="12"/>
  <c r="BB127" i="12"/>
  <c r="BC114" i="12"/>
  <c r="BB149" i="12"/>
  <c r="BA130" i="12"/>
  <c r="BA131" i="12" s="1"/>
  <c r="CI179" i="12"/>
  <c r="CH190" i="12"/>
  <c r="CH186" i="12"/>
  <c r="BA194" i="12"/>
  <c r="BA184" i="12"/>
  <c r="BA109" i="12"/>
  <c r="BB106" i="12"/>
  <c r="AW185" i="12"/>
  <c r="AW191" i="12" s="1"/>
  <c r="AW192" i="12" s="1"/>
  <c r="AW193" i="12" s="1"/>
  <c r="AW197" i="12" s="1"/>
  <c r="AW198" i="12" s="1"/>
  <c r="AX143" i="12"/>
  <c r="AX195" i="12" s="1"/>
  <c r="AX139" i="12"/>
  <c r="AX161" i="12"/>
  <c r="AX162" i="12"/>
  <c r="AX181" i="12"/>
  <c r="AX183" i="12"/>
  <c r="AX140" i="12"/>
  <c r="AY158" i="12"/>
  <c r="AY159" i="12" s="1"/>
  <c r="AY135" i="12"/>
  <c r="AY136" i="12"/>
  <c r="AZ108" i="12"/>
  <c r="BA105" i="12"/>
  <c r="AL172" i="12"/>
  <c r="AL173" i="12" s="1"/>
  <c r="AM171" i="12" s="1"/>
  <c r="AJ189" i="12"/>
  <c r="AK187" i="12"/>
  <c r="AK174" i="12"/>
  <c r="BC148" i="12"/>
  <c r="BC145" i="12"/>
  <c r="BC147" i="12"/>
  <c r="BC146" i="12"/>
  <c r="BB130" i="12" l="1"/>
  <c r="BB131" i="12" s="1"/>
  <c r="BB157" i="12"/>
  <c r="BB174" i="12"/>
  <c r="BB173" i="12"/>
  <c r="BB184" i="12"/>
  <c r="BB194" i="12"/>
  <c r="BB132" i="12"/>
  <c r="CI190" i="12"/>
  <c r="CJ179" i="12"/>
  <c r="CI186" i="12"/>
  <c r="BC124" i="12"/>
  <c r="BC121" i="12"/>
  <c r="BC118" i="12"/>
  <c r="BC144" i="12"/>
  <c r="BC119" i="12"/>
  <c r="BC127" i="12"/>
  <c r="BC126" i="12"/>
  <c r="BC128" i="12"/>
  <c r="BC122" i="12"/>
  <c r="BC123" i="12"/>
  <c r="BD114" i="12"/>
  <c r="BC156" i="12"/>
  <c r="BC120" i="12"/>
  <c r="BC149" i="12"/>
  <c r="BC106" i="12"/>
  <c r="BB109" i="12"/>
  <c r="AX185" i="12"/>
  <c r="AX191" i="12" s="1"/>
  <c r="AX192" i="12" s="1"/>
  <c r="AX193" i="12" s="1"/>
  <c r="AX197" i="12" s="1"/>
  <c r="AX198" i="12" s="1"/>
  <c r="AY181" i="12"/>
  <c r="AY161" i="12"/>
  <c r="AY162" i="12"/>
  <c r="AY140" i="12"/>
  <c r="AY183" i="12"/>
  <c r="BB105" i="12"/>
  <c r="BA108" i="12"/>
  <c r="AZ136" i="12"/>
  <c r="AZ158" i="12"/>
  <c r="AZ159" i="12" s="1"/>
  <c r="AZ135" i="12"/>
  <c r="AY143" i="12"/>
  <c r="AY195" i="12" s="1"/>
  <c r="AY139" i="12"/>
  <c r="AM172" i="12"/>
  <c r="AM187" i="12" s="1"/>
  <c r="AK189" i="12"/>
  <c r="AL187" i="12"/>
  <c r="AL174" i="12"/>
  <c r="BD147" i="12"/>
  <c r="BD146" i="12"/>
  <c r="BD148" i="12"/>
  <c r="BD145" i="12"/>
  <c r="BC132" i="12" l="1"/>
  <c r="CK179" i="12"/>
  <c r="CJ190" i="12"/>
  <c r="CJ186" i="12"/>
  <c r="BC174" i="12"/>
  <c r="BC173" i="12"/>
  <c r="BC157" i="12"/>
  <c r="BD124" i="12"/>
  <c r="BD121" i="12"/>
  <c r="BD156" i="12"/>
  <c r="BD118" i="12"/>
  <c r="BD127" i="12"/>
  <c r="BD119" i="12"/>
  <c r="BD144" i="12"/>
  <c r="BD126" i="12"/>
  <c r="BD128" i="12"/>
  <c r="BD120" i="12"/>
  <c r="BD122" i="12"/>
  <c r="BD123" i="12"/>
  <c r="BE114" i="12"/>
  <c r="BD149" i="12"/>
  <c r="BC130" i="12"/>
  <c r="BC131" i="12" s="1"/>
  <c r="BC194" i="12"/>
  <c r="BC184" i="12"/>
  <c r="BD106" i="12"/>
  <c r="BC109" i="12"/>
  <c r="AZ162" i="12"/>
  <c r="AZ161" i="12"/>
  <c r="AZ181" i="12"/>
  <c r="BB108" i="12"/>
  <c r="BC105" i="12"/>
  <c r="AZ139" i="12"/>
  <c r="AZ143" i="12"/>
  <c r="AZ195" i="12" s="1"/>
  <c r="AZ183" i="12"/>
  <c r="AZ140" i="12"/>
  <c r="BA135" i="12"/>
  <c r="BA158" i="12"/>
  <c r="BA159" i="12" s="1"/>
  <c r="BA136" i="12"/>
  <c r="AY185" i="12"/>
  <c r="AY191" i="12" s="1"/>
  <c r="AY192" i="12" s="1"/>
  <c r="AY193" i="12" s="1"/>
  <c r="AY197" i="12" s="1"/>
  <c r="AY198" i="12" s="1"/>
  <c r="AN171" i="12"/>
  <c r="AL189" i="12"/>
  <c r="AM189" i="12"/>
  <c r="BE148" i="12"/>
  <c r="BE147" i="12"/>
  <c r="BE145" i="12"/>
  <c r="BE146" i="12"/>
  <c r="BD194" i="12" l="1"/>
  <c r="BD184" i="12"/>
  <c r="BD132" i="12"/>
  <c r="BE124" i="12"/>
  <c r="BE120" i="12"/>
  <c r="BE144" i="12"/>
  <c r="BE122" i="12"/>
  <c r="BE127" i="12"/>
  <c r="BF114" i="12"/>
  <c r="BE118" i="12"/>
  <c r="BE156" i="12"/>
  <c r="BE128" i="12"/>
  <c r="BE126" i="12"/>
  <c r="BE119" i="12"/>
  <c r="BE123" i="12"/>
  <c r="BE121" i="12"/>
  <c r="BE149" i="12"/>
  <c r="BD130" i="12"/>
  <c r="BD131" i="12" s="1"/>
  <c r="BD174" i="12"/>
  <c r="BD157" i="12"/>
  <c r="BD173" i="12"/>
  <c r="CK186" i="12"/>
  <c r="CL179" i="12"/>
  <c r="CK190" i="12"/>
  <c r="BE106" i="12"/>
  <c r="BD109" i="12"/>
  <c r="AZ185" i="12"/>
  <c r="AZ191" i="12" s="1"/>
  <c r="AZ192" i="12" s="1"/>
  <c r="AZ193" i="12" s="1"/>
  <c r="AZ197" i="12" s="1"/>
  <c r="AZ198" i="12" s="1"/>
  <c r="BA140" i="12"/>
  <c r="BA183" i="12"/>
  <c r="BB136" i="12"/>
  <c r="BB158" i="12"/>
  <c r="BB159" i="12" s="1"/>
  <c r="BB135" i="12"/>
  <c r="BA162" i="12"/>
  <c r="BA161" i="12"/>
  <c r="BA181" i="12"/>
  <c r="BC108" i="12"/>
  <c r="BD105" i="12"/>
  <c r="BA143" i="12"/>
  <c r="BA195" i="12" s="1"/>
  <c r="BA139" i="12"/>
  <c r="AN172" i="12"/>
  <c r="AN187" i="12" s="1"/>
  <c r="BF148" i="12"/>
  <c r="BF147" i="12"/>
  <c r="BF146" i="12"/>
  <c r="BF145" i="12"/>
  <c r="CL190" i="12" l="1"/>
  <c r="CL186" i="12"/>
  <c r="CM179" i="12"/>
  <c r="BE132" i="12"/>
  <c r="BE157" i="12"/>
  <c r="BE173" i="12"/>
  <c r="BE174" i="12"/>
  <c r="BE130" i="12"/>
  <c r="BE131" i="12" s="1"/>
  <c r="BE194" i="12"/>
  <c r="BE184" i="12"/>
  <c r="BF124" i="12"/>
  <c r="BF156" i="12"/>
  <c r="BF119" i="12"/>
  <c r="BF127" i="12"/>
  <c r="BF128" i="12"/>
  <c r="BF123" i="12"/>
  <c r="BF120" i="12"/>
  <c r="BF121" i="12"/>
  <c r="BG114" i="12"/>
  <c r="BF144" i="12"/>
  <c r="BF126" i="12"/>
  <c r="BF122" i="12"/>
  <c r="BF118" i="12"/>
  <c r="BF149" i="12"/>
  <c r="BE109" i="12"/>
  <c r="BF106" i="12"/>
  <c r="BD108" i="12"/>
  <c r="BE105" i="12"/>
  <c r="BB139" i="12"/>
  <c r="BB143" i="12"/>
  <c r="BB195" i="12" s="1"/>
  <c r="BC158" i="12"/>
  <c r="BC159" i="12" s="1"/>
  <c r="BC136" i="12"/>
  <c r="BC135" i="12"/>
  <c r="BB162" i="12"/>
  <c r="BB161" i="12"/>
  <c r="BB181" i="12"/>
  <c r="BB140" i="12"/>
  <c r="BB183" i="12"/>
  <c r="BA185" i="12"/>
  <c r="BA191" i="12" s="1"/>
  <c r="BA192" i="12" s="1"/>
  <c r="BA193" i="12" s="1"/>
  <c r="BA197" i="12" s="1"/>
  <c r="BA198" i="12" s="1"/>
  <c r="AO171" i="12"/>
  <c r="AN189" i="12"/>
  <c r="AN188" i="12"/>
  <c r="BG145" i="12"/>
  <c r="BG148" i="12"/>
  <c r="BG147" i="12"/>
  <c r="BG146" i="12"/>
  <c r="BF130" i="12" l="1"/>
  <c r="BF131" i="12" s="1"/>
  <c r="BF132" i="12"/>
  <c r="BF157" i="12"/>
  <c r="BF173" i="12"/>
  <c r="BF174" i="12"/>
  <c r="BG144" i="12"/>
  <c r="BG119" i="12"/>
  <c r="BG127" i="12"/>
  <c r="BG120" i="12"/>
  <c r="BG126" i="12"/>
  <c r="BH114" i="12"/>
  <c r="BG128" i="12"/>
  <c r="BG121" i="12"/>
  <c r="BG124" i="12"/>
  <c r="BG123" i="12"/>
  <c r="BG156" i="12"/>
  <c r="BG122" i="12"/>
  <c r="BG118" i="12"/>
  <c r="BG149" i="12"/>
  <c r="CM190" i="12"/>
  <c r="CN179" i="12"/>
  <c r="CM186" i="12"/>
  <c r="BF184" i="12"/>
  <c r="BF194" i="12"/>
  <c r="BG106" i="12"/>
  <c r="BF109" i="12"/>
  <c r="BC143" i="12"/>
  <c r="BC195" i="12" s="1"/>
  <c r="BC139" i="12"/>
  <c r="BC183" i="12"/>
  <c r="BC140" i="12"/>
  <c r="BF105" i="12"/>
  <c r="BE108" i="12"/>
  <c r="BC181" i="12"/>
  <c r="BC162" i="12"/>
  <c r="BC161" i="12"/>
  <c r="BB185" i="12"/>
  <c r="BB191" i="12" s="1"/>
  <c r="BB192" i="12" s="1"/>
  <c r="BB193" i="12" s="1"/>
  <c r="BB197" i="12" s="1"/>
  <c r="BB198" i="12" s="1"/>
  <c r="BD158" i="12"/>
  <c r="BD159" i="12" s="1"/>
  <c r="BD135" i="12"/>
  <c r="BD136" i="12"/>
  <c r="AO172" i="12"/>
  <c r="AO187" i="12" s="1"/>
  <c r="BH147" i="12"/>
  <c r="BH145" i="12"/>
  <c r="BH146" i="12"/>
  <c r="BH148" i="12"/>
  <c r="BG157" i="12" l="1"/>
  <c r="BG174" i="12"/>
  <c r="BG173" i="12"/>
  <c r="CN190" i="12"/>
  <c r="CO179" i="12"/>
  <c r="CN186" i="12"/>
  <c r="BG194" i="12"/>
  <c r="BG184" i="12"/>
  <c r="BH124" i="12"/>
  <c r="BH144" i="12"/>
  <c r="BH123" i="12"/>
  <c r="BH127" i="12"/>
  <c r="BH119" i="12"/>
  <c r="BH126" i="12"/>
  <c r="BI114" i="12"/>
  <c r="BH128" i="12"/>
  <c r="BH120" i="12"/>
  <c r="BH156" i="12"/>
  <c r="BH122" i="12"/>
  <c r="BH121" i="12"/>
  <c r="BH118" i="12"/>
  <c r="BH149" i="12"/>
  <c r="BG130" i="12"/>
  <c r="BG131" i="12" s="1"/>
  <c r="BG132" i="12"/>
  <c r="BC185" i="12"/>
  <c r="BC191" i="12" s="1"/>
  <c r="BC192" i="12" s="1"/>
  <c r="BC193" i="12" s="1"/>
  <c r="BC197" i="12" s="1"/>
  <c r="BC198" i="12" s="1"/>
  <c r="BG109" i="12"/>
  <c r="BH106" i="12"/>
  <c r="BD139" i="12"/>
  <c r="BD143" i="12"/>
  <c r="BD195" i="12" s="1"/>
  <c r="BE158" i="12"/>
  <c r="BE159" i="12" s="1"/>
  <c r="BE135" i="12"/>
  <c r="BE136" i="12"/>
  <c r="BD162" i="12"/>
  <c r="BD181" i="12"/>
  <c r="BD161" i="12"/>
  <c r="BF108" i="12"/>
  <c r="BG105" i="12"/>
  <c r="BD140" i="12"/>
  <c r="BD183" i="12"/>
  <c r="AP171" i="12"/>
  <c r="AP172" i="12" s="1"/>
  <c r="AP187" i="12" s="1"/>
  <c r="AO189" i="12"/>
  <c r="AO188" i="12"/>
  <c r="BI147" i="12"/>
  <c r="BI148" i="12"/>
  <c r="BI146" i="12"/>
  <c r="BI145" i="12"/>
  <c r="BI124" i="12" l="1"/>
  <c r="BI128" i="12"/>
  <c r="BI118" i="12"/>
  <c r="BI127" i="12"/>
  <c r="BJ114" i="12"/>
  <c r="BI126" i="12"/>
  <c r="BI123" i="12"/>
  <c r="BI119" i="12"/>
  <c r="BI156" i="12"/>
  <c r="BI144" i="12"/>
  <c r="BI120" i="12"/>
  <c r="BI121" i="12"/>
  <c r="BI122" i="12"/>
  <c r="BI149" i="12"/>
  <c r="BH130" i="12"/>
  <c r="BH131" i="12" s="1"/>
  <c r="CP179" i="12"/>
  <c r="CO186" i="12"/>
  <c r="CO190" i="12"/>
  <c r="BH132" i="12"/>
  <c r="BH173" i="12"/>
  <c r="BH174" i="12"/>
  <c r="BH157" i="12"/>
  <c r="BH184" i="12"/>
  <c r="BH194" i="12"/>
  <c r="BI106" i="12"/>
  <c r="BH109" i="12"/>
  <c r="BD185" i="12"/>
  <c r="BD191" i="12" s="1"/>
  <c r="BD192" i="12" s="1"/>
  <c r="BD193" i="12" s="1"/>
  <c r="BD197" i="12" s="1"/>
  <c r="BD198" i="12" s="1"/>
  <c r="BE183" i="12"/>
  <c r="BE140" i="12"/>
  <c r="BG108" i="12"/>
  <c r="BH105" i="12"/>
  <c r="BE181" i="12"/>
  <c r="BE162" i="12"/>
  <c r="BE161" i="12"/>
  <c r="BE139" i="12"/>
  <c r="BE143" i="12"/>
  <c r="BE195" i="12" s="1"/>
  <c r="BF158" i="12"/>
  <c r="BF159" i="12" s="1"/>
  <c r="BF136" i="12"/>
  <c r="BF135" i="12"/>
  <c r="AP188" i="12"/>
  <c r="AP189" i="12"/>
  <c r="AQ171" i="12"/>
  <c r="BJ147" i="12"/>
  <c r="BJ145" i="12"/>
  <c r="BJ146" i="12"/>
  <c r="BJ148" i="12"/>
  <c r="BI132" i="12" l="1"/>
  <c r="CQ179" i="12"/>
  <c r="CP190" i="12"/>
  <c r="CP186" i="12"/>
  <c r="BJ124" i="12"/>
  <c r="BJ126" i="12"/>
  <c r="BK114" i="12"/>
  <c r="BJ128" i="12"/>
  <c r="BJ122" i="12"/>
  <c r="BJ118" i="12"/>
  <c r="BJ123" i="12"/>
  <c r="BJ119" i="12"/>
  <c r="BJ120" i="12"/>
  <c r="BJ121" i="12"/>
  <c r="BJ156" i="12"/>
  <c r="BJ127" i="12"/>
  <c r="BJ144" i="12"/>
  <c r="BJ149" i="12"/>
  <c r="BI130" i="12"/>
  <c r="BI131" i="12" s="1"/>
  <c r="BI194" i="12"/>
  <c r="BI184" i="12"/>
  <c r="BI157" i="12"/>
  <c r="BI174" i="12"/>
  <c r="BI173" i="12"/>
  <c r="BE185" i="12"/>
  <c r="BE191" i="12" s="1"/>
  <c r="BE192" i="12" s="1"/>
  <c r="BE193" i="12" s="1"/>
  <c r="BE197" i="12" s="1"/>
  <c r="BE198" i="12" s="1"/>
  <c r="BI109" i="12"/>
  <c r="BJ106" i="12"/>
  <c r="BF183" i="12"/>
  <c r="BF140" i="12"/>
  <c r="BI105" i="12"/>
  <c r="BH108" i="12"/>
  <c r="BG158" i="12"/>
  <c r="BG159" i="12" s="1"/>
  <c r="BG136" i="12"/>
  <c r="BG135" i="12"/>
  <c r="BF143" i="12"/>
  <c r="BF195" i="12" s="1"/>
  <c r="BF139" i="12"/>
  <c r="BF162" i="12"/>
  <c r="BF181" i="12"/>
  <c r="BF161" i="12"/>
  <c r="AQ172" i="12"/>
  <c r="AQ187" i="12" s="1"/>
  <c r="BK148" i="12"/>
  <c r="BK146" i="12"/>
  <c r="BK147" i="12"/>
  <c r="BK145" i="12"/>
  <c r="BJ157" i="12" l="1"/>
  <c r="BJ174" i="12"/>
  <c r="BJ173" i="12"/>
  <c r="BK124" i="12"/>
  <c r="BK128" i="12"/>
  <c r="BK121" i="12"/>
  <c r="BK122" i="12"/>
  <c r="BK118" i="12"/>
  <c r="BK156" i="12"/>
  <c r="BK123" i="12"/>
  <c r="BL114" i="12"/>
  <c r="BK144" i="12"/>
  <c r="BK126" i="12"/>
  <c r="BK127" i="12"/>
  <c r="BK119" i="12"/>
  <c r="BK120" i="12"/>
  <c r="BK149" i="12"/>
  <c r="BJ132" i="12"/>
  <c r="BJ184" i="12"/>
  <c r="BJ194" i="12"/>
  <c r="BJ130" i="12"/>
  <c r="BJ131" i="12" s="1"/>
  <c r="CR179" i="12"/>
  <c r="CQ190" i="12"/>
  <c r="CQ186" i="12"/>
  <c r="BK106" i="12"/>
  <c r="BJ109" i="12"/>
  <c r="BG140" i="12"/>
  <c r="BG183" i="12"/>
  <c r="BG143" i="12"/>
  <c r="BG195" i="12" s="1"/>
  <c r="BG139" i="12"/>
  <c r="BJ105" i="12"/>
  <c r="BI108" i="12"/>
  <c r="BG161" i="12"/>
  <c r="BG162" i="12"/>
  <c r="BG181" i="12"/>
  <c r="BF185" i="12"/>
  <c r="BF191" i="12" s="1"/>
  <c r="BF192" i="12" s="1"/>
  <c r="BF193" i="12" s="1"/>
  <c r="BF197" i="12" s="1"/>
  <c r="BF198" i="12" s="1"/>
  <c r="BH158" i="12"/>
  <c r="BH159" i="12" s="1"/>
  <c r="BH135" i="12"/>
  <c r="BH136" i="12"/>
  <c r="AR171" i="12"/>
  <c r="AR172" i="12" s="1"/>
  <c r="AR187" i="12" s="1"/>
  <c r="AQ188" i="12"/>
  <c r="AQ189" i="12"/>
  <c r="BL148" i="12"/>
  <c r="BL146" i="12"/>
  <c r="BL145" i="12"/>
  <c r="BL147" i="12"/>
  <c r="BK130" i="12" l="1"/>
  <c r="BK131" i="12" s="1"/>
  <c r="CS179" i="12"/>
  <c r="CR190" i="12"/>
  <c r="CR186" i="12"/>
  <c r="BK132" i="12"/>
  <c r="BL124" i="12"/>
  <c r="BL120" i="12"/>
  <c r="BL121" i="12"/>
  <c r="BL122" i="12"/>
  <c r="BL156" i="12"/>
  <c r="BL118" i="12"/>
  <c r="BL144" i="12"/>
  <c r="BL123" i="12"/>
  <c r="BL127" i="12"/>
  <c r="BL126" i="12"/>
  <c r="BL128" i="12"/>
  <c r="BL119" i="12"/>
  <c r="BM114" i="12"/>
  <c r="BL149" i="12"/>
  <c r="BK194" i="12"/>
  <c r="BK184" i="12"/>
  <c r="BK174" i="12"/>
  <c r="BK157" i="12"/>
  <c r="BK173" i="12"/>
  <c r="BL106" i="12"/>
  <c r="BK109" i="12"/>
  <c r="BG185" i="12"/>
  <c r="BG191" i="12" s="1"/>
  <c r="BG192" i="12" s="1"/>
  <c r="BG193" i="12" s="1"/>
  <c r="BG197" i="12" s="1"/>
  <c r="BG198" i="12" s="1"/>
  <c r="BI158" i="12"/>
  <c r="BI159" i="12" s="1"/>
  <c r="BI135" i="12"/>
  <c r="BI136" i="12"/>
  <c r="BH140" i="12"/>
  <c r="BH183" i="12"/>
  <c r="BJ108" i="12"/>
  <c r="BK105" i="12"/>
  <c r="BH139" i="12"/>
  <c r="BH143" i="12"/>
  <c r="BH195" i="12" s="1"/>
  <c r="BH181" i="12"/>
  <c r="BH161" i="12"/>
  <c r="BH162" i="12"/>
  <c r="AS171" i="12"/>
  <c r="AS172" i="12" s="1"/>
  <c r="AS187" i="12" s="1"/>
  <c r="AR188" i="12"/>
  <c r="AR189" i="12"/>
  <c r="AC190" i="12"/>
  <c r="BM148" i="12"/>
  <c r="BM147" i="12"/>
  <c r="BM145" i="12"/>
  <c r="BM146" i="12"/>
  <c r="BL132" i="12" l="1"/>
  <c r="BL194" i="12"/>
  <c r="BL184" i="12"/>
  <c r="BL130" i="12"/>
  <c r="BL131" i="12" s="1"/>
  <c r="BM124" i="12"/>
  <c r="BM119" i="12"/>
  <c r="BM120" i="12"/>
  <c r="BM156" i="12"/>
  <c r="BM121" i="12"/>
  <c r="BM144" i="12"/>
  <c r="BM122" i="12"/>
  <c r="BM128" i="12"/>
  <c r="BM118" i="12"/>
  <c r="BM126" i="12"/>
  <c r="BM123" i="12"/>
  <c r="BN114" i="12"/>
  <c r="BM127" i="12"/>
  <c r="BM149" i="12"/>
  <c r="BL174" i="12"/>
  <c r="BL173" i="12"/>
  <c r="BL157" i="12"/>
  <c r="CT179" i="12"/>
  <c r="CS190" i="12"/>
  <c r="CS186" i="12"/>
  <c r="BL109" i="12"/>
  <c r="BM106" i="12"/>
  <c r="BL105" i="12"/>
  <c r="BK108" i="12"/>
  <c r="BI140" i="12"/>
  <c r="BI183" i="12"/>
  <c r="BI139" i="12"/>
  <c r="BI143" i="12"/>
  <c r="BI195" i="12" s="1"/>
  <c r="BJ136" i="12"/>
  <c r="BJ158" i="12"/>
  <c r="BJ159" i="12" s="1"/>
  <c r="BJ135" i="12"/>
  <c r="BH185" i="12"/>
  <c r="BH191" i="12" s="1"/>
  <c r="BH192" i="12" s="1"/>
  <c r="BH193" i="12" s="1"/>
  <c r="BH197" i="12" s="1"/>
  <c r="BH198" i="12" s="1"/>
  <c r="BI181" i="12"/>
  <c r="BI162" i="12"/>
  <c r="BI161" i="12"/>
  <c r="AD188" i="12"/>
  <c r="AD191" i="12" s="1"/>
  <c r="AD192" i="12" s="1"/>
  <c r="AD193" i="12" s="1"/>
  <c r="AD197" i="12" s="1"/>
  <c r="AD198" i="12" s="1"/>
  <c r="AS189" i="12"/>
  <c r="AS188" i="12"/>
  <c r="AT171" i="12"/>
  <c r="BN145" i="12"/>
  <c r="BN147" i="12"/>
  <c r="BN146" i="12"/>
  <c r="BN148" i="12"/>
  <c r="BN124" i="12" l="1"/>
  <c r="BN123" i="12"/>
  <c r="BN156" i="12"/>
  <c r="BN119" i="12"/>
  <c r="BN144" i="12"/>
  <c r="BN120" i="12"/>
  <c r="BN127" i="12"/>
  <c r="BN121" i="12"/>
  <c r="BN126" i="12"/>
  <c r="BO114" i="12"/>
  <c r="BN128" i="12"/>
  <c r="BN122" i="12"/>
  <c r="BN118" i="12"/>
  <c r="BN149" i="12"/>
  <c r="BM157" i="12"/>
  <c r="BM173" i="12"/>
  <c r="BM174" i="12"/>
  <c r="CT190" i="12"/>
  <c r="CT186" i="12"/>
  <c r="CU179" i="12"/>
  <c r="BM132" i="12"/>
  <c r="BM130" i="12"/>
  <c r="BM131" i="12" s="1"/>
  <c r="BM184" i="12"/>
  <c r="BM194" i="12"/>
  <c r="BN106" i="12"/>
  <c r="BM109" i="12"/>
  <c r="BI185" i="12"/>
  <c r="BI191" i="12" s="1"/>
  <c r="BI192" i="12" s="1"/>
  <c r="BI193" i="12" s="1"/>
  <c r="BI197" i="12" s="1"/>
  <c r="BI198" i="12" s="1"/>
  <c r="BJ139" i="12"/>
  <c r="BJ143" i="12"/>
  <c r="BJ195" i="12" s="1"/>
  <c r="BJ161" i="12"/>
  <c r="BJ181" i="12"/>
  <c r="BJ162" i="12"/>
  <c r="BJ140" i="12"/>
  <c r="BJ183" i="12"/>
  <c r="BK158" i="12"/>
  <c r="BK159" i="12" s="1"/>
  <c r="BK136" i="12"/>
  <c r="BK135" i="12"/>
  <c r="BL108" i="12"/>
  <c r="BM105" i="12"/>
  <c r="AD190" i="12"/>
  <c r="AE188" i="12" s="1"/>
  <c r="AE191" i="12" s="1"/>
  <c r="AE192" i="12" s="1"/>
  <c r="AE193" i="12" s="1"/>
  <c r="AE197" i="12" s="1"/>
  <c r="AE198" i="12" s="1"/>
  <c r="AT172" i="12"/>
  <c r="AT187" i="12" s="1"/>
  <c r="BO146" i="12"/>
  <c r="BO145" i="12"/>
  <c r="BO147" i="12"/>
  <c r="BO148" i="12"/>
  <c r="BN184" i="12" l="1"/>
  <c r="BN194" i="12"/>
  <c r="BN130" i="12"/>
  <c r="BN131" i="12" s="1"/>
  <c r="CU190" i="12"/>
  <c r="CU186" i="12"/>
  <c r="CV179" i="12"/>
  <c r="BN174" i="12"/>
  <c r="BN157" i="12"/>
  <c r="BN173" i="12"/>
  <c r="BO124" i="12"/>
  <c r="BO156" i="12"/>
  <c r="BO123" i="12"/>
  <c r="BO144" i="12"/>
  <c r="BO119" i="12"/>
  <c r="BO127" i="12"/>
  <c r="BO120" i="12"/>
  <c r="BO126" i="12"/>
  <c r="BP114" i="12"/>
  <c r="BO128" i="12"/>
  <c r="BO121" i="12"/>
  <c r="BO122" i="12"/>
  <c r="BO118" i="12"/>
  <c r="BO149" i="12"/>
  <c r="BN132" i="12"/>
  <c r="BN109" i="12"/>
  <c r="BO106" i="12"/>
  <c r="BN105" i="12"/>
  <c r="BM108" i="12"/>
  <c r="BL158" i="12"/>
  <c r="BL159" i="12" s="1"/>
  <c r="BL135" i="12"/>
  <c r="BL136" i="12"/>
  <c r="BJ185" i="12"/>
  <c r="BJ191" i="12" s="1"/>
  <c r="BJ192" i="12" s="1"/>
  <c r="BJ193" i="12" s="1"/>
  <c r="BJ197" i="12" s="1"/>
  <c r="BJ198" i="12" s="1"/>
  <c r="BK143" i="12"/>
  <c r="BK195" i="12" s="1"/>
  <c r="BK139" i="12"/>
  <c r="BK183" i="12"/>
  <c r="BK140" i="12"/>
  <c r="BK181" i="12"/>
  <c r="BK161" i="12"/>
  <c r="BK162" i="12"/>
  <c r="AE190" i="12"/>
  <c r="AF188" i="12" s="1"/>
  <c r="AF191" i="12" s="1"/>
  <c r="AF192" i="12" s="1"/>
  <c r="AF193" i="12" s="1"/>
  <c r="AF197" i="12" s="1"/>
  <c r="AF198" i="12" s="1"/>
  <c r="AU171" i="12"/>
  <c r="AU172" i="12" s="1"/>
  <c r="AU187" i="12" s="1"/>
  <c r="AT189" i="12"/>
  <c r="AT188" i="12"/>
  <c r="BP146" i="12"/>
  <c r="BP145" i="12"/>
  <c r="BP147" i="12"/>
  <c r="BP148" i="12"/>
  <c r="CW179" i="12" l="1"/>
  <c r="CV186" i="12"/>
  <c r="CV190" i="12"/>
  <c r="BO130" i="12"/>
  <c r="BO131" i="12" s="1"/>
  <c r="BO194" i="12"/>
  <c r="BO184" i="12"/>
  <c r="BO173" i="12"/>
  <c r="BO157" i="12"/>
  <c r="BO174" i="12"/>
  <c r="BP124" i="12"/>
  <c r="BP144" i="12"/>
  <c r="BP123" i="12"/>
  <c r="BP127" i="12"/>
  <c r="BP119" i="12"/>
  <c r="BP126" i="12"/>
  <c r="BQ114" i="12"/>
  <c r="BP128" i="12"/>
  <c r="BP120" i="12"/>
  <c r="BP156" i="12"/>
  <c r="BP121" i="12"/>
  <c r="BP122" i="12"/>
  <c r="BP118" i="12"/>
  <c r="BP149" i="12"/>
  <c r="BO132" i="12"/>
  <c r="BP106" i="12"/>
  <c r="BO109" i="12"/>
  <c r="BK185" i="12"/>
  <c r="BK191" i="12" s="1"/>
  <c r="BK192" i="12" s="1"/>
  <c r="BK193" i="12" s="1"/>
  <c r="BK197" i="12" s="1"/>
  <c r="BK198" i="12" s="1"/>
  <c r="BL140" i="12"/>
  <c r="BL183" i="12"/>
  <c r="BL139" i="12"/>
  <c r="BL143" i="12"/>
  <c r="BL195" i="12" s="1"/>
  <c r="BL181" i="12"/>
  <c r="BL162" i="12"/>
  <c r="BL161" i="12"/>
  <c r="BM136" i="12"/>
  <c r="BM135" i="12"/>
  <c r="BM158" i="12"/>
  <c r="BM159" i="12" s="1"/>
  <c r="BN108" i="12"/>
  <c r="BO105" i="12"/>
  <c r="AU189" i="12"/>
  <c r="AU188" i="12"/>
  <c r="AV171" i="12"/>
  <c r="AF190" i="12"/>
  <c r="BQ148" i="12"/>
  <c r="BQ145" i="12"/>
  <c r="BQ146" i="12"/>
  <c r="BQ147" i="12"/>
  <c r="BP130" i="12" l="1"/>
  <c r="BP131" i="12" s="1"/>
  <c r="BP132" i="12"/>
  <c r="BQ124" i="12"/>
  <c r="BQ128" i="12"/>
  <c r="BQ118" i="12"/>
  <c r="BQ127" i="12"/>
  <c r="BR114" i="12"/>
  <c r="BQ126" i="12"/>
  <c r="BQ123" i="12"/>
  <c r="BQ119" i="12"/>
  <c r="BQ121" i="12"/>
  <c r="BQ122" i="12"/>
  <c r="BQ156" i="12"/>
  <c r="BQ144" i="12"/>
  <c r="BQ120" i="12"/>
  <c r="BQ149" i="12"/>
  <c r="BP194" i="12"/>
  <c r="BP184" i="12"/>
  <c r="BP157" i="12"/>
  <c r="BP173" i="12"/>
  <c r="BP174" i="12"/>
  <c r="CX179" i="12"/>
  <c r="CW190" i="12"/>
  <c r="CW186" i="12"/>
  <c r="BP109" i="12"/>
  <c r="BQ106" i="12"/>
  <c r="BL185" i="12"/>
  <c r="BL191" i="12" s="1"/>
  <c r="BL192" i="12" s="1"/>
  <c r="BL193" i="12" s="1"/>
  <c r="BL197" i="12" s="1"/>
  <c r="BL198" i="12" s="1"/>
  <c r="BM143" i="12"/>
  <c r="BM195" i="12" s="1"/>
  <c r="BM139" i="12"/>
  <c r="BO108" i="12"/>
  <c r="BP105" i="12"/>
  <c r="BN136" i="12"/>
  <c r="BN135" i="12"/>
  <c r="BN158" i="12"/>
  <c r="BN159" i="12" s="1"/>
  <c r="BM183" i="12"/>
  <c r="BM140" i="12"/>
  <c r="BM161" i="12"/>
  <c r="BM181" i="12"/>
  <c r="BM162" i="12"/>
  <c r="AG188" i="12"/>
  <c r="AG191" i="12" s="1"/>
  <c r="AG192" i="12" s="1"/>
  <c r="AG193" i="12" s="1"/>
  <c r="AG197" i="12" s="1"/>
  <c r="AG198" i="12" s="1"/>
  <c r="AV172" i="12"/>
  <c r="AV187" i="12" s="1"/>
  <c r="BR148" i="12"/>
  <c r="BR145" i="12"/>
  <c r="BR147" i="12"/>
  <c r="BR146" i="12"/>
  <c r="BQ132" i="12" l="1"/>
  <c r="BR124" i="12"/>
  <c r="BR128" i="12"/>
  <c r="BR122" i="12"/>
  <c r="BR118" i="12"/>
  <c r="BR123" i="12"/>
  <c r="BR156" i="12"/>
  <c r="BR119" i="12"/>
  <c r="BR144" i="12"/>
  <c r="BR127" i="12"/>
  <c r="BR126" i="12"/>
  <c r="BS114" i="12"/>
  <c r="BR120" i="12"/>
  <c r="BR121" i="12"/>
  <c r="BR149" i="12"/>
  <c r="BQ194" i="12"/>
  <c r="BQ184" i="12"/>
  <c r="CY179" i="12"/>
  <c r="CX186" i="12"/>
  <c r="CX190" i="12"/>
  <c r="BQ157" i="12"/>
  <c r="BQ174" i="12"/>
  <c r="BQ173" i="12"/>
  <c r="BQ130" i="12"/>
  <c r="BQ131" i="12" s="1"/>
  <c r="BM185" i="12"/>
  <c r="BM191" i="12" s="1"/>
  <c r="BM192" i="12" s="1"/>
  <c r="BM193" i="12" s="1"/>
  <c r="BM197" i="12" s="1"/>
  <c r="BM198" i="12" s="1"/>
  <c r="BQ109" i="12"/>
  <c r="BR106" i="12"/>
  <c r="BN140" i="12"/>
  <c r="BN183" i="12"/>
  <c r="BN139" i="12"/>
  <c r="BN143" i="12"/>
  <c r="BN195" i="12" s="1"/>
  <c r="BQ105" i="12"/>
  <c r="BP108" i="12"/>
  <c r="BO158" i="12"/>
  <c r="BO159" i="12" s="1"/>
  <c r="BO136" i="12"/>
  <c r="BO135" i="12"/>
  <c r="BN181" i="12"/>
  <c r="BN161" i="12"/>
  <c r="BN162" i="12"/>
  <c r="AW171" i="12"/>
  <c r="AW172" i="12" s="1"/>
  <c r="AV189" i="12"/>
  <c r="AV188" i="12"/>
  <c r="AG190" i="12"/>
  <c r="BS148" i="12"/>
  <c r="BS147" i="12"/>
  <c r="BS145" i="12"/>
  <c r="BS146" i="12"/>
  <c r="BR132" i="12" l="1"/>
  <c r="BR157" i="12"/>
  <c r="BR174" i="12"/>
  <c r="BR173" i="12"/>
  <c r="BR130" i="12"/>
  <c r="BR131" i="12" s="1"/>
  <c r="BR184" i="12"/>
  <c r="BR194" i="12"/>
  <c r="BS124" i="12"/>
  <c r="BS122" i="12"/>
  <c r="BS118" i="12"/>
  <c r="BS156" i="12"/>
  <c r="BS123" i="12"/>
  <c r="BS144" i="12"/>
  <c r="BS127" i="12"/>
  <c r="BS120" i="12"/>
  <c r="BS126" i="12"/>
  <c r="BS128" i="12"/>
  <c r="BS121" i="12"/>
  <c r="BS119" i="12"/>
  <c r="BT114" i="12"/>
  <c r="BS149" i="12"/>
  <c r="CZ179" i="12"/>
  <c r="CY186" i="12"/>
  <c r="CY190" i="12"/>
  <c r="BN185" i="12"/>
  <c r="BN191" i="12" s="1"/>
  <c r="BN192" i="12" s="1"/>
  <c r="BN193" i="12" s="1"/>
  <c r="BN197" i="12" s="1"/>
  <c r="BN198" i="12" s="1"/>
  <c r="BR109" i="12"/>
  <c r="BS106" i="12"/>
  <c r="BP158" i="12"/>
  <c r="BP159" i="12" s="1"/>
  <c r="BP136" i="12"/>
  <c r="BP135" i="12"/>
  <c r="BQ108" i="12"/>
  <c r="BR105" i="12"/>
  <c r="BO139" i="12"/>
  <c r="BO143" i="12"/>
  <c r="BO195" i="12" s="1"/>
  <c r="BO183" i="12"/>
  <c r="BO140" i="12"/>
  <c r="BO161" i="12"/>
  <c r="BO162" i="12"/>
  <c r="BO181" i="12"/>
  <c r="AW187" i="12"/>
  <c r="AW188" i="12" s="1"/>
  <c r="AX171" i="12"/>
  <c r="AX172" i="12" s="1"/>
  <c r="AX187" i="12" s="1"/>
  <c r="AH188" i="12"/>
  <c r="AH191" i="12" s="1"/>
  <c r="AH192" i="12" s="1"/>
  <c r="AH193" i="12" s="1"/>
  <c r="AH197" i="12" s="1"/>
  <c r="AH198" i="12" s="1"/>
  <c r="BT148" i="12"/>
  <c r="BT146" i="12"/>
  <c r="BT145" i="12"/>
  <c r="BT147" i="12"/>
  <c r="CZ186" i="12" l="1"/>
  <c r="CZ190" i="12"/>
  <c r="BS194" i="12"/>
  <c r="BS184" i="12"/>
  <c r="BS132" i="12"/>
  <c r="BT124" i="12"/>
  <c r="BT144" i="12"/>
  <c r="BT123" i="12"/>
  <c r="BT127" i="12"/>
  <c r="BT119" i="12"/>
  <c r="BT126" i="12"/>
  <c r="BU114" i="12"/>
  <c r="BT120" i="12"/>
  <c r="BT121" i="12"/>
  <c r="BT122" i="12"/>
  <c r="BT118" i="12"/>
  <c r="BT128" i="12"/>
  <c r="BT156" i="12"/>
  <c r="BT149" i="12"/>
  <c r="BS157" i="12"/>
  <c r="BS174" i="12"/>
  <c r="BS173" i="12"/>
  <c r="BS130" i="12"/>
  <c r="BS131" i="12" s="1"/>
  <c r="BO185" i="12"/>
  <c r="BO191" i="12" s="1"/>
  <c r="BO192" i="12" s="1"/>
  <c r="BO193" i="12" s="1"/>
  <c r="BO197" i="12" s="1"/>
  <c r="BO198" i="12" s="1"/>
  <c r="BT106" i="12"/>
  <c r="BS109" i="12"/>
  <c r="BR108" i="12"/>
  <c r="BS105" i="12"/>
  <c r="BQ158" i="12"/>
  <c r="BQ159" i="12" s="1"/>
  <c r="BQ135" i="12"/>
  <c r="BQ136" i="12"/>
  <c r="BP139" i="12"/>
  <c r="BP143" i="12"/>
  <c r="BP195" i="12" s="1"/>
  <c r="BP183" i="12"/>
  <c r="BP140" i="12"/>
  <c r="BP181" i="12"/>
  <c r="BP162" i="12"/>
  <c r="BP161" i="12"/>
  <c r="AW189" i="12"/>
  <c r="AY171" i="12"/>
  <c r="AY172" i="12" s="1"/>
  <c r="AY187" i="12" s="1"/>
  <c r="AX188" i="12"/>
  <c r="AX189" i="12"/>
  <c r="AH190" i="12"/>
  <c r="BU148" i="12"/>
  <c r="BU145" i="12"/>
  <c r="BU147" i="12"/>
  <c r="BU146" i="12"/>
  <c r="BT132" i="12" l="1"/>
  <c r="BU124" i="12"/>
  <c r="BU123" i="12"/>
  <c r="BU119" i="12"/>
  <c r="BU120" i="12"/>
  <c r="BU144" i="12"/>
  <c r="BU122" i="12"/>
  <c r="BU118" i="12"/>
  <c r="BV114" i="12"/>
  <c r="BU156" i="12"/>
  <c r="BU128" i="12"/>
  <c r="BU127" i="12"/>
  <c r="BU126" i="12"/>
  <c r="BU121" i="12"/>
  <c r="BU149" i="12"/>
  <c r="BT130" i="12"/>
  <c r="BT131" i="12" s="1"/>
  <c r="BT184" i="12"/>
  <c r="BT194" i="12"/>
  <c r="BT157" i="12"/>
  <c r="BT173" i="12"/>
  <c r="BT174" i="12"/>
  <c r="BT109" i="12"/>
  <c r="BU106" i="12"/>
  <c r="BQ183" i="12"/>
  <c r="BQ140" i="12"/>
  <c r="BQ143" i="12"/>
  <c r="BQ195" i="12" s="1"/>
  <c r="BQ139" i="12"/>
  <c r="BQ161" i="12"/>
  <c r="BQ181" i="12"/>
  <c r="BQ162" i="12"/>
  <c r="BP185" i="12"/>
  <c r="BP191" i="12" s="1"/>
  <c r="BP192" i="12" s="1"/>
  <c r="BP193" i="12" s="1"/>
  <c r="BP197" i="12" s="1"/>
  <c r="BP198" i="12" s="1"/>
  <c r="BT105" i="12"/>
  <c r="BS108" i="12"/>
  <c r="BR135" i="12"/>
  <c r="BR158" i="12"/>
  <c r="BR159" i="12" s="1"/>
  <c r="BR136" i="12"/>
  <c r="AZ171" i="12"/>
  <c r="AZ172" i="12" s="1"/>
  <c r="AZ187" i="12" s="1"/>
  <c r="AI188" i="12"/>
  <c r="AI191" i="12" s="1"/>
  <c r="AI192" i="12" s="1"/>
  <c r="AI193" i="12" s="1"/>
  <c r="AI197" i="12" s="1"/>
  <c r="AI198" i="12" s="1"/>
  <c r="AY188" i="12"/>
  <c r="AY189" i="12"/>
  <c r="BV145" i="12"/>
  <c r="BV146" i="12"/>
  <c r="BV147" i="12"/>
  <c r="BV148" i="12"/>
  <c r="BU130" i="12" l="1"/>
  <c r="BU131" i="12" s="1"/>
  <c r="BU132" i="12"/>
  <c r="BU184" i="12"/>
  <c r="BU194" i="12"/>
  <c r="BV124" i="12"/>
  <c r="BV144" i="12"/>
  <c r="BV120" i="12"/>
  <c r="BV127" i="12"/>
  <c r="BV121" i="12"/>
  <c r="BV126" i="12"/>
  <c r="BW114" i="12"/>
  <c r="BV122" i="12"/>
  <c r="BV156" i="12"/>
  <c r="BV128" i="12"/>
  <c r="BV118" i="12"/>
  <c r="BV119" i="12"/>
  <c r="BV123" i="12"/>
  <c r="BV149" i="12"/>
  <c r="BU157" i="12"/>
  <c r="BU174" i="12"/>
  <c r="BU173" i="12"/>
  <c r="BV106" i="12"/>
  <c r="BU109" i="12"/>
  <c r="BQ185" i="12"/>
  <c r="BQ191" i="12" s="1"/>
  <c r="BQ192" i="12" s="1"/>
  <c r="BQ193" i="12" s="1"/>
  <c r="BQ197" i="12" s="1"/>
  <c r="BQ198" i="12" s="1"/>
  <c r="BR140" i="12"/>
  <c r="BR183" i="12"/>
  <c r="BR143" i="12"/>
  <c r="BR195" i="12" s="1"/>
  <c r="BR139" i="12"/>
  <c r="BR181" i="12"/>
  <c r="BR161" i="12"/>
  <c r="BR162" i="12"/>
  <c r="BS158" i="12"/>
  <c r="BS159" i="12" s="1"/>
  <c r="BS135" i="12"/>
  <c r="BS136" i="12"/>
  <c r="BT108" i="12"/>
  <c r="BU105" i="12"/>
  <c r="BA171" i="12"/>
  <c r="BA172" i="12" s="1"/>
  <c r="BA187" i="12" s="1"/>
  <c r="AZ189" i="12"/>
  <c r="AZ188" i="12"/>
  <c r="AI190" i="12"/>
  <c r="BW146" i="12"/>
  <c r="BW148" i="12"/>
  <c r="BW145" i="12"/>
  <c r="BW147" i="12"/>
  <c r="BV132" i="12" l="1"/>
  <c r="BV184" i="12"/>
  <c r="BV194" i="12"/>
  <c r="BV130" i="12"/>
  <c r="BV131" i="12" s="1"/>
  <c r="BV174" i="12"/>
  <c r="BV173" i="12"/>
  <c r="BV157" i="12"/>
  <c r="BW122" i="12"/>
  <c r="BW118" i="12"/>
  <c r="BW144" i="12"/>
  <c r="BW119" i="12"/>
  <c r="BW127" i="12"/>
  <c r="BW124" i="12"/>
  <c r="BW126" i="12"/>
  <c r="BW128" i="12"/>
  <c r="BW121" i="12"/>
  <c r="BW123" i="12"/>
  <c r="BX114" i="12"/>
  <c r="BW156" i="12"/>
  <c r="BW120" i="12"/>
  <c r="BW149" i="12"/>
  <c r="BV109" i="12"/>
  <c r="BW106" i="12"/>
  <c r="BS162" i="12"/>
  <c r="BS161" i="12"/>
  <c r="BS181" i="12"/>
  <c r="BU108" i="12"/>
  <c r="BV105" i="12"/>
  <c r="BR185" i="12"/>
  <c r="BR191" i="12" s="1"/>
  <c r="BR192" i="12" s="1"/>
  <c r="BR193" i="12" s="1"/>
  <c r="BR197" i="12" s="1"/>
  <c r="BR198" i="12" s="1"/>
  <c r="BT136" i="12"/>
  <c r="BT158" i="12"/>
  <c r="BT159" i="12" s="1"/>
  <c r="BT135" i="12"/>
  <c r="BS183" i="12"/>
  <c r="BS140" i="12"/>
  <c r="BS139" i="12"/>
  <c r="BS143" i="12"/>
  <c r="BS195" i="12" s="1"/>
  <c r="BB171" i="12"/>
  <c r="BB172" i="12" s="1"/>
  <c r="BB187" i="12" s="1"/>
  <c r="BA188" i="12"/>
  <c r="BA189" i="12"/>
  <c r="AJ188" i="12"/>
  <c r="AJ191" i="12" s="1"/>
  <c r="AJ192" i="12" s="1"/>
  <c r="AJ193" i="12" s="1"/>
  <c r="AJ197" i="12" s="1"/>
  <c r="AJ198" i="12" s="1"/>
  <c r="BX146" i="12"/>
  <c r="BX147" i="12"/>
  <c r="BX145" i="12"/>
  <c r="BX148" i="12"/>
  <c r="BW130" i="12" l="1"/>
  <c r="BW131" i="12" s="1"/>
  <c r="BW132" i="12"/>
  <c r="BW194" i="12"/>
  <c r="BW184" i="12"/>
  <c r="BW157" i="12"/>
  <c r="BW174" i="12"/>
  <c r="BW173" i="12"/>
  <c r="BX120" i="12"/>
  <c r="BX144" i="12"/>
  <c r="BX119" i="12"/>
  <c r="BX127" i="12"/>
  <c r="BY114" i="12"/>
  <c r="BX124" i="12"/>
  <c r="BX126" i="12"/>
  <c r="BX128" i="12"/>
  <c r="BX121" i="12"/>
  <c r="BX156" i="12"/>
  <c r="BX122" i="12"/>
  <c r="BX118" i="12"/>
  <c r="BX123" i="12"/>
  <c r="BX149" i="12"/>
  <c r="BW109" i="12"/>
  <c r="BX106" i="12"/>
  <c r="BV108" i="12"/>
  <c r="BW105" i="12"/>
  <c r="BU135" i="12"/>
  <c r="BU158" i="12"/>
  <c r="BU159" i="12" s="1"/>
  <c r="BU136" i="12"/>
  <c r="BT139" i="12"/>
  <c r="BT143" i="12"/>
  <c r="BT195" i="12" s="1"/>
  <c r="BT181" i="12"/>
  <c r="BT162" i="12"/>
  <c r="BT161" i="12"/>
  <c r="BS185" i="12"/>
  <c r="BS191" i="12" s="1"/>
  <c r="BS192" i="12" s="1"/>
  <c r="BS193" i="12" s="1"/>
  <c r="BS197" i="12" s="1"/>
  <c r="BS198" i="12" s="1"/>
  <c r="BT183" i="12"/>
  <c r="BT140" i="12"/>
  <c r="BC171" i="12"/>
  <c r="BC172" i="12" s="1"/>
  <c r="BC187" i="12" s="1"/>
  <c r="AJ190" i="12"/>
  <c r="BB188" i="12"/>
  <c r="BB189" i="12"/>
  <c r="BY146" i="12"/>
  <c r="BY145" i="12"/>
  <c r="BY148" i="12"/>
  <c r="BY147" i="12"/>
  <c r="BX194" i="12" l="1"/>
  <c r="BX184" i="12"/>
  <c r="BX132" i="12"/>
  <c r="BY124" i="12"/>
  <c r="BY144" i="12"/>
  <c r="BY122" i="12"/>
  <c r="BY120" i="12"/>
  <c r="BY121" i="12"/>
  <c r="BY156" i="12"/>
  <c r="BY118" i="12"/>
  <c r="BY128" i="12"/>
  <c r="BZ114" i="12"/>
  <c r="BY127" i="12"/>
  <c r="BY123" i="12"/>
  <c r="BY126" i="12"/>
  <c r="BY119" i="12"/>
  <c r="BY149" i="12"/>
  <c r="BX130" i="12"/>
  <c r="BX131" i="12" s="1"/>
  <c r="BX173" i="12"/>
  <c r="BX157" i="12"/>
  <c r="BX174" i="12"/>
  <c r="BX109" i="12"/>
  <c r="BY106" i="12"/>
  <c r="BT185" i="12"/>
  <c r="BT191" i="12" s="1"/>
  <c r="BT192" i="12" s="1"/>
  <c r="BT193" i="12" s="1"/>
  <c r="BT197" i="12" s="1"/>
  <c r="BT198" i="12" s="1"/>
  <c r="BU140" i="12"/>
  <c r="BU183" i="12"/>
  <c r="BU181" i="12"/>
  <c r="BU162" i="12"/>
  <c r="BU161" i="12"/>
  <c r="BU139" i="12"/>
  <c r="BU143" i="12"/>
  <c r="BU195" i="12" s="1"/>
  <c r="BX105" i="12"/>
  <c r="BW108" i="12"/>
  <c r="BV135" i="12"/>
  <c r="BV136" i="12"/>
  <c r="BV158" i="12"/>
  <c r="BV159" i="12" s="1"/>
  <c r="BD171" i="12"/>
  <c r="BD172" i="12" s="1"/>
  <c r="BD187" i="12" s="1"/>
  <c r="AK188" i="12"/>
  <c r="AK191" i="12" s="1"/>
  <c r="AK192" i="12" s="1"/>
  <c r="AK193" i="12" s="1"/>
  <c r="AK197" i="12" s="1"/>
  <c r="AK198" i="12" s="1"/>
  <c r="BC188" i="12"/>
  <c r="BC189" i="12"/>
  <c r="BZ147" i="12"/>
  <c r="BZ145" i="12"/>
  <c r="BZ146" i="12"/>
  <c r="BZ148" i="12"/>
  <c r="BY132" i="12" l="1"/>
  <c r="BZ124" i="12"/>
  <c r="BZ122" i="12"/>
  <c r="BZ128" i="12"/>
  <c r="BZ118" i="12"/>
  <c r="BZ123" i="12"/>
  <c r="BZ119" i="12"/>
  <c r="BZ156" i="12"/>
  <c r="BZ120" i="12"/>
  <c r="BZ144" i="12"/>
  <c r="BZ127" i="12"/>
  <c r="BZ126" i="12"/>
  <c r="BZ121" i="12"/>
  <c r="CA114" i="12"/>
  <c r="BZ149" i="12"/>
  <c r="BY130" i="12"/>
  <c r="BY131" i="12" s="1"/>
  <c r="BY184" i="12"/>
  <c r="BY194" i="12"/>
  <c r="BY157" i="12"/>
  <c r="BY173" i="12"/>
  <c r="BY174" i="12"/>
  <c r="BY109" i="12"/>
  <c r="BZ106" i="12"/>
  <c r="BU185" i="12"/>
  <c r="BU191" i="12" s="1"/>
  <c r="BU192" i="12" s="1"/>
  <c r="BU193" i="12" s="1"/>
  <c r="BU197" i="12" s="1"/>
  <c r="BU198" i="12" s="1"/>
  <c r="BV139" i="12"/>
  <c r="BV143" i="12"/>
  <c r="BV195" i="12" s="1"/>
  <c r="BV181" i="12"/>
  <c r="BV162" i="12"/>
  <c r="BV161" i="12"/>
  <c r="BW158" i="12"/>
  <c r="BW159" i="12" s="1"/>
  <c r="BW136" i="12"/>
  <c r="BW135" i="12"/>
  <c r="BV183" i="12"/>
  <c r="BV140" i="12"/>
  <c r="BX108" i="12"/>
  <c r="BY105" i="12"/>
  <c r="BE171" i="12"/>
  <c r="BE172" i="12" s="1"/>
  <c r="BE187" i="12" s="1"/>
  <c r="BD189" i="12"/>
  <c r="BD188" i="12"/>
  <c r="AK190" i="12"/>
  <c r="CA146" i="12"/>
  <c r="CA148" i="12"/>
  <c r="CA147" i="12"/>
  <c r="CA145" i="12"/>
  <c r="BZ132" i="12" l="1"/>
  <c r="BZ184" i="12"/>
  <c r="BZ194" i="12"/>
  <c r="CA124" i="12"/>
  <c r="CA144" i="12"/>
  <c r="CA119" i="12"/>
  <c r="CA127" i="12"/>
  <c r="CB114" i="12"/>
  <c r="CA126" i="12"/>
  <c r="CA128" i="12"/>
  <c r="CA121" i="12"/>
  <c r="CA122" i="12"/>
  <c r="CA120" i="12"/>
  <c r="CA156" i="12"/>
  <c r="CA118" i="12"/>
  <c r="CA123" i="12"/>
  <c r="CA149" i="12"/>
  <c r="BZ173" i="12"/>
  <c r="BZ157" i="12"/>
  <c r="BZ174" i="12"/>
  <c r="BZ130" i="12"/>
  <c r="BZ131" i="12" s="1"/>
  <c r="BV185" i="12"/>
  <c r="BV191" i="12" s="1"/>
  <c r="BV192" i="12" s="1"/>
  <c r="BV193" i="12" s="1"/>
  <c r="BV197" i="12" s="1"/>
  <c r="BV198" i="12" s="1"/>
  <c r="BZ109" i="12"/>
  <c r="CA106" i="12"/>
  <c r="BY108" i="12"/>
  <c r="BZ105" i="12"/>
  <c r="BW162" i="12"/>
  <c r="BW181" i="12"/>
  <c r="BW161" i="12"/>
  <c r="BX158" i="12"/>
  <c r="BX159" i="12" s="1"/>
  <c r="BX135" i="12"/>
  <c r="BX136" i="12"/>
  <c r="BW140" i="12"/>
  <c r="BW183" i="12"/>
  <c r="BW143" i="12"/>
  <c r="BW195" i="12" s="1"/>
  <c r="BW139" i="12"/>
  <c r="AL188" i="12"/>
  <c r="AL191" i="12" s="1"/>
  <c r="BE189" i="12"/>
  <c r="BE188" i="12"/>
  <c r="BF171" i="12"/>
  <c r="CB148" i="12"/>
  <c r="CB146" i="12"/>
  <c r="CB147" i="12"/>
  <c r="CB145" i="12"/>
  <c r="CA132" i="12" l="1"/>
  <c r="CA184" i="12"/>
  <c r="CA194" i="12"/>
  <c r="CB124" i="12"/>
  <c r="CB120" i="12"/>
  <c r="CB118" i="12"/>
  <c r="CB156" i="12"/>
  <c r="CB123" i="12"/>
  <c r="CB144" i="12"/>
  <c r="CB119" i="12"/>
  <c r="CB127" i="12"/>
  <c r="CC114" i="12"/>
  <c r="CB126" i="12"/>
  <c r="CB128" i="12"/>
  <c r="CB121" i="12"/>
  <c r="CB122" i="12"/>
  <c r="CB149" i="12"/>
  <c r="CA157" i="12"/>
  <c r="CA174" i="12"/>
  <c r="CA173" i="12"/>
  <c r="CA130" i="12"/>
  <c r="CA131" i="12" s="1"/>
  <c r="CB106" i="12"/>
  <c r="CA109" i="12"/>
  <c r="BW185" i="12"/>
  <c r="BW191" i="12" s="1"/>
  <c r="BW192" i="12" s="1"/>
  <c r="BW193" i="12" s="1"/>
  <c r="BW197" i="12" s="1"/>
  <c r="BW198" i="12" s="1"/>
  <c r="BZ108" i="12"/>
  <c r="CA105" i="12"/>
  <c r="BX140" i="12"/>
  <c r="BX183" i="12"/>
  <c r="BY158" i="12"/>
  <c r="BY159" i="12" s="1"/>
  <c r="BY136" i="12"/>
  <c r="BY135" i="12"/>
  <c r="BX181" i="12"/>
  <c r="BX161" i="12"/>
  <c r="BX162" i="12"/>
  <c r="BX143" i="12"/>
  <c r="BX195" i="12" s="1"/>
  <c r="BX139" i="12"/>
  <c r="BF172" i="12"/>
  <c r="BF187" i="12" s="1"/>
  <c r="AL190" i="12"/>
  <c r="AM188" i="12" s="1"/>
  <c r="AL192" i="12"/>
  <c r="CC147" i="12"/>
  <c r="CC146" i="12"/>
  <c r="CC148" i="12"/>
  <c r="CC145" i="12"/>
  <c r="CB194" i="12" l="1"/>
  <c r="CB184" i="12"/>
  <c r="CB173" i="12"/>
  <c r="CB157" i="12"/>
  <c r="CB174" i="12"/>
  <c r="CB130" i="12"/>
  <c r="CB131" i="12" s="1"/>
  <c r="CB132" i="12"/>
  <c r="CC124" i="12"/>
  <c r="CC126" i="12"/>
  <c r="CC123" i="12"/>
  <c r="CC119" i="12"/>
  <c r="CC120" i="12"/>
  <c r="CC156" i="12"/>
  <c r="CC121" i="12"/>
  <c r="CC118" i="12"/>
  <c r="CC127" i="12"/>
  <c r="CD114" i="12"/>
  <c r="CC128" i="12"/>
  <c r="CC144" i="12"/>
  <c r="CC122" i="12"/>
  <c r="CC149" i="12"/>
  <c r="CB109" i="12"/>
  <c r="CC106" i="12"/>
  <c r="BY140" i="12"/>
  <c r="BY183" i="12"/>
  <c r="BY162" i="12"/>
  <c r="BY181" i="12"/>
  <c r="BY161" i="12"/>
  <c r="CB105" i="12"/>
  <c r="CA108" i="12"/>
  <c r="BX185" i="12"/>
  <c r="BX191" i="12" s="1"/>
  <c r="BX192" i="12" s="1"/>
  <c r="BX193" i="12" s="1"/>
  <c r="BX197" i="12" s="1"/>
  <c r="BX198" i="12" s="1"/>
  <c r="BZ158" i="12"/>
  <c r="BZ159" i="12" s="1"/>
  <c r="BZ136" i="12"/>
  <c r="BZ135" i="12"/>
  <c r="BY143" i="12"/>
  <c r="BY195" i="12" s="1"/>
  <c r="BY139" i="12"/>
  <c r="BG171" i="12"/>
  <c r="BG172" i="12" s="1"/>
  <c r="BG187" i="12" s="1"/>
  <c r="AL193" i="12"/>
  <c r="BF189" i="12"/>
  <c r="BF188" i="12"/>
  <c r="CD148" i="12"/>
  <c r="CD146" i="12"/>
  <c r="CD147" i="12"/>
  <c r="CD145" i="12"/>
  <c r="CC157" i="12" l="1"/>
  <c r="CC174" i="12"/>
  <c r="CC173" i="12"/>
  <c r="CC130" i="12"/>
  <c r="CC131" i="12" s="1"/>
  <c r="CC194" i="12"/>
  <c r="CC184" i="12"/>
  <c r="CD124" i="12"/>
  <c r="CD156" i="12"/>
  <c r="CD119" i="12"/>
  <c r="CD144" i="12"/>
  <c r="CD120" i="12"/>
  <c r="CD127" i="12"/>
  <c r="CD121" i="12"/>
  <c r="CD126" i="12"/>
  <c r="CE114" i="12"/>
  <c r="CD128" i="12"/>
  <c r="CD122" i="12"/>
  <c r="CD118" i="12"/>
  <c r="CD123" i="12"/>
  <c r="CD149" i="12"/>
  <c r="CC132" i="12"/>
  <c r="CD106" i="12"/>
  <c r="CC109" i="12"/>
  <c r="BY185" i="12"/>
  <c r="BY191" i="12" s="1"/>
  <c r="BY192" i="12" s="1"/>
  <c r="BY193" i="12" s="1"/>
  <c r="BY197" i="12" s="1"/>
  <c r="BY198" i="12" s="1"/>
  <c r="CC105" i="12"/>
  <c r="CB108" i="12"/>
  <c r="CA136" i="12"/>
  <c r="CA135" i="12"/>
  <c r="CA158" i="12"/>
  <c r="CA159" i="12" s="1"/>
  <c r="BZ139" i="12"/>
  <c r="BZ143" i="12"/>
  <c r="BZ195" i="12" s="1"/>
  <c r="BZ183" i="12"/>
  <c r="BZ140" i="12"/>
  <c r="BZ181" i="12"/>
  <c r="BZ162" i="12"/>
  <c r="BZ161" i="12"/>
  <c r="BH171" i="12"/>
  <c r="BH172" i="12" s="1"/>
  <c r="BH187" i="12" s="1"/>
  <c r="BG189" i="12"/>
  <c r="BG188" i="12"/>
  <c r="AL197" i="12"/>
  <c r="CE147" i="12"/>
  <c r="CE145" i="12"/>
  <c r="CE148" i="12"/>
  <c r="CE146" i="12"/>
  <c r="CD173" i="12" l="1"/>
  <c r="CD157" i="12"/>
  <c r="CD174" i="12"/>
  <c r="CD132" i="12"/>
  <c r="CD184" i="12"/>
  <c r="CD194" i="12"/>
  <c r="CD130" i="12"/>
  <c r="CD131" i="12" s="1"/>
  <c r="CE124" i="12"/>
  <c r="CE128" i="12"/>
  <c r="CE121" i="12"/>
  <c r="CE122" i="12"/>
  <c r="CE118" i="12"/>
  <c r="CE156" i="12"/>
  <c r="CE123" i="12"/>
  <c r="CE119" i="12"/>
  <c r="CE144" i="12"/>
  <c r="CE120" i="12"/>
  <c r="CF114" i="12"/>
  <c r="CE127" i="12"/>
  <c r="CE126" i="12"/>
  <c r="CE149" i="12"/>
  <c r="BZ185" i="12"/>
  <c r="BZ191" i="12" s="1"/>
  <c r="BZ192" i="12" s="1"/>
  <c r="BZ193" i="12" s="1"/>
  <c r="BZ197" i="12" s="1"/>
  <c r="BZ198" i="12" s="1"/>
  <c r="CE106" i="12"/>
  <c r="CD109" i="12"/>
  <c r="CA161" i="12"/>
  <c r="CA181" i="12"/>
  <c r="CA162" i="12"/>
  <c r="CA140" i="12"/>
  <c r="CA183" i="12"/>
  <c r="CA143" i="12"/>
  <c r="CA195" i="12" s="1"/>
  <c r="CA139" i="12"/>
  <c r="CB135" i="12"/>
  <c r="CB136" i="12"/>
  <c r="CB158" i="12"/>
  <c r="CB159" i="12" s="1"/>
  <c r="CC108" i="12"/>
  <c r="CD105" i="12"/>
  <c r="BH189" i="12"/>
  <c r="BH188" i="12"/>
  <c r="AL198" i="12"/>
  <c r="BI171" i="12"/>
  <c r="CF147" i="12"/>
  <c r="CF148" i="12"/>
  <c r="CF146" i="12"/>
  <c r="CF145" i="12"/>
  <c r="CE132" i="12" l="1"/>
  <c r="CE194" i="12"/>
  <c r="CE184" i="12"/>
  <c r="CE157" i="12"/>
  <c r="CE173" i="12"/>
  <c r="CE174" i="12"/>
  <c r="CE130" i="12"/>
  <c r="CE131" i="12" s="1"/>
  <c r="CF124" i="12"/>
  <c r="CF156" i="12"/>
  <c r="CF118" i="12"/>
  <c r="CF144" i="12"/>
  <c r="CF123" i="12"/>
  <c r="CF127" i="12"/>
  <c r="CF119" i="12"/>
  <c r="CF126" i="12"/>
  <c r="CG114" i="12"/>
  <c r="CF128" i="12"/>
  <c r="CF122" i="12"/>
  <c r="CF120" i="12"/>
  <c r="CF121" i="12"/>
  <c r="CF149" i="12"/>
  <c r="CF106" i="12"/>
  <c r="CE109" i="12"/>
  <c r="CA185" i="12"/>
  <c r="CA191" i="12" s="1"/>
  <c r="CA192" i="12" s="1"/>
  <c r="CA193" i="12" s="1"/>
  <c r="CA197" i="12" s="1"/>
  <c r="CA198" i="12" s="1"/>
  <c r="CE105" i="12"/>
  <c r="CD108" i="12"/>
  <c r="CC158" i="12"/>
  <c r="CC159" i="12" s="1"/>
  <c r="CC135" i="12"/>
  <c r="CC136" i="12"/>
  <c r="CB161" i="12"/>
  <c r="CB162" i="12"/>
  <c r="CB181" i="12"/>
  <c r="CB140" i="12"/>
  <c r="CB183" i="12"/>
  <c r="CB139" i="12"/>
  <c r="CB143" i="12"/>
  <c r="CB195" i="12" s="1"/>
  <c r="BI172" i="12"/>
  <c r="BI187" i="12" s="1"/>
  <c r="CG145" i="12"/>
  <c r="CG148" i="12"/>
  <c r="CG147" i="12"/>
  <c r="CG146" i="12"/>
  <c r="CF132" i="12" l="1"/>
  <c r="CF157" i="12"/>
  <c r="CF173" i="12"/>
  <c r="CF174" i="12"/>
  <c r="CG124" i="12"/>
  <c r="CG126" i="12"/>
  <c r="CG123" i="12"/>
  <c r="CG119" i="12"/>
  <c r="CG120" i="12"/>
  <c r="CG156" i="12"/>
  <c r="CG121" i="12"/>
  <c r="CG127" i="12"/>
  <c r="CG144" i="12"/>
  <c r="CG122" i="12"/>
  <c r="CG118" i="12"/>
  <c r="CH114" i="12"/>
  <c r="CG128" i="12"/>
  <c r="CG149" i="12"/>
  <c r="CF194" i="12"/>
  <c r="CF184" i="12"/>
  <c r="CF130" i="12"/>
  <c r="CF131" i="12" s="1"/>
  <c r="CF109" i="12"/>
  <c r="CG106" i="12"/>
  <c r="CB185" i="12"/>
  <c r="CB191" i="12" s="1"/>
  <c r="CB192" i="12" s="1"/>
  <c r="CB193" i="12" s="1"/>
  <c r="CB197" i="12" s="1"/>
  <c r="CB198" i="12" s="1"/>
  <c r="CC140" i="12"/>
  <c r="CC183" i="12"/>
  <c r="CC139" i="12"/>
  <c r="CC143" i="12"/>
  <c r="CC195" i="12" s="1"/>
  <c r="CC181" i="12"/>
  <c r="CC162" i="12"/>
  <c r="CC161" i="12"/>
  <c r="CE108" i="12"/>
  <c r="CF105" i="12"/>
  <c r="CD158" i="12"/>
  <c r="CD159" i="12" s="1"/>
  <c r="CD136" i="12"/>
  <c r="CD135" i="12"/>
  <c r="BJ171" i="12"/>
  <c r="BJ172" i="12" s="1"/>
  <c r="BJ187" i="12" s="1"/>
  <c r="BI188" i="12"/>
  <c r="BI189" i="12"/>
  <c r="CH148" i="12"/>
  <c r="CH147" i="12"/>
  <c r="CH145" i="12"/>
  <c r="CH146" i="12"/>
  <c r="CG132" i="12" l="1"/>
  <c r="CH124" i="12"/>
  <c r="CH156" i="12"/>
  <c r="CH119" i="12"/>
  <c r="CH144" i="12"/>
  <c r="CH120" i="12"/>
  <c r="CH127" i="12"/>
  <c r="CH121" i="12"/>
  <c r="CH126" i="12"/>
  <c r="CI114" i="12"/>
  <c r="CH128" i="12"/>
  <c r="CH123" i="12"/>
  <c r="CH122" i="12"/>
  <c r="CH118" i="12"/>
  <c r="CH149" i="12"/>
  <c r="CG130" i="12"/>
  <c r="CG131" i="12" s="1"/>
  <c r="CG174" i="12"/>
  <c r="CG173" i="12"/>
  <c r="CG157" i="12"/>
  <c r="CG184" i="12"/>
  <c r="CG194" i="12"/>
  <c r="CG109" i="12"/>
  <c r="CH106" i="12"/>
  <c r="CC185" i="12"/>
  <c r="CC191" i="12" s="1"/>
  <c r="CC192" i="12" s="1"/>
  <c r="CC193" i="12" s="1"/>
  <c r="CC197" i="12" s="1"/>
  <c r="CC198" i="12" s="1"/>
  <c r="CD139" i="12"/>
  <c r="CD143" i="12"/>
  <c r="CD195" i="12" s="1"/>
  <c r="CD162" i="12"/>
  <c r="CD181" i="12"/>
  <c r="CD161" i="12"/>
  <c r="CG105" i="12"/>
  <c r="CF108" i="12"/>
  <c r="CE158" i="12"/>
  <c r="CE159" i="12" s="1"/>
  <c r="CE135" i="12"/>
  <c r="CE136" i="12"/>
  <c r="CD183" i="12"/>
  <c r="CD140" i="12"/>
  <c r="BK171" i="12"/>
  <c r="BK172" i="12" s="1"/>
  <c r="BK187" i="12" s="1"/>
  <c r="BJ188" i="12"/>
  <c r="BJ189" i="12"/>
  <c r="CI147" i="12"/>
  <c r="CI145" i="12"/>
  <c r="CI148" i="12"/>
  <c r="CI146" i="12"/>
  <c r="CH132" i="12" l="1"/>
  <c r="CH184" i="12"/>
  <c r="CH194" i="12"/>
  <c r="CH130" i="12"/>
  <c r="CH131" i="12" s="1"/>
  <c r="CH157" i="12"/>
  <c r="CH173" i="12"/>
  <c r="CH174" i="12"/>
  <c r="CI124" i="12"/>
  <c r="CI128" i="12"/>
  <c r="CI121" i="12"/>
  <c r="CI122" i="12"/>
  <c r="CI118" i="12"/>
  <c r="CI156" i="12"/>
  <c r="CI123" i="12"/>
  <c r="CI127" i="12"/>
  <c r="CI126" i="12"/>
  <c r="CI119" i="12"/>
  <c r="CI120" i="12"/>
  <c r="CJ114" i="12"/>
  <c r="CI144" i="12"/>
  <c r="CI149" i="12"/>
  <c r="CH109" i="12"/>
  <c r="CI106" i="12"/>
  <c r="CF135" i="12"/>
  <c r="CF158" i="12"/>
  <c r="CF159" i="12" s="1"/>
  <c r="CF136" i="12"/>
  <c r="CG108" i="12"/>
  <c r="CH105" i="12"/>
  <c r="CD185" i="12"/>
  <c r="CE161" i="12"/>
  <c r="CE162" i="12"/>
  <c r="CE181" i="12"/>
  <c r="CE183" i="12"/>
  <c r="CE140" i="12"/>
  <c r="CE143" i="12"/>
  <c r="CE195" i="12" s="1"/>
  <c r="CE139" i="12"/>
  <c r="BL171" i="12"/>
  <c r="BL172" i="12" s="1"/>
  <c r="BL187" i="12" s="1"/>
  <c r="BK189" i="12"/>
  <c r="BK188" i="12"/>
  <c r="CJ145" i="12"/>
  <c r="CJ147" i="12"/>
  <c r="CJ148" i="12"/>
  <c r="CJ146" i="12"/>
  <c r="CI132" i="12" l="1"/>
  <c r="CI194" i="12"/>
  <c r="CI184" i="12"/>
  <c r="CI173" i="12"/>
  <c r="CI157" i="12"/>
  <c r="CI174" i="12"/>
  <c r="CI130" i="12"/>
  <c r="CI131" i="12" s="1"/>
  <c r="CJ124" i="12"/>
  <c r="CJ156" i="12"/>
  <c r="CJ118" i="12"/>
  <c r="CJ144" i="12"/>
  <c r="CJ123" i="12"/>
  <c r="CJ127" i="12"/>
  <c r="CJ119" i="12"/>
  <c r="CJ126" i="12"/>
  <c r="CK114" i="12"/>
  <c r="CJ128" i="12"/>
  <c r="CJ120" i="12"/>
  <c r="CJ121" i="12"/>
  <c r="CJ122" i="12"/>
  <c r="CJ149" i="12"/>
  <c r="CJ106" i="12"/>
  <c r="CI109" i="12"/>
  <c r="CG135" i="12"/>
  <c r="CG136" i="12"/>
  <c r="CG158" i="12"/>
  <c r="CG159" i="12" s="1"/>
  <c r="CE185" i="12"/>
  <c r="CF162" i="12"/>
  <c r="CF161" i="12"/>
  <c r="CF181" i="12"/>
  <c r="CH108" i="12"/>
  <c r="CI105" i="12"/>
  <c r="CF140" i="12"/>
  <c r="CF183" i="12"/>
  <c r="CF139" i="12"/>
  <c r="CF143" i="12"/>
  <c r="CF195" i="12" s="1"/>
  <c r="CD191" i="12"/>
  <c r="CD192" i="12" s="1"/>
  <c r="CD193" i="12" s="1"/>
  <c r="CD197" i="12" s="1"/>
  <c r="CD198" i="12" s="1"/>
  <c r="BM171" i="12"/>
  <c r="BM172" i="12" s="1"/>
  <c r="BM187" i="12" s="1"/>
  <c r="BL189" i="12"/>
  <c r="BL188" i="12"/>
  <c r="CK147" i="12"/>
  <c r="CK148" i="12"/>
  <c r="CK145" i="12"/>
  <c r="CK146" i="12"/>
  <c r="CK124" i="12" l="1"/>
  <c r="CK126" i="12"/>
  <c r="CK123" i="12"/>
  <c r="CK119" i="12"/>
  <c r="CK120" i="12"/>
  <c r="CK156" i="12"/>
  <c r="CK121" i="12"/>
  <c r="CK144" i="12"/>
  <c r="CK128" i="12"/>
  <c r="CL114" i="12"/>
  <c r="CK127" i="12"/>
  <c r="CK122" i="12"/>
  <c r="CK118" i="12"/>
  <c r="CK149" i="12"/>
  <c r="CJ132" i="12"/>
  <c r="CJ157" i="12"/>
  <c r="CJ173" i="12"/>
  <c r="CJ174" i="12"/>
  <c r="CJ184" i="12"/>
  <c r="CJ194" i="12"/>
  <c r="CJ130" i="12"/>
  <c r="CJ131" i="12" s="1"/>
  <c r="CF185" i="12"/>
  <c r="CF191" i="12" s="1"/>
  <c r="CF192" i="12" s="1"/>
  <c r="CF193" i="12" s="1"/>
  <c r="CF197" i="12" s="1"/>
  <c r="CF198" i="12" s="1"/>
  <c r="CJ109" i="12"/>
  <c r="CK106" i="12"/>
  <c r="CE191" i="12"/>
  <c r="CE192" i="12" s="1"/>
  <c r="CE193" i="12" s="1"/>
  <c r="CE197" i="12" s="1"/>
  <c r="CE198" i="12" s="1"/>
  <c r="CG162" i="12"/>
  <c r="CG181" i="12"/>
  <c r="CG161" i="12"/>
  <c r="CG183" i="12"/>
  <c r="CG140" i="12"/>
  <c r="CJ105" i="12"/>
  <c r="CI108" i="12"/>
  <c r="CG143" i="12"/>
  <c r="CG195" i="12" s="1"/>
  <c r="CG139" i="12"/>
  <c r="CH158" i="12"/>
  <c r="CH159" i="12" s="1"/>
  <c r="CH136" i="12"/>
  <c r="CH135" i="12"/>
  <c r="BN171" i="12"/>
  <c r="BN172" i="12" s="1"/>
  <c r="BM189" i="12"/>
  <c r="BM188" i="12"/>
  <c r="CL148" i="12"/>
  <c r="CL147" i="12"/>
  <c r="CL146" i="12"/>
  <c r="CL145" i="12"/>
  <c r="CK174" i="12" l="1"/>
  <c r="CK173" i="12"/>
  <c r="CK157" i="12"/>
  <c r="CK130" i="12"/>
  <c r="CK131" i="12" s="1"/>
  <c r="CK194" i="12"/>
  <c r="CK184" i="12"/>
  <c r="CL124" i="12"/>
  <c r="CL156" i="12"/>
  <c r="CL119" i="12"/>
  <c r="CL144" i="12"/>
  <c r="CL120" i="12"/>
  <c r="CL127" i="12"/>
  <c r="CL121" i="12"/>
  <c r="CL126" i="12"/>
  <c r="CM114" i="12"/>
  <c r="CL128" i="12"/>
  <c r="CL123" i="12"/>
  <c r="CL122" i="12"/>
  <c r="CL118" i="12"/>
  <c r="CL149" i="12"/>
  <c r="CK132" i="12"/>
  <c r="CK109" i="12"/>
  <c r="CL106" i="12"/>
  <c r="CG185" i="12"/>
  <c r="CG191" i="12" s="1"/>
  <c r="CG192" i="12" s="1"/>
  <c r="CG193" i="12" s="1"/>
  <c r="CG197" i="12" s="1"/>
  <c r="CG198" i="12" s="1"/>
  <c r="CH161" i="12"/>
  <c r="CH162" i="12"/>
  <c r="CH181" i="12"/>
  <c r="CI158" i="12"/>
  <c r="CI159" i="12" s="1"/>
  <c r="CI136" i="12"/>
  <c r="CI135" i="12"/>
  <c r="CH183" i="12"/>
  <c r="CH140" i="12"/>
  <c r="CJ108" i="12"/>
  <c r="CK105" i="12"/>
  <c r="CH139" i="12"/>
  <c r="CH143" i="12"/>
  <c r="CH195" i="12" s="1"/>
  <c r="BN187" i="12"/>
  <c r="BN189" i="12" s="1"/>
  <c r="BO171" i="12"/>
  <c r="BO172" i="12" s="1"/>
  <c r="BO187" i="12" s="1"/>
  <c r="CM148" i="12"/>
  <c r="CM147" i="12"/>
  <c r="CM145" i="12"/>
  <c r="CM146" i="12"/>
  <c r="CL132" i="12" l="1"/>
  <c r="CL173" i="12"/>
  <c r="CL157" i="12"/>
  <c r="CL174" i="12"/>
  <c r="CM124" i="12"/>
  <c r="CM128" i="12"/>
  <c r="CM121" i="12"/>
  <c r="CM122" i="12"/>
  <c r="CM118" i="12"/>
  <c r="CM156" i="12"/>
  <c r="CM123" i="12"/>
  <c r="CN114" i="12"/>
  <c r="CM144" i="12"/>
  <c r="CM127" i="12"/>
  <c r="CM120" i="12"/>
  <c r="CM126" i="12"/>
  <c r="CM119" i="12"/>
  <c r="CM149" i="12"/>
  <c r="CL130" i="12"/>
  <c r="CL131" i="12" s="1"/>
  <c r="CL184" i="12"/>
  <c r="CL194" i="12"/>
  <c r="CM106" i="12"/>
  <c r="CL109" i="12"/>
  <c r="CK108" i="12"/>
  <c r="CL105" i="12"/>
  <c r="CI161" i="12"/>
  <c r="CI181" i="12"/>
  <c r="CI162" i="12"/>
  <c r="CI140" i="12"/>
  <c r="CI183" i="12"/>
  <c r="CH185" i="12"/>
  <c r="CJ158" i="12"/>
  <c r="CJ159" i="12" s="1"/>
  <c r="CJ136" i="12"/>
  <c r="CJ135" i="12"/>
  <c r="CI139" i="12"/>
  <c r="CI143" i="12"/>
  <c r="CI195" i="12" s="1"/>
  <c r="BN188" i="12"/>
  <c r="BP171" i="12"/>
  <c r="BP172" i="12" s="1"/>
  <c r="BO189" i="12"/>
  <c r="BO188" i="12"/>
  <c r="CN146" i="12"/>
  <c r="CN148" i="12"/>
  <c r="CN147" i="12"/>
  <c r="CN145" i="12"/>
  <c r="CM132" i="12" l="1"/>
  <c r="CM130" i="12"/>
  <c r="CM131" i="12" s="1"/>
  <c r="CN124" i="12"/>
  <c r="CN156" i="12"/>
  <c r="CN118" i="12"/>
  <c r="CN144" i="12"/>
  <c r="CN123" i="12"/>
  <c r="CN127" i="12"/>
  <c r="CN119" i="12"/>
  <c r="CN126" i="12"/>
  <c r="CO114" i="12"/>
  <c r="CN128" i="12"/>
  <c r="CN121" i="12"/>
  <c r="CN122" i="12"/>
  <c r="CN120" i="12"/>
  <c r="CN149" i="12"/>
  <c r="CM194" i="12"/>
  <c r="CM184" i="12"/>
  <c r="CM173" i="12"/>
  <c r="CM174" i="12"/>
  <c r="CM157" i="12"/>
  <c r="CM109" i="12"/>
  <c r="CN106" i="12"/>
  <c r="CJ143" i="12"/>
  <c r="CJ195" i="12" s="1"/>
  <c r="CJ139" i="12"/>
  <c r="CI185" i="12"/>
  <c r="CI191" i="12" s="1"/>
  <c r="CI192" i="12" s="1"/>
  <c r="CI193" i="12" s="1"/>
  <c r="CI197" i="12" s="1"/>
  <c r="CI198" i="12" s="1"/>
  <c r="CH191" i="12"/>
  <c r="CH192" i="12" s="1"/>
  <c r="CH193" i="12" s="1"/>
  <c r="CH197" i="12" s="1"/>
  <c r="CH198" i="12" s="1"/>
  <c r="CJ140" i="12"/>
  <c r="CJ183" i="12"/>
  <c r="CL108" i="12"/>
  <c r="CM105" i="12"/>
  <c r="CJ181" i="12"/>
  <c r="CJ162" i="12"/>
  <c r="CJ161" i="12"/>
  <c r="CK136" i="12"/>
  <c r="CK135" i="12"/>
  <c r="CK158" i="12"/>
  <c r="CK159" i="12" s="1"/>
  <c r="BP187" i="12"/>
  <c r="BP189" i="12" s="1"/>
  <c r="BQ171" i="12"/>
  <c r="BQ172" i="12" s="1"/>
  <c r="BQ187" i="12" s="1"/>
  <c r="CO148" i="12"/>
  <c r="CO145" i="12"/>
  <c r="CO146" i="12"/>
  <c r="CO147" i="12"/>
  <c r="CN132" i="12" l="1"/>
  <c r="CN194" i="12"/>
  <c r="CN184" i="12"/>
  <c r="CN130" i="12"/>
  <c r="CN131" i="12" s="1"/>
  <c r="CN174" i="12"/>
  <c r="CN173" i="12"/>
  <c r="CN157" i="12"/>
  <c r="CO124" i="12"/>
  <c r="CO126" i="12"/>
  <c r="CO123" i="12"/>
  <c r="CO119" i="12"/>
  <c r="CO120" i="12"/>
  <c r="CO156" i="12"/>
  <c r="CO121" i="12"/>
  <c r="CO144" i="12"/>
  <c r="CO118" i="12"/>
  <c r="CO128" i="12"/>
  <c r="CO127" i="12"/>
  <c r="CO122" i="12"/>
  <c r="CP114" i="12"/>
  <c r="CO149" i="12"/>
  <c r="CN109" i="12"/>
  <c r="CO106" i="12"/>
  <c r="CL135" i="12"/>
  <c r="CL136" i="12"/>
  <c r="CL158" i="12"/>
  <c r="CL159" i="12" s="1"/>
  <c r="CJ185" i="12"/>
  <c r="CK143" i="12"/>
  <c r="CK195" i="12" s="1"/>
  <c r="CK139" i="12"/>
  <c r="CK140" i="12"/>
  <c r="CK183" i="12"/>
  <c r="CK161" i="12"/>
  <c r="CK181" i="12"/>
  <c r="CK162" i="12"/>
  <c r="CM108" i="12"/>
  <c r="CN105" i="12"/>
  <c r="BR171" i="12"/>
  <c r="BR172" i="12" s="1"/>
  <c r="BR187" i="12" s="1"/>
  <c r="BP188" i="12"/>
  <c r="BQ188" i="12"/>
  <c r="BQ189" i="12"/>
  <c r="CP145" i="12"/>
  <c r="CP148" i="12"/>
  <c r="CP147" i="12"/>
  <c r="CP146" i="12"/>
  <c r="CO130" i="12" l="1"/>
  <c r="CO131" i="12" s="1"/>
  <c r="CO132" i="12"/>
  <c r="CO194" i="12"/>
  <c r="CO184" i="12"/>
  <c r="CO174" i="12"/>
  <c r="CO173" i="12"/>
  <c r="CO157" i="12"/>
  <c r="CP124" i="12"/>
  <c r="CP156" i="12"/>
  <c r="CP119" i="12"/>
  <c r="CP144" i="12"/>
  <c r="CP120" i="12"/>
  <c r="CP127" i="12"/>
  <c r="CP121" i="12"/>
  <c r="CP126" i="12"/>
  <c r="CQ114" i="12"/>
  <c r="CP128" i="12"/>
  <c r="CP122" i="12"/>
  <c r="CP118" i="12"/>
  <c r="CP123" i="12"/>
  <c r="CP149" i="12"/>
  <c r="CO109" i="12"/>
  <c r="CP106" i="12"/>
  <c r="CK185" i="12"/>
  <c r="CK191" i="12" s="1"/>
  <c r="CK192" i="12" s="1"/>
  <c r="CK193" i="12" s="1"/>
  <c r="CK197" i="12" s="1"/>
  <c r="CK198" i="12" s="1"/>
  <c r="CJ191" i="12"/>
  <c r="CJ192" i="12" s="1"/>
  <c r="CJ193" i="12" s="1"/>
  <c r="CJ197" i="12" s="1"/>
  <c r="CJ198" i="12" s="1"/>
  <c r="CN108" i="12"/>
  <c r="CO105" i="12"/>
  <c r="CL162" i="12"/>
  <c r="CL181" i="12"/>
  <c r="CL161" i="12"/>
  <c r="CM158" i="12"/>
  <c r="CM159" i="12" s="1"/>
  <c r="CM135" i="12"/>
  <c r="CM136" i="12"/>
  <c r="CL140" i="12"/>
  <c r="CL183" i="12"/>
  <c r="CL143" i="12"/>
  <c r="CL195" i="12" s="1"/>
  <c r="CL139" i="12"/>
  <c r="BR188" i="12"/>
  <c r="BR189" i="12"/>
  <c r="BS171" i="12"/>
  <c r="CQ145" i="12"/>
  <c r="CQ147" i="12"/>
  <c r="CQ148" i="12"/>
  <c r="CQ146" i="12"/>
  <c r="CP132" i="12" l="1"/>
  <c r="CP157" i="12"/>
  <c r="CP174" i="12"/>
  <c r="CP173" i="12"/>
  <c r="CP130" i="12"/>
  <c r="CP131" i="12" s="1"/>
  <c r="CQ124" i="12"/>
  <c r="CQ128" i="12"/>
  <c r="CQ121" i="12"/>
  <c r="CQ122" i="12"/>
  <c r="CQ118" i="12"/>
  <c r="CQ156" i="12"/>
  <c r="CQ123" i="12"/>
  <c r="CR114" i="12"/>
  <c r="CQ126" i="12"/>
  <c r="CQ144" i="12"/>
  <c r="CQ127" i="12"/>
  <c r="CQ119" i="12"/>
  <c r="CQ120" i="12"/>
  <c r="CQ149" i="12"/>
  <c r="CP184" i="12"/>
  <c r="CP194" i="12"/>
  <c r="CP109" i="12"/>
  <c r="CQ106" i="12"/>
  <c r="CL185" i="12"/>
  <c r="CL191" i="12" s="1"/>
  <c r="CL192" i="12" s="1"/>
  <c r="CL193" i="12" s="1"/>
  <c r="CL197" i="12" s="1"/>
  <c r="CL198" i="12" s="1"/>
  <c r="CM181" i="12"/>
  <c r="CM162" i="12"/>
  <c r="CM161" i="12"/>
  <c r="CP105" i="12"/>
  <c r="CO108" i="12"/>
  <c r="CN158" i="12"/>
  <c r="CN159" i="12" s="1"/>
  <c r="CN135" i="12"/>
  <c r="CN136" i="12"/>
  <c r="CM140" i="12"/>
  <c r="CM183" i="12"/>
  <c r="CM139" i="12"/>
  <c r="CM143" i="12"/>
  <c r="CM195" i="12" s="1"/>
  <c r="BS172" i="12"/>
  <c r="BS187" i="12" s="1"/>
  <c r="CR146" i="12"/>
  <c r="CR148" i="12"/>
  <c r="CR147" i="12"/>
  <c r="CR145" i="12"/>
  <c r="CR124" i="12" l="1"/>
  <c r="CR156" i="12"/>
  <c r="CR118" i="12"/>
  <c r="CR144" i="12"/>
  <c r="CR123" i="12"/>
  <c r="CR127" i="12"/>
  <c r="CR119" i="12"/>
  <c r="CR126" i="12"/>
  <c r="CS114" i="12"/>
  <c r="CR128" i="12"/>
  <c r="CR120" i="12"/>
  <c r="CR121" i="12"/>
  <c r="CR122" i="12"/>
  <c r="CR149" i="12"/>
  <c r="CQ132" i="12"/>
  <c r="CQ184" i="12"/>
  <c r="CQ194" i="12"/>
  <c r="CQ130" i="12"/>
  <c r="CQ131" i="12" s="1"/>
  <c r="CQ174" i="12"/>
  <c r="CQ173" i="12"/>
  <c r="CQ157" i="12"/>
  <c r="CR106" i="12"/>
  <c r="CQ109" i="12"/>
  <c r="CP108" i="12"/>
  <c r="CQ105" i="12"/>
  <c r="CN140" i="12"/>
  <c r="CN183" i="12"/>
  <c r="CO158" i="12"/>
  <c r="CO159" i="12" s="1"/>
  <c r="CO136" i="12"/>
  <c r="CO135" i="12"/>
  <c r="CN162" i="12"/>
  <c r="CN181" i="12"/>
  <c r="CN161" i="12"/>
  <c r="CN143" i="12"/>
  <c r="CN195" i="12" s="1"/>
  <c r="CN139" i="12"/>
  <c r="CM185" i="12"/>
  <c r="CM191" i="12" s="1"/>
  <c r="CM192" i="12" s="1"/>
  <c r="CM193" i="12" s="1"/>
  <c r="CM197" i="12" s="1"/>
  <c r="CM198" i="12" s="1"/>
  <c r="BS189" i="12"/>
  <c r="BS188" i="12"/>
  <c r="BT171" i="12"/>
  <c r="CS147" i="12"/>
  <c r="CS145" i="12"/>
  <c r="CS146" i="12"/>
  <c r="CS148" i="12"/>
  <c r="CR132" i="12" l="1"/>
  <c r="CR194" i="12"/>
  <c r="CR184" i="12"/>
  <c r="CR130" i="12"/>
  <c r="CR131" i="12" s="1"/>
  <c r="CR174" i="12"/>
  <c r="CR157" i="12"/>
  <c r="CR173" i="12"/>
  <c r="CS124" i="12"/>
  <c r="CS126" i="12"/>
  <c r="CS123" i="12"/>
  <c r="CS119" i="12"/>
  <c r="CS120" i="12"/>
  <c r="CS156" i="12"/>
  <c r="CS121" i="12"/>
  <c r="CS118" i="12"/>
  <c r="CT114" i="12"/>
  <c r="CS128" i="12"/>
  <c r="CS127" i="12"/>
  <c r="CS144" i="12"/>
  <c r="CS122" i="12"/>
  <c r="CS149" i="12"/>
  <c r="CR109" i="12"/>
  <c r="CS106" i="12"/>
  <c r="CO162" i="12"/>
  <c r="CO181" i="12"/>
  <c r="CO161" i="12"/>
  <c r="CN185" i="12"/>
  <c r="CN191" i="12" s="1"/>
  <c r="CN192" i="12" s="1"/>
  <c r="CN193" i="12" s="1"/>
  <c r="CN197" i="12" s="1"/>
  <c r="CN198" i="12" s="1"/>
  <c r="CO139" i="12"/>
  <c r="CO143" i="12"/>
  <c r="CO195" i="12" s="1"/>
  <c r="CR105" i="12"/>
  <c r="CQ108" i="12"/>
  <c r="CO140" i="12"/>
  <c r="CO183" i="12"/>
  <c r="CP158" i="12"/>
  <c r="CP159" i="12" s="1"/>
  <c r="CP136" i="12"/>
  <c r="CP135" i="12"/>
  <c r="BT172" i="12"/>
  <c r="BT187" i="12" s="1"/>
  <c r="CT148" i="12"/>
  <c r="CT146" i="12"/>
  <c r="CT145" i="12"/>
  <c r="CT147" i="12"/>
  <c r="CS132" i="12" l="1"/>
  <c r="CS130" i="12"/>
  <c r="CS131" i="12" s="1"/>
  <c r="CT124" i="12"/>
  <c r="CT156" i="12"/>
  <c r="CT119" i="12"/>
  <c r="CT144" i="12"/>
  <c r="CT120" i="12"/>
  <c r="CT127" i="12"/>
  <c r="CT121" i="12"/>
  <c r="CT126" i="12"/>
  <c r="CU114" i="12"/>
  <c r="CT128" i="12"/>
  <c r="CT122" i="12"/>
  <c r="CT118" i="12"/>
  <c r="CT123" i="12"/>
  <c r="CT149" i="12"/>
  <c r="CS173" i="12"/>
  <c r="CS157" i="12"/>
  <c r="CS174" i="12"/>
  <c r="CS184" i="12"/>
  <c r="CS194" i="12"/>
  <c r="CT106" i="12"/>
  <c r="CS109" i="12"/>
  <c r="CR108" i="12"/>
  <c r="CS105" i="12"/>
  <c r="CP139" i="12"/>
  <c r="CP143" i="12"/>
  <c r="CP195" i="12" s="1"/>
  <c r="CP140" i="12"/>
  <c r="CP183" i="12"/>
  <c r="CP162" i="12"/>
  <c r="CP181" i="12"/>
  <c r="CP161" i="12"/>
  <c r="CQ136" i="12"/>
  <c r="CQ135" i="12"/>
  <c r="CQ158" i="12"/>
  <c r="CQ159" i="12" s="1"/>
  <c r="CO185" i="12"/>
  <c r="CO191" i="12" s="1"/>
  <c r="CO192" i="12" s="1"/>
  <c r="CO193" i="12" s="1"/>
  <c r="CO197" i="12" s="1"/>
  <c r="CO198" i="12" s="1"/>
  <c r="BU171" i="12"/>
  <c r="BU172" i="12" s="1"/>
  <c r="BU187" i="12" s="1"/>
  <c r="BT189" i="12"/>
  <c r="BT188" i="12"/>
  <c r="CU148" i="12"/>
  <c r="CU147" i="12"/>
  <c r="CU145" i="12"/>
  <c r="CU146" i="12"/>
  <c r="CT132" i="12" l="1"/>
  <c r="CT130" i="12"/>
  <c r="CT131" i="12" s="1"/>
  <c r="CT157" i="12"/>
  <c r="CT174" i="12"/>
  <c r="CT173" i="12"/>
  <c r="CT184" i="12"/>
  <c r="CT194" i="12"/>
  <c r="CU124" i="12"/>
  <c r="CU128" i="12"/>
  <c r="CU121" i="12"/>
  <c r="CU122" i="12"/>
  <c r="CU118" i="12"/>
  <c r="CU156" i="12"/>
  <c r="CU123" i="12"/>
  <c r="CU119" i="12"/>
  <c r="CU120" i="12"/>
  <c r="CV114" i="12"/>
  <c r="CU144" i="12"/>
  <c r="CU127" i="12"/>
  <c r="CU126" i="12"/>
  <c r="CU149" i="12"/>
  <c r="CT109" i="12"/>
  <c r="CU106" i="12"/>
  <c r="CQ161" i="12"/>
  <c r="CQ181" i="12"/>
  <c r="CQ162" i="12"/>
  <c r="CQ143" i="12"/>
  <c r="CQ195" i="12" s="1"/>
  <c r="CQ139" i="12"/>
  <c r="CP185" i="12"/>
  <c r="CP191" i="12" s="1"/>
  <c r="CP192" i="12" s="1"/>
  <c r="CP193" i="12" s="1"/>
  <c r="CP197" i="12" s="1"/>
  <c r="CP198" i="12" s="1"/>
  <c r="CS108" i="12"/>
  <c r="CT105" i="12"/>
  <c r="CQ140" i="12"/>
  <c r="CQ183" i="12"/>
  <c r="CR136" i="12"/>
  <c r="CR135" i="12"/>
  <c r="CR158" i="12"/>
  <c r="CR159" i="12" s="1"/>
  <c r="BV171" i="12"/>
  <c r="BV172" i="12" s="1"/>
  <c r="BU189" i="12"/>
  <c r="BU188" i="12"/>
  <c r="CV147" i="12"/>
  <c r="CV146" i="12"/>
  <c r="CV148" i="12"/>
  <c r="CV145" i="12"/>
  <c r="CV124" i="12" l="1"/>
  <c r="CV156" i="12"/>
  <c r="CV118" i="12"/>
  <c r="CV144" i="12"/>
  <c r="CV123" i="12"/>
  <c r="CV127" i="12"/>
  <c r="CV119" i="12"/>
  <c r="CV126" i="12"/>
  <c r="CW114" i="12"/>
  <c r="CV128" i="12"/>
  <c r="CV120" i="12"/>
  <c r="CV121" i="12"/>
  <c r="CV122" i="12"/>
  <c r="CV149" i="12"/>
  <c r="CU132" i="12"/>
  <c r="CU157" i="12"/>
  <c r="CU174" i="12"/>
  <c r="CU173" i="12"/>
  <c r="CU194" i="12"/>
  <c r="CU184" i="12"/>
  <c r="CU130" i="12"/>
  <c r="CU131" i="12" s="1"/>
  <c r="CV106" i="12"/>
  <c r="CU109" i="12"/>
  <c r="CR143" i="12"/>
  <c r="CR195" i="12" s="1"/>
  <c r="CR139" i="12"/>
  <c r="CR181" i="12"/>
  <c r="CR161" i="12"/>
  <c r="CR162" i="12"/>
  <c r="CR140" i="12"/>
  <c r="CR183" i="12"/>
  <c r="CT108" i="12"/>
  <c r="CU105" i="12"/>
  <c r="CQ185" i="12"/>
  <c r="CQ191" i="12" s="1"/>
  <c r="CQ192" i="12" s="1"/>
  <c r="CQ193" i="12" s="1"/>
  <c r="CQ197" i="12" s="1"/>
  <c r="CQ198" i="12" s="1"/>
  <c r="CS135" i="12"/>
  <c r="CS136" i="12"/>
  <c r="CS158" i="12"/>
  <c r="CS159" i="12" s="1"/>
  <c r="BV187" i="12"/>
  <c r="BV189" i="12" s="1"/>
  <c r="BW171" i="12"/>
  <c r="BW172" i="12" s="1"/>
  <c r="BW187" i="12" s="1"/>
  <c r="CW147" i="12"/>
  <c r="CW145" i="12"/>
  <c r="CW148" i="12"/>
  <c r="CW146" i="12"/>
  <c r="CV132" i="12" l="1"/>
  <c r="CV194" i="12"/>
  <c r="CV184" i="12"/>
  <c r="CV130" i="12"/>
  <c r="CV131" i="12" s="1"/>
  <c r="CV174" i="12"/>
  <c r="CV173" i="12"/>
  <c r="CV157" i="12"/>
  <c r="CW124" i="12"/>
  <c r="CW126" i="12"/>
  <c r="CW123" i="12"/>
  <c r="CW119" i="12"/>
  <c r="CW120" i="12"/>
  <c r="CW156" i="12"/>
  <c r="CW121" i="12"/>
  <c r="CW127" i="12"/>
  <c r="CW122" i="12"/>
  <c r="CW118" i="12"/>
  <c r="CW144" i="12"/>
  <c r="CX114" i="12"/>
  <c r="CW128" i="12"/>
  <c r="CW149" i="12"/>
  <c r="CW106" i="12"/>
  <c r="CV109" i="12"/>
  <c r="CS161" i="12"/>
  <c r="CS162" i="12"/>
  <c r="CS181" i="12"/>
  <c r="CS143" i="12"/>
  <c r="CS195" i="12" s="1"/>
  <c r="CS139" i="12"/>
  <c r="CS183" i="12"/>
  <c r="CS140" i="12"/>
  <c r="CU108" i="12"/>
  <c r="CV105" i="12"/>
  <c r="CR185" i="12"/>
  <c r="CR191" i="12" s="1"/>
  <c r="CR192" i="12" s="1"/>
  <c r="CR193" i="12" s="1"/>
  <c r="CR197" i="12" s="1"/>
  <c r="CR198" i="12" s="1"/>
  <c r="CT135" i="12"/>
  <c r="CT158" i="12"/>
  <c r="CT159" i="12" s="1"/>
  <c r="CT136" i="12"/>
  <c r="BV188" i="12"/>
  <c r="BX171" i="12"/>
  <c r="BX172" i="12" s="1"/>
  <c r="BX187" i="12" s="1"/>
  <c r="BW189" i="12"/>
  <c r="BW188" i="12"/>
  <c r="CX146" i="12"/>
  <c r="CX147" i="12"/>
  <c r="CX148" i="12"/>
  <c r="CX145" i="12"/>
  <c r="CW130" i="12" l="1"/>
  <c r="CW131" i="12" s="1"/>
  <c r="CW132" i="12"/>
  <c r="CW194" i="12"/>
  <c r="CW184" i="12"/>
  <c r="CX124" i="12"/>
  <c r="CX156" i="12"/>
  <c r="CX119" i="12"/>
  <c r="CX144" i="12"/>
  <c r="CX120" i="12"/>
  <c r="CX127" i="12"/>
  <c r="CX121" i="12"/>
  <c r="CX126" i="12"/>
  <c r="CY114" i="12"/>
  <c r="CX128" i="12"/>
  <c r="CX123" i="12"/>
  <c r="CX118" i="12"/>
  <c r="CX122" i="12"/>
  <c r="CX149" i="12"/>
  <c r="CW174" i="12"/>
  <c r="CW173" i="12"/>
  <c r="CW157" i="12"/>
  <c r="CW109" i="12"/>
  <c r="CX106" i="12"/>
  <c r="CU136" i="12"/>
  <c r="CU158" i="12"/>
  <c r="CU159" i="12" s="1"/>
  <c r="CU135" i="12"/>
  <c r="CT162" i="12"/>
  <c r="CT161" i="12"/>
  <c r="CT181" i="12"/>
  <c r="CT139" i="12"/>
  <c r="CT143" i="12"/>
  <c r="CT195" i="12" s="1"/>
  <c r="CT140" i="12"/>
  <c r="CT183" i="12"/>
  <c r="CS185" i="12"/>
  <c r="CS191" i="12" s="1"/>
  <c r="CS192" i="12" s="1"/>
  <c r="CS193" i="12" s="1"/>
  <c r="CS197" i="12" s="1"/>
  <c r="CS198" i="12" s="1"/>
  <c r="CW105" i="12"/>
  <c r="CV108" i="12"/>
  <c r="BY171" i="12"/>
  <c r="BY172" i="12" s="1"/>
  <c r="BX189" i="12"/>
  <c r="BX188" i="12"/>
  <c r="CY147" i="12"/>
  <c r="CY146" i="12"/>
  <c r="CY148" i="12"/>
  <c r="CY145" i="12"/>
  <c r="CX130" i="12" l="1"/>
  <c r="CX131" i="12" s="1"/>
  <c r="CX174" i="12"/>
  <c r="CX173" i="12"/>
  <c r="CX157" i="12"/>
  <c r="CX194" i="12"/>
  <c r="CX184" i="12"/>
  <c r="CY124" i="12"/>
  <c r="CY128" i="12"/>
  <c r="CY121" i="12"/>
  <c r="CY122" i="12"/>
  <c r="CY118" i="12"/>
  <c r="CY156" i="12"/>
  <c r="CY123" i="12"/>
  <c r="CY127" i="12"/>
  <c r="CY119" i="12"/>
  <c r="CY126" i="12"/>
  <c r="CY120" i="12"/>
  <c r="CZ114" i="12"/>
  <c r="CY144" i="12"/>
  <c r="CY149" i="12"/>
  <c r="CX132" i="12"/>
  <c r="CX109" i="12"/>
  <c r="CY106" i="12"/>
  <c r="CV158" i="12"/>
  <c r="CV159" i="12" s="1"/>
  <c r="CV135" i="12"/>
  <c r="CV136" i="12"/>
  <c r="CW108" i="12"/>
  <c r="CX105" i="12"/>
  <c r="CU161" i="12"/>
  <c r="CU162" i="12"/>
  <c r="CU181" i="12"/>
  <c r="CU140" i="12"/>
  <c r="CU183" i="12"/>
  <c r="CU139" i="12"/>
  <c r="CU143" i="12"/>
  <c r="CU195" i="12" s="1"/>
  <c r="CT185" i="12"/>
  <c r="CT191" i="12" s="1"/>
  <c r="CT192" i="12" s="1"/>
  <c r="CT193" i="12" s="1"/>
  <c r="CT197" i="12" s="1"/>
  <c r="CT198" i="12" s="1"/>
  <c r="BY187" i="12"/>
  <c r="BY188" i="12" s="1"/>
  <c r="BZ171" i="12"/>
  <c r="BZ172" i="12" s="1"/>
  <c r="BZ187" i="12" s="1"/>
  <c r="CZ147" i="12"/>
  <c r="CZ146" i="12"/>
  <c r="CZ145" i="12"/>
  <c r="CZ148" i="12"/>
  <c r="CY132" i="12" l="1"/>
  <c r="C145" i="12"/>
  <c r="C146" i="12"/>
  <c r="C148" i="12"/>
  <c r="C147" i="12"/>
  <c r="CY173" i="12"/>
  <c r="CY157" i="12"/>
  <c r="CY174" i="12"/>
  <c r="CY130" i="12"/>
  <c r="CY131" i="12" s="1"/>
  <c r="CY194" i="12"/>
  <c r="CY184" i="12"/>
  <c r="CZ124" i="12"/>
  <c r="C124" i="12" s="1"/>
  <c r="CZ156" i="12"/>
  <c r="CZ118" i="12"/>
  <c r="CZ144" i="12"/>
  <c r="C144" i="12" s="1"/>
  <c r="CZ123" i="12"/>
  <c r="C123" i="12" s="1"/>
  <c r="CZ127" i="12"/>
  <c r="C127" i="12" s="1"/>
  <c r="CZ119" i="12"/>
  <c r="C119" i="12" s="1"/>
  <c r="CZ126" i="12"/>
  <c r="CZ128" i="12"/>
  <c r="C128" i="12" s="1"/>
  <c r="CZ120" i="12"/>
  <c r="C120" i="12" s="1"/>
  <c r="CZ121" i="12"/>
  <c r="C121" i="12" s="1"/>
  <c r="CZ122" i="12"/>
  <c r="C122" i="12" s="1"/>
  <c r="CZ149" i="12"/>
  <c r="CY109" i="12"/>
  <c r="CZ106" i="12"/>
  <c r="CZ109" i="12" s="1"/>
  <c r="CV140" i="12"/>
  <c r="CV183" i="12"/>
  <c r="CW136" i="12"/>
  <c r="CW135" i="12"/>
  <c r="CW158" i="12"/>
  <c r="CW159" i="12" s="1"/>
  <c r="CV143" i="12"/>
  <c r="CV195" i="12" s="1"/>
  <c r="CV139" i="12"/>
  <c r="CX108" i="12"/>
  <c r="CY105" i="12"/>
  <c r="CU185" i="12"/>
  <c r="CU191" i="12" s="1"/>
  <c r="CU192" i="12" s="1"/>
  <c r="CU193" i="12" s="1"/>
  <c r="CU197" i="12" s="1"/>
  <c r="CU198" i="12" s="1"/>
  <c r="CV181" i="12"/>
  <c r="CV161" i="12"/>
  <c r="CV162" i="12"/>
  <c r="BY189" i="12"/>
  <c r="BZ188" i="12"/>
  <c r="BZ189" i="12"/>
  <c r="CA171" i="12"/>
  <c r="U149" i="12" l="1"/>
  <c r="V149" i="12"/>
  <c r="W149" i="12"/>
  <c r="X149" i="12"/>
  <c r="Y149" i="12"/>
  <c r="Z149" i="12"/>
  <c r="AA149" i="12"/>
  <c r="AB149" i="12"/>
  <c r="G149" i="12"/>
  <c r="R149" i="12"/>
  <c r="J149" i="12"/>
  <c r="M149" i="12"/>
  <c r="K149" i="12"/>
  <c r="E149" i="12"/>
  <c r="P149" i="12"/>
  <c r="H149" i="12"/>
  <c r="T149" i="12"/>
  <c r="N149" i="12"/>
  <c r="I149" i="12"/>
  <c r="L149" i="12"/>
  <c r="O149" i="12"/>
  <c r="S149" i="12"/>
  <c r="F149" i="12"/>
  <c r="Q149" i="12"/>
  <c r="CZ194" i="12"/>
  <c r="CZ184" i="12"/>
  <c r="CZ130" i="12"/>
  <c r="C118" i="12"/>
  <c r="CZ157" i="12"/>
  <c r="C157" i="12" s="1"/>
  <c r="CZ174" i="12"/>
  <c r="CZ173" i="12"/>
  <c r="CZ132" i="12"/>
  <c r="C132" i="12" s="1"/>
  <c r="E25" i="12" s="1"/>
  <c r="C126" i="12"/>
  <c r="CV185" i="12"/>
  <c r="CV191" i="12" s="1"/>
  <c r="CV192" i="12" s="1"/>
  <c r="CV193" i="12" s="1"/>
  <c r="CV197" i="12" s="1"/>
  <c r="CV198" i="12" s="1"/>
  <c r="CW139" i="12"/>
  <c r="CW143" i="12"/>
  <c r="CW195" i="12" s="1"/>
  <c r="CW140" i="12"/>
  <c r="CW183" i="12"/>
  <c r="CW181" i="12"/>
  <c r="CW161" i="12"/>
  <c r="CW162" i="12"/>
  <c r="CZ105" i="12"/>
  <c r="CZ108" i="12" s="1"/>
  <c r="CY108" i="12"/>
  <c r="CX135" i="12"/>
  <c r="CX158" i="12"/>
  <c r="CX159" i="12" s="1"/>
  <c r="CX136" i="12"/>
  <c r="CA172" i="12"/>
  <c r="CA187" i="12" s="1"/>
  <c r="AA184" i="12" l="1"/>
  <c r="AA185" i="12" s="1"/>
  <c r="AA187" i="12" s="1"/>
  <c r="AA189" i="12" s="1"/>
  <c r="AA194" i="12"/>
  <c r="AB194" i="12"/>
  <c r="AB184" i="12"/>
  <c r="AB185" i="12" s="1"/>
  <c r="AB187" i="12" s="1"/>
  <c r="AB189" i="12" s="1"/>
  <c r="Z194" i="12"/>
  <c r="Z184" i="12"/>
  <c r="Z185" i="12" s="1"/>
  <c r="Z187" i="12" s="1"/>
  <c r="Z189" i="12" s="1"/>
  <c r="Y194" i="12"/>
  <c r="Y184" i="12"/>
  <c r="Y185" i="12" s="1"/>
  <c r="Y187" i="12" s="1"/>
  <c r="Y189" i="12" s="1"/>
  <c r="X184" i="12"/>
  <c r="X185" i="12" s="1"/>
  <c r="X187" i="12" s="1"/>
  <c r="X189" i="12" s="1"/>
  <c r="X194" i="12"/>
  <c r="W184" i="12"/>
  <c r="W185" i="12" s="1"/>
  <c r="W187" i="12" s="1"/>
  <c r="W189" i="12" s="1"/>
  <c r="W194" i="12"/>
  <c r="V194" i="12"/>
  <c r="V184" i="12"/>
  <c r="V185" i="12" s="1"/>
  <c r="V187" i="12" s="1"/>
  <c r="V189" i="12" s="1"/>
  <c r="U184" i="12"/>
  <c r="U185" i="12" s="1"/>
  <c r="U187" i="12" s="1"/>
  <c r="U189" i="12" s="1"/>
  <c r="U194" i="12"/>
  <c r="T4" i="12"/>
  <c r="Q184" i="12"/>
  <c r="Q185" i="12" s="1"/>
  <c r="Q187" i="12" s="1"/>
  <c r="Q189" i="12" s="1"/>
  <c r="Q194" i="12"/>
  <c r="H184" i="12"/>
  <c r="H185" i="12" s="1"/>
  <c r="H194" i="12"/>
  <c r="P194" i="12"/>
  <c r="P184" i="12"/>
  <c r="P185" i="12" s="1"/>
  <c r="P187" i="12" s="1"/>
  <c r="S184" i="12"/>
  <c r="S185" i="12" s="1"/>
  <c r="S187" i="12" s="1"/>
  <c r="S189" i="12" s="1"/>
  <c r="S194" i="12"/>
  <c r="E184" i="12"/>
  <c r="C149" i="12"/>
  <c r="E194" i="12"/>
  <c r="O184" i="12"/>
  <c r="O185" i="12" s="1"/>
  <c r="O187" i="12" s="1"/>
  <c r="O194" i="12"/>
  <c r="K184" i="12"/>
  <c r="K185" i="12" s="1"/>
  <c r="K194" i="12"/>
  <c r="L194" i="12"/>
  <c r="L184" i="12"/>
  <c r="L185" i="12" s="1"/>
  <c r="L187" i="12" s="1"/>
  <c r="M184" i="12"/>
  <c r="M185" i="12" s="1"/>
  <c r="M187" i="12" s="1"/>
  <c r="M194" i="12"/>
  <c r="CZ131" i="12"/>
  <c r="C131" i="12" s="1"/>
  <c r="E24" i="12" s="1"/>
  <c r="C130" i="12"/>
  <c r="I184" i="12"/>
  <c r="I185" i="12" s="1"/>
  <c r="I194" i="12"/>
  <c r="J184" i="12"/>
  <c r="J185" i="12" s="1"/>
  <c r="J194" i="12"/>
  <c r="F194" i="12"/>
  <c r="F184" i="12"/>
  <c r="F185" i="12" s="1"/>
  <c r="N184" i="12"/>
  <c r="N185" i="12" s="1"/>
  <c r="N187" i="12" s="1"/>
  <c r="N189" i="12" s="1"/>
  <c r="N194" i="12"/>
  <c r="R194" i="12"/>
  <c r="R184" i="12"/>
  <c r="R185" i="12" s="1"/>
  <c r="R187" i="12" s="1"/>
  <c r="T184" i="12"/>
  <c r="T185" i="12" s="1"/>
  <c r="T187" i="12" s="1"/>
  <c r="T189" i="12" s="1"/>
  <c r="T194" i="12"/>
  <c r="G184" i="12"/>
  <c r="G185" i="12" s="1"/>
  <c r="G187" i="12" s="1"/>
  <c r="G194" i="12"/>
  <c r="CW185" i="12"/>
  <c r="CW191" i="12" s="1"/>
  <c r="CW192" i="12" s="1"/>
  <c r="CW193" i="12" s="1"/>
  <c r="CW197" i="12" s="1"/>
  <c r="CW198" i="12" s="1"/>
  <c r="CX183" i="12"/>
  <c r="CX140" i="12"/>
  <c r="CX161" i="12"/>
  <c r="CX162" i="12"/>
  <c r="CX181" i="12"/>
  <c r="CX143" i="12"/>
  <c r="CX139" i="12"/>
  <c r="CY158" i="12"/>
  <c r="CY159" i="12" s="1"/>
  <c r="CY136" i="12"/>
  <c r="CY135" i="12"/>
  <c r="CZ136" i="12"/>
  <c r="CZ158" i="12"/>
  <c r="CZ159" i="12" s="1"/>
  <c r="CB171" i="12"/>
  <c r="CB172" i="12" s="1"/>
  <c r="CB187" i="12" s="1"/>
  <c r="CA189" i="12"/>
  <c r="CA188" i="12"/>
  <c r="K187" i="12" l="1"/>
  <c r="P189" i="12"/>
  <c r="I187" i="12"/>
  <c r="S4" i="12"/>
  <c r="E26" i="12"/>
  <c r="O189" i="12"/>
  <c r="CZ135" i="12"/>
  <c r="C135" i="12" s="1"/>
  <c r="F187" i="12"/>
  <c r="F186" i="12"/>
  <c r="C194" i="12"/>
  <c r="H187" i="12"/>
  <c r="G189" i="12"/>
  <c r="M189" i="12"/>
  <c r="L189" i="12"/>
  <c r="C184" i="12"/>
  <c r="E185" i="12"/>
  <c r="J187" i="12"/>
  <c r="R189" i="12"/>
  <c r="CX195" i="12"/>
  <c r="CY162" i="12"/>
  <c r="CY161" i="12"/>
  <c r="CY181" i="12"/>
  <c r="C159" i="12"/>
  <c r="CY140" i="12"/>
  <c r="CY183" i="12"/>
  <c r="C136" i="12"/>
  <c r="CZ162" i="12"/>
  <c r="CZ161" i="12"/>
  <c r="CZ181" i="12"/>
  <c r="CZ183" i="12"/>
  <c r="CZ140" i="12"/>
  <c r="CY143" i="12"/>
  <c r="CY195" i="12" s="1"/>
  <c r="CY139" i="12"/>
  <c r="CX185" i="12"/>
  <c r="CB189" i="12"/>
  <c r="CB188" i="12"/>
  <c r="CC171" i="12"/>
  <c r="C161" i="12" l="1"/>
  <c r="CZ143" i="12"/>
  <c r="CZ195" i="12" s="1"/>
  <c r="C195" i="12" s="1"/>
  <c r="CZ139" i="12"/>
  <c r="C139" i="12" s="1"/>
  <c r="F24" i="12" s="1"/>
  <c r="U4" i="12"/>
  <c r="R4" i="12"/>
  <c r="J189" i="12"/>
  <c r="F189" i="12"/>
  <c r="I189" i="12"/>
  <c r="E193" i="12"/>
  <c r="E197" i="12" s="1"/>
  <c r="E198" i="12" s="1"/>
  <c r="E187" i="12"/>
  <c r="H189" i="12"/>
  <c r="G186" i="12"/>
  <c r="F191" i="12"/>
  <c r="F192" i="12" s="1"/>
  <c r="F193" i="12" s="1"/>
  <c r="F197" i="12" s="1"/>
  <c r="F198" i="12" s="1"/>
  <c r="K189" i="12"/>
  <c r="C162" i="12"/>
  <c r="CY185" i="12"/>
  <c r="CY191" i="12" s="1"/>
  <c r="CY192" i="12" s="1"/>
  <c r="CY193" i="12" s="1"/>
  <c r="CY197" i="12" s="1"/>
  <c r="CY198" i="12" s="1"/>
  <c r="C140" i="12"/>
  <c r="F25" i="12" s="1"/>
  <c r="CX191" i="12"/>
  <c r="CZ185" i="12"/>
  <c r="CZ191" i="12" s="1"/>
  <c r="CZ192" i="12" s="1"/>
  <c r="C183" i="12"/>
  <c r="C181" i="12"/>
  <c r="CC172" i="12"/>
  <c r="CC187" i="12" s="1"/>
  <c r="F26" i="12" l="1"/>
  <c r="C143" i="12"/>
  <c r="E188" i="12"/>
  <c r="E189" i="12"/>
  <c r="E190" i="12" s="1"/>
  <c r="F188" i="12" s="1"/>
  <c r="F190" i="12" s="1"/>
  <c r="G188" i="12" s="1"/>
  <c r="G190" i="12" s="1"/>
  <c r="H188" i="12" s="1"/>
  <c r="H190" i="12" s="1"/>
  <c r="I188" i="12" s="1"/>
  <c r="H186" i="12"/>
  <c r="G191" i="12"/>
  <c r="G192" i="12" s="1"/>
  <c r="G193" i="12" s="1"/>
  <c r="G197" i="12" s="1"/>
  <c r="G198" i="12" s="1"/>
  <c r="C185" i="12"/>
  <c r="CZ193" i="12"/>
  <c r="CZ197" i="12" s="1"/>
  <c r="CX192" i="12"/>
  <c r="CC189" i="12"/>
  <c r="CC188" i="12"/>
  <c r="CD171" i="12"/>
  <c r="H191" i="12" l="1"/>
  <c r="I186" i="12"/>
  <c r="J186" i="12" s="1"/>
  <c r="K186" i="12" s="1"/>
  <c r="L186" i="12" s="1"/>
  <c r="M186" i="12" s="1"/>
  <c r="N186" i="12" s="1"/>
  <c r="O186" i="12" s="1"/>
  <c r="P186" i="12" s="1"/>
  <c r="Q186" i="12" s="1"/>
  <c r="R186" i="12" s="1"/>
  <c r="S186" i="12" s="1"/>
  <c r="T186" i="12" s="1"/>
  <c r="U186" i="12" s="1"/>
  <c r="V186" i="12" s="1"/>
  <c r="W186" i="12" s="1"/>
  <c r="X186" i="12" s="1"/>
  <c r="Y186" i="12" s="1"/>
  <c r="Z186" i="12" s="1"/>
  <c r="AA186" i="12" s="1"/>
  <c r="AB186" i="12" s="1"/>
  <c r="I190" i="12"/>
  <c r="CX193" i="12"/>
  <c r="CZ198" i="12"/>
  <c r="CD172" i="12"/>
  <c r="CD187" i="12" s="1"/>
  <c r="I191" i="12" l="1"/>
  <c r="I192" i="12" s="1"/>
  <c r="I193" i="12" s="1"/>
  <c r="I197" i="12" s="1"/>
  <c r="I198" i="12" s="1"/>
  <c r="J188" i="12"/>
  <c r="J191" i="12" s="1"/>
  <c r="J192" i="12" s="1"/>
  <c r="J193" i="12" s="1"/>
  <c r="J197" i="12" s="1"/>
  <c r="J198" i="12" s="1"/>
  <c r="H192" i="12"/>
  <c r="CX197" i="12"/>
  <c r="CE171" i="12"/>
  <c r="CE172" i="12" s="1"/>
  <c r="CE187" i="12" s="1"/>
  <c r="CD189" i="12"/>
  <c r="CD188" i="12"/>
  <c r="J190" i="12" l="1"/>
  <c r="K188" i="12" s="1"/>
  <c r="K191" i="12" s="1"/>
  <c r="H193" i="12"/>
  <c r="CX198" i="12"/>
  <c r="CF171" i="12"/>
  <c r="CF172" i="12" s="1"/>
  <c r="CF187" i="12" s="1"/>
  <c r="CE189" i="12"/>
  <c r="CE188" i="12"/>
  <c r="K190" i="12" l="1"/>
  <c r="L188" i="12" s="1"/>
  <c r="L191" i="12" s="1"/>
  <c r="L192" i="12" s="1"/>
  <c r="L193" i="12" s="1"/>
  <c r="L197" i="12" s="1"/>
  <c r="L198" i="12" s="1"/>
  <c r="K192" i="12"/>
  <c r="H197" i="12"/>
  <c r="CG171" i="12"/>
  <c r="CG172" i="12" s="1"/>
  <c r="CG187" i="12" s="1"/>
  <c r="CF189" i="12"/>
  <c r="CF188" i="12"/>
  <c r="L190" i="12" l="1"/>
  <c r="M188" i="12" s="1"/>
  <c r="M191" i="12" s="1"/>
  <c r="H198" i="12"/>
  <c r="K193" i="12"/>
  <c r="CH171" i="12"/>
  <c r="CH172" i="12" s="1"/>
  <c r="CH187" i="12" s="1"/>
  <c r="CG188" i="12"/>
  <c r="CG189" i="12"/>
  <c r="M192" i="12" l="1"/>
  <c r="K197" i="12"/>
  <c r="M190" i="12"/>
  <c r="CI171" i="12"/>
  <c r="CI172" i="12" s="1"/>
  <c r="CI187" i="12" s="1"/>
  <c r="CH188" i="12"/>
  <c r="CH189" i="12"/>
  <c r="N188" i="12" l="1"/>
  <c r="N191" i="12" s="1"/>
  <c r="K198" i="12"/>
  <c r="M193" i="12"/>
  <c r="CI188" i="12"/>
  <c r="CI189" i="12"/>
  <c r="CJ171" i="12"/>
  <c r="N190" i="12" l="1"/>
  <c r="O188" i="12" s="1"/>
  <c r="O191" i="12" s="1"/>
  <c r="O192" i="12" s="1"/>
  <c r="O193" i="12" s="1"/>
  <c r="O197" i="12" s="1"/>
  <c r="O198" i="12" s="1"/>
  <c r="M197" i="12"/>
  <c r="N192" i="12"/>
  <c r="CJ172" i="12"/>
  <c r="CJ187" i="12" s="1"/>
  <c r="N193" i="12" l="1"/>
  <c r="O190" i="12"/>
  <c r="M198" i="12"/>
  <c r="CK171" i="12"/>
  <c r="CK172" i="12" s="1"/>
  <c r="CK187" i="12" s="1"/>
  <c r="CJ189" i="12"/>
  <c r="CJ188" i="12"/>
  <c r="P188" i="12" l="1"/>
  <c r="P191" i="12" s="1"/>
  <c r="N197" i="12"/>
  <c r="CL171" i="12"/>
  <c r="CL172" i="12" s="1"/>
  <c r="CL187" i="12" s="1"/>
  <c r="CK189" i="12"/>
  <c r="CK188" i="12"/>
  <c r="P190" i="12" l="1"/>
  <c r="Q188" i="12" s="1"/>
  <c r="Q191" i="12" s="1"/>
  <c r="Q192" i="12" s="1"/>
  <c r="Q193" i="12" s="1"/>
  <c r="Q197" i="12" s="1"/>
  <c r="Q198" i="12" s="1"/>
  <c r="N198" i="12"/>
  <c r="P192" i="12"/>
  <c r="CM171" i="12"/>
  <c r="CM172" i="12" s="1"/>
  <c r="CM187" i="12" s="1"/>
  <c r="CL189" i="12"/>
  <c r="CL188" i="12"/>
  <c r="P193" i="12" l="1"/>
  <c r="Q190" i="12"/>
  <c r="CN171" i="12"/>
  <c r="CN172" i="12" s="1"/>
  <c r="CN187" i="12" s="1"/>
  <c r="CM189" i="12"/>
  <c r="CM188" i="12"/>
  <c r="R188" i="12" l="1"/>
  <c r="R191" i="12" s="1"/>
  <c r="R192" i="12" s="1"/>
  <c r="R193" i="12" s="1"/>
  <c r="R197" i="12" s="1"/>
  <c r="R198" i="12" s="1"/>
  <c r="P197" i="12"/>
  <c r="CO171" i="12"/>
  <c r="CO172" i="12" s="1"/>
  <c r="CO187" i="12" s="1"/>
  <c r="CN189" i="12"/>
  <c r="CN188" i="12"/>
  <c r="R190" i="12" l="1"/>
  <c r="S188" i="12" s="1"/>
  <c r="S191" i="12" s="1"/>
  <c r="S192" i="12" s="1"/>
  <c r="S193" i="12" s="1"/>
  <c r="S197" i="12" s="1"/>
  <c r="S198" i="12" s="1"/>
  <c r="P198" i="12"/>
  <c r="CP171" i="12"/>
  <c r="CP172" i="12" s="1"/>
  <c r="CP187" i="12" s="1"/>
  <c r="CO189" i="12"/>
  <c r="CO188" i="12"/>
  <c r="S190" i="12" l="1"/>
  <c r="T188" i="12" s="1"/>
  <c r="T191" i="12" s="1"/>
  <c r="T192" i="12" s="1"/>
  <c r="T193" i="12" s="1"/>
  <c r="T197" i="12" s="1"/>
  <c r="T198" i="12" s="1"/>
  <c r="CQ171" i="12"/>
  <c r="CQ172" i="12" s="1"/>
  <c r="CQ187" i="12" s="1"/>
  <c r="CP188" i="12"/>
  <c r="CP189" i="12"/>
  <c r="T190" i="12" l="1"/>
  <c r="CR171" i="12"/>
  <c r="CQ188" i="12"/>
  <c r="CQ189" i="12"/>
  <c r="U188" i="12" l="1"/>
  <c r="U191" i="12" s="1"/>
  <c r="U192" i="12" s="1"/>
  <c r="U193" i="12" s="1"/>
  <c r="CR172" i="12"/>
  <c r="CR187" i="12" s="1"/>
  <c r="U190" i="12" l="1"/>
  <c r="U197" i="12"/>
  <c r="CS171" i="12"/>
  <c r="CS172" i="12" s="1"/>
  <c r="CS187" i="12" s="1"/>
  <c r="CR189" i="12"/>
  <c r="CR188" i="12"/>
  <c r="V188" i="12" l="1"/>
  <c r="V191" i="12" s="1"/>
  <c r="U198" i="12"/>
  <c r="CS189" i="12"/>
  <c r="CS188" i="12"/>
  <c r="CT171" i="12"/>
  <c r="V192" i="12" l="1"/>
  <c r="V190" i="12"/>
  <c r="CT172" i="12"/>
  <c r="CT187" i="12" s="1"/>
  <c r="V193" i="12" l="1"/>
  <c r="W188" i="12"/>
  <c r="W191" i="12" s="1"/>
  <c r="CT189" i="12"/>
  <c r="CT188" i="12"/>
  <c r="CU171" i="12"/>
  <c r="W192" i="12" l="1"/>
  <c r="W190" i="12"/>
  <c r="V197" i="12"/>
  <c r="CU172" i="12"/>
  <c r="CU187" i="12" s="1"/>
  <c r="V198" i="12" l="1"/>
  <c r="X188" i="12"/>
  <c r="X191" i="12" s="1"/>
  <c r="W193" i="12"/>
  <c r="CV171" i="12"/>
  <c r="CV172" i="12" s="1"/>
  <c r="CV187" i="12" s="1"/>
  <c r="CU189" i="12"/>
  <c r="CU188" i="12"/>
  <c r="X190" i="12" l="1"/>
  <c r="Y188" i="12" s="1"/>
  <c r="Y191" i="12" s="1"/>
  <c r="Y192" i="12" s="1"/>
  <c r="Y193" i="12" s="1"/>
  <c r="Y197" i="12" s="1"/>
  <c r="Y198" i="12" s="1"/>
  <c r="X192" i="12"/>
  <c r="W197" i="12"/>
  <c r="CW171" i="12"/>
  <c r="CW172" i="12" s="1"/>
  <c r="CW187" i="12" s="1"/>
  <c r="CV189" i="12"/>
  <c r="CV188" i="12"/>
  <c r="Y190" i="12" l="1"/>
  <c r="Z188" i="12" s="1"/>
  <c r="Z191" i="12" s="1"/>
  <c r="W198" i="12"/>
  <c r="X193" i="12"/>
  <c r="CX171" i="12"/>
  <c r="CX172" i="12" s="1"/>
  <c r="CW189" i="12"/>
  <c r="CW188" i="12"/>
  <c r="Z190" i="12" l="1"/>
  <c r="AA188" i="12" s="1"/>
  <c r="AA191" i="12" s="1"/>
  <c r="AA192" i="12" s="1"/>
  <c r="AA193" i="12" s="1"/>
  <c r="AA197" i="12" s="1"/>
  <c r="AA198" i="12" s="1"/>
  <c r="Z192" i="12"/>
  <c r="X197" i="12"/>
  <c r="CX187" i="12"/>
  <c r="CX188" i="12" s="1"/>
  <c r="CY171" i="12"/>
  <c r="CY172" i="12" s="1"/>
  <c r="CY187" i="12" s="1"/>
  <c r="AA190" i="12" l="1"/>
  <c r="AB188" i="12" s="1"/>
  <c r="AB191" i="12" s="1"/>
  <c r="AB192" i="12" s="1"/>
  <c r="AB193" i="12" s="1"/>
  <c r="AB197" i="12" s="1"/>
  <c r="AB198" i="12" s="1"/>
  <c r="X198" i="12"/>
  <c r="Z193" i="12"/>
  <c r="CX189" i="12"/>
  <c r="CZ171" i="12"/>
  <c r="CZ172" i="12" s="1"/>
  <c r="CZ187" i="12" s="1"/>
  <c r="CZ189" i="12" s="1"/>
  <c r="CY188" i="12"/>
  <c r="CY189" i="12"/>
  <c r="AB190" i="12" l="1"/>
  <c r="AC188" i="12" s="1"/>
  <c r="AC191" i="12" s="1"/>
  <c r="Z197" i="12"/>
  <c r="C187" i="12"/>
  <c r="CZ188" i="12"/>
  <c r="C189" i="12"/>
  <c r="C188" i="12" l="1"/>
  <c r="Z198" i="12"/>
  <c r="AC192" i="12"/>
  <c r="C191" i="12"/>
  <c r="AC193" i="12" l="1"/>
  <c r="C192" i="12"/>
  <c r="AC197" i="12" l="1"/>
  <c r="C193" i="12"/>
  <c r="AC198" i="12" l="1"/>
  <c r="C198" i="12" s="1"/>
  <c r="E19" i="12" s="1"/>
  <c r="E20" i="12" s="1"/>
  <c r="C197" i="12"/>
</calcChain>
</file>

<file path=xl/sharedStrings.xml><?xml version="1.0" encoding="utf-8"?>
<sst xmlns="http://schemas.openxmlformats.org/spreadsheetml/2006/main" count="1385" uniqueCount="698">
  <si>
    <t>Outlet Pressure</t>
  </si>
  <si>
    <t>units</t>
  </si>
  <si>
    <t>psia</t>
  </si>
  <si>
    <t>psig</t>
  </si>
  <si>
    <t>Length</t>
  </si>
  <si>
    <t>mi</t>
  </si>
  <si>
    <t>km</t>
  </si>
  <si>
    <t>m</t>
  </si>
  <si>
    <t>Pressure</t>
  </si>
  <si>
    <t>Diameter</t>
  </si>
  <si>
    <t>in</t>
  </si>
  <si>
    <t>MPa</t>
  </si>
  <si>
    <t>Input Pressure</t>
  </si>
  <si>
    <t>t/hr</t>
  </si>
  <si>
    <t>ft</t>
  </si>
  <si>
    <t>Wall Thickness (in)</t>
  </si>
  <si>
    <t>Materials</t>
  </si>
  <si>
    <t>Labor</t>
  </si>
  <si>
    <t>Misc</t>
  </si>
  <si>
    <t>Very Low</t>
  </si>
  <si>
    <t>Low</t>
  </si>
  <si>
    <t>Average</t>
  </si>
  <si>
    <t>High</t>
  </si>
  <si>
    <t>Very High</t>
  </si>
  <si>
    <t>Total Pipeline Cost</t>
  </si>
  <si>
    <t>Temperature</t>
  </si>
  <si>
    <t>°F</t>
  </si>
  <si>
    <t>°C</t>
  </si>
  <si>
    <t>Change in Elevation</t>
  </si>
  <si>
    <t>Pump Efficiency</t>
  </si>
  <si>
    <t>Number of Pumps</t>
  </si>
  <si>
    <t>Percent of CAPEX</t>
  </si>
  <si>
    <t>Capacity factor</t>
  </si>
  <si>
    <t>CF</t>
  </si>
  <si>
    <t>Min</t>
  </si>
  <si>
    <t>Max</t>
  </si>
  <si>
    <t>Value</t>
  </si>
  <si>
    <t>Head from elevation change</t>
  </si>
  <si>
    <t>Natural Gas</t>
  </si>
  <si>
    <t>Maximum Stress</t>
  </si>
  <si>
    <t>Class Coeff.</t>
  </si>
  <si>
    <t>Maximum Pressure</t>
  </si>
  <si>
    <t>Tons/mile</t>
  </si>
  <si>
    <t xml:space="preserve"> @$500/ton</t>
  </si>
  <si>
    <t xml:space="preserve"> @$900/ton</t>
  </si>
  <si>
    <t>Steel Costs $/mile cost</t>
  </si>
  <si>
    <t>From Table 2-10 CO2 and Natural Gas Designs and Steel Requirements</t>
  </si>
  <si>
    <t>CO2</t>
  </si>
  <si>
    <t>Cost Ratios (CO2/NG)</t>
  </si>
  <si>
    <t>Pipe OD (in)</t>
  </si>
  <si>
    <t>Reference: ICF International, "Carbon Sequestration &amp; Storage: Developing a Transportation Infrastructure," 
Prepared for The INGAA Foundation, Inc., Report number F-2009-01, February 2009.</t>
  </si>
  <si>
    <t>Derivation of factors:</t>
  </si>
  <si>
    <t>Typical Range of Inputs</t>
  </si>
  <si>
    <t>$/MWh</t>
  </si>
  <si>
    <t>Δh</t>
  </si>
  <si>
    <t>Miscellaneous</t>
  </si>
  <si>
    <t>d</t>
  </si>
  <si>
    <t>With regards to pressure differences between natural gas and CO2 pipelines this report indentifies that the material and labor costs for the CO2 pipelines will be greater due to the higher pressures.  To contain the pressure, the wall thickness is increased which increases the materials costs.  The labor costs will increase due to the moving heavier pipe and welding of thicker pipe.  This report summarizes the cost increase based on wall thickness and pipe size and the additional costs.  Note, these costs are limited to steel only.  Further for pipe size less than 12 inches, there is no increase in the material costs; for pipe sizes greater than 24 inches, the material cost increase from NG to CO2 is 25%. This corresponds to a roughly 25% increase in the wall thickness.
From discussions with the cost estimators at WorleyParsons, pipe is not costed on a per pound basis.  However, based on limited experience with projects considering pipelines and different wall thickness the correlations appear to be correct.  Based on these findings, the pipeline material and labor costs are adjust using the following rule sizes &lt;12", no adjustment; 16", 1.12 factor applied; &gt; 24", 1.25 applied.  20" pipe is not covered in this table, an average between the 16" and 24" size is assumed, 1.18.
Adjustment is determined using function Pres_Fact(PL_d).  Function returns the factor, as described above, for pipe size PL_d.</t>
  </si>
  <si>
    <t>Units Available for Different Variables</t>
  </si>
  <si>
    <r>
      <t>T</t>
    </r>
    <r>
      <rPr>
        <vertAlign val="subscript"/>
        <sz val="10"/>
        <color theme="1"/>
        <rFont val="Calibri"/>
        <family val="2"/>
        <scheme val="minor"/>
      </rPr>
      <t>Pipeline</t>
    </r>
  </si>
  <si>
    <r>
      <t>P</t>
    </r>
    <r>
      <rPr>
        <vertAlign val="subscript"/>
        <sz val="10"/>
        <color theme="1"/>
        <rFont val="Calibri"/>
        <family val="2"/>
        <scheme val="minor"/>
      </rPr>
      <t>in</t>
    </r>
  </si>
  <si>
    <r>
      <t>P</t>
    </r>
    <r>
      <rPr>
        <vertAlign val="subscript"/>
        <sz val="10"/>
        <color theme="1"/>
        <rFont val="Calibri"/>
        <family val="2"/>
        <scheme val="minor"/>
      </rPr>
      <t>out</t>
    </r>
  </si>
  <si>
    <r>
      <t>L</t>
    </r>
    <r>
      <rPr>
        <vertAlign val="subscript"/>
        <sz val="10"/>
        <color theme="1"/>
        <rFont val="Calibri"/>
        <family val="2"/>
        <scheme val="minor"/>
      </rPr>
      <t>PL</t>
    </r>
  </si>
  <si>
    <r>
      <t>ΔP</t>
    </r>
    <r>
      <rPr>
        <vertAlign val="subscript"/>
        <sz val="10"/>
        <color theme="1"/>
        <rFont val="Calibri"/>
        <family val="2"/>
        <scheme val="minor"/>
      </rPr>
      <t>Elev</t>
    </r>
  </si>
  <si>
    <r>
      <t>n</t>
    </r>
    <r>
      <rPr>
        <vertAlign val="subscript"/>
        <sz val="10"/>
        <color theme="1"/>
        <rFont val="Calibri"/>
        <family val="2"/>
        <scheme val="minor"/>
      </rPr>
      <t>pump</t>
    </r>
  </si>
  <si>
    <r>
      <rPr>
        <i/>
        <sz val="10"/>
        <color theme="1"/>
        <rFont val="Calibri"/>
        <family val="2"/>
        <scheme val="minor"/>
      </rPr>
      <t>η</t>
    </r>
    <r>
      <rPr>
        <vertAlign val="subscript"/>
        <sz val="10"/>
        <color theme="1"/>
        <rFont val="Calibri"/>
        <family val="2"/>
        <scheme val="minor"/>
      </rPr>
      <t>pump</t>
    </r>
  </si>
  <si>
    <r>
      <t>d</t>
    </r>
    <r>
      <rPr>
        <vertAlign val="subscript"/>
        <sz val="10"/>
        <color theme="1"/>
        <rFont val="Calibri"/>
        <family val="2"/>
        <scheme val="minor"/>
      </rPr>
      <t>min</t>
    </r>
  </si>
  <si>
    <r>
      <t>C</t>
    </r>
    <r>
      <rPr>
        <vertAlign val="subscript"/>
        <sz val="10"/>
        <color theme="1"/>
        <rFont val="Calibri"/>
        <family val="2"/>
        <scheme val="minor"/>
      </rPr>
      <t>CAPEX</t>
    </r>
  </si>
  <si>
    <r>
      <t>f</t>
    </r>
    <r>
      <rPr>
        <vertAlign val="subscript"/>
        <sz val="10"/>
        <color theme="1"/>
        <rFont val="Calibri"/>
        <family val="2"/>
        <scheme val="minor"/>
      </rPr>
      <t>O&amp;M</t>
    </r>
  </si>
  <si>
    <t>Categories for pipeline price classification</t>
  </si>
  <si>
    <t>kW</t>
  </si>
  <si>
    <t>Pump Power</t>
  </si>
  <si>
    <t>MWhr/yr</t>
  </si>
  <si>
    <t>Electricity Cost</t>
  </si>
  <si>
    <t>Annual Electricity Cost</t>
  </si>
  <si>
    <r>
      <t xml:space="preserve"> ΔP</t>
    </r>
    <r>
      <rPr>
        <vertAlign val="subscript"/>
        <sz val="10"/>
        <color theme="1"/>
        <rFont val="Calibri"/>
        <family val="2"/>
        <scheme val="minor"/>
      </rPr>
      <t>Elev</t>
    </r>
    <r>
      <rPr>
        <sz val="10"/>
        <color theme="1"/>
        <rFont val="Calibri"/>
        <family val="2"/>
        <scheme val="minor"/>
      </rPr>
      <t xml:space="preserve"> = </t>
    </r>
    <r>
      <rPr>
        <sz val="10"/>
        <color theme="1"/>
        <rFont val="Calibri"/>
        <family val="2"/>
      </rPr>
      <t>ρ</t>
    </r>
    <r>
      <rPr>
        <vertAlign val="subscript"/>
        <sz val="10"/>
        <color theme="1"/>
        <rFont val="Calibri"/>
        <family val="2"/>
      </rPr>
      <t>CO2</t>
    </r>
    <r>
      <rPr>
        <sz val="10"/>
        <color theme="1"/>
        <rFont val="Calibri"/>
        <family val="2"/>
      </rPr>
      <t>*g*Δh</t>
    </r>
  </si>
  <si>
    <t>Variable</t>
  </si>
  <si>
    <t>Variable Symbol</t>
  </si>
  <si>
    <t>Variable Value in Primary Units</t>
  </si>
  <si>
    <t>Values in Alternate Units</t>
  </si>
  <si>
    <t>Factor</t>
  </si>
  <si>
    <t>2008$/mi</t>
  </si>
  <si>
    <t>Cost per pump</t>
  </si>
  <si>
    <t>Results from function Pres_Fact( inner_dia )</t>
  </si>
  <si>
    <t>Esc. Factor</t>
  </si>
  <si>
    <t>Pipeline Cost per mile</t>
  </si>
  <si>
    <r>
      <t>C</t>
    </r>
    <r>
      <rPr>
        <vertAlign val="subscript"/>
        <sz val="10"/>
        <color theme="1"/>
        <rFont val="Calibri"/>
        <family val="2"/>
        <scheme val="minor"/>
      </rPr>
      <t>pump</t>
    </r>
  </si>
  <si>
    <r>
      <t>C</t>
    </r>
    <r>
      <rPr>
        <vertAlign val="subscript"/>
        <sz val="10"/>
        <color theme="1"/>
        <rFont val="Calibri"/>
        <family val="2"/>
        <scheme val="minor"/>
      </rPr>
      <t>pump_tot</t>
    </r>
  </si>
  <si>
    <t>dP</t>
  </si>
  <si>
    <t>Distance between pumps</t>
  </si>
  <si>
    <t>dL</t>
  </si>
  <si>
    <t>Pa</t>
  </si>
  <si>
    <t>Density of CO2</t>
  </si>
  <si>
    <t>K</t>
  </si>
  <si>
    <t>Acceleration of gravity</t>
  </si>
  <si>
    <t>g</t>
  </si>
  <si>
    <t>m/s2</t>
  </si>
  <si>
    <t>Average pressure</t>
  </si>
  <si>
    <r>
      <t xml:space="preserve"> dL = </t>
    </r>
    <r>
      <rPr>
        <sz val="10"/>
        <color theme="1"/>
        <rFont val="Calibri"/>
        <family val="2"/>
      </rPr>
      <t>L</t>
    </r>
    <r>
      <rPr>
        <vertAlign val="subscript"/>
        <sz val="10"/>
        <color theme="1"/>
        <rFont val="Calibri"/>
        <family val="2"/>
      </rPr>
      <t>PL</t>
    </r>
    <r>
      <rPr>
        <sz val="10"/>
        <color theme="1"/>
        <rFont val="Calibri"/>
        <family val="2"/>
      </rPr>
      <t xml:space="preserve"> / (n</t>
    </r>
    <r>
      <rPr>
        <vertAlign val="subscript"/>
        <sz val="10"/>
        <color theme="1"/>
        <rFont val="Calibri"/>
        <family val="2"/>
      </rPr>
      <t>pump</t>
    </r>
    <r>
      <rPr>
        <sz val="10"/>
        <color theme="1"/>
        <rFont val="Calibri"/>
        <family val="2"/>
      </rPr>
      <t>+1)</t>
    </r>
  </si>
  <si>
    <t>Maximum CO2 flow rate</t>
  </si>
  <si>
    <t>Annual average CO2 flow rate</t>
  </si>
  <si>
    <r>
      <t>q</t>
    </r>
    <r>
      <rPr>
        <vertAlign val="subscript"/>
        <sz val="10"/>
        <color theme="1"/>
        <rFont val="Calibri"/>
        <family val="2"/>
        <scheme val="minor"/>
      </rPr>
      <t>max</t>
    </r>
  </si>
  <si>
    <r>
      <t>q</t>
    </r>
    <r>
      <rPr>
        <vertAlign val="subscript"/>
        <sz val="10"/>
        <color theme="1"/>
        <rFont val="Calibri"/>
        <family val="2"/>
        <scheme val="minor"/>
      </rPr>
      <t>av</t>
    </r>
  </si>
  <si>
    <t>Mt/yr</t>
  </si>
  <si>
    <t>ROW-Damages</t>
  </si>
  <si>
    <r>
      <t>ρ</t>
    </r>
    <r>
      <rPr>
        <vertAlign val="subscript"/>
        <sz val="10"/>
        <color theme="1"/>
        <rFont val="Calibri"/>
        <family val="2"/>
      </rPr>
      <t>CO2</t>
    </r>
  </si>
  <si>
    <t>Pressure change (excludes elev.)</t>
  </si>
  <si>
    <r>
      <t>dP</t>
    </r>
    <r>
      <rPr>
        <vertAlign val="subscript"/>
        <sz val="10"/>
        <color theme="1"/>
        <rFont val="Calibri"/>
        <family val="2"/>
        <scheme val="minor"/>
      </rPr>
      <t>t</t>
    </r>
  </si>
  <si>
    <t>Total pressure change (includes elev.)</t>
  </si>
  <si>
    <t>Pressure drop between pumps</t>
  </si>
  <si>
    <r>
      <t>dP</t>
    </r>
    <r>
      <rPr>
        <vertAlign val="subscript"/>
        <sz val="10"/>
        <color theme="1"/>
        <rFont val="Calibri"/>
        <family val="2"/>
        <scheme val="minor"/>
      </rPr>
      <t>pump</t>
    </r>
  </si>
  <si>
    <r>
      <t xml:space="preserve"> dP = P</t>
    </r>
    <r>
      <rPr>
        <vertAlign val="subscript"/>
        <sz val="10"/>
        <color theme="1"/>
        <rFont val="Calibri"/>
        <family val="2"/>
        <scheme val="minor"/>
      </rPr>
      <t>in</t>
    </r>
    <r>
      <rPr>
        <sz val="10"/>
        <color theme="1"/>
        <rFont val="Calibri"/>
        <family val="2"/>
        <scheme val="minor"/>
      </rPr>
      <t>-P</t>
    </r>
    <r>
      <rPr>
        <vertAlign val="subscript"/>
        <sz val="10"/>
        <color theme="1"/>
        <rFont val="Calibri"/>
        <family val="2"/>
        <scheme val="minor"/>
      </rPr>
      <t>out</t>
    </r>
  </si>
  <si>
    <r>
      <t xml:space="preserve"> dP</t>
    </r>
    <r>
      <rPr>
        <vertAlign val="subscript"/>
        <sz val="10"/>
        <color theme="1"/>
        <rFont val="Calibri"/>
        <family val="2"/>
        <scheme val="minor"/>
      </rPr>
      <t>t</t>
    </r>
    <r>
      <rPr>
        <sz val="10"/>
        <color theme="1"/>
        <rFont val="Calibri"/>
        <family val="2"/>
        <scheme val="minor"/>
      </rPr>
      <t xml:space="preserve"> = P</t>
    </r>
    <r>
      <rPr>
        <vertAlign val="subscript"/>
        <sz val="10"/>
        <color theme="1"/>
        <rFont val="Calibri"/>
        <family val="2"/>
        <scheme val="minor"/>
      </rPr>
      <t>in</t>
    </r>
    <r>
      <rPr>
        <sz val="10"/>
        <color theme="1"/>
        <rFont val="Calibri"/>
        <family val="2"/>
        <scheme val="minor"/>
      </rPr>
      <t>-P</t>
    </r>
    <r>
      <rPr>
        <vertAlign val="subscript"/>
        <sz val="10"/>
        <color theme="1"/>
        <rFont val="Calibri"/>
        <family val="2"/>
        <scheme val="minor"/>
      </rPr>
      <t>out</t>
    </r>
    <r>
      <rPr>
        <sz val="10"/>
        <color theme="1"/>
        <rFont val="Calibri"/>
        <family val="2"/>
        <scheme val="minor"/>
      </rPr>
      <t>-</t>
    </r>
    <r>
      <rPr>
        <sz val="10"/>
        <color theme="1"/>
        <rFont val="Calibri"/>
        <family val="2"/>
      </rPr>
      <t>ΔP</t>
    </r>
    <r>
      <rPr>
        <vertAlign val="subscript"/>
        <sz val="10"/>
        <color theme="1"/>
        <rFont val="Calibri"/>
        <family val="2"/>
      </rPr>
      <t>Elev</t>
    </r>
  </si>
  <si>
    <r>
      <t xml:space="preserve"> dP</t>
    </r>
    <r>
      <rPr>
        <vertAlign val="subscript"/>
        <sz val="10"/>
        <color theme="1"/>
        <rFont val="Calibri"/>
        <family val="2"/>
        <scheme val="minor"/>
      </rPr>
      <t>pump</t>
    </r>
    <r>
      <rPr>
        <sz val="10"/>
        <color theme="1"/>
        <rFont val="Calibri"/>
        <family val="2"/>
        <scheme val="minor"/>
      </rPr>
      <t xml:space="preserve"> = dP</t>
    </r>
  </si>
  <si>
    <t>Annual O&amp;M Costs</t>
  </si>
  <si>
    <r>
      <t>d = Pipe_Size(d</t>
    </r>
    <r>
      <rPr>
        <vertAlign val="subscript"/>
        <sz val="10"/>
        <color theme="1"/>
        <rFont val="Calibri"/>
        <family val="2"/>
        <scheme val="minor"/>
      </rPr>
      <t>min</t>
    </r>
    <r>
      <rPr>
        <sz val="10"/>
        <color theme="1"/>
        <rFont val="Calibri"/>
        <family val="2"/>
        <scheme val="minor"/>
      </rPr>
      <t>)</t>
    </r>
  </si>
  <si>
    <r>
      <t>P</t>
    </r>
    <r>
      <rPr>
        <vertAlign val="subscript"/>
        <sz val="10"/>
        <color theme="1"/>
        <rFont val="Calibri"/>
        <family val="2"/>
        <scheme val="minor"/>
      </rPr>
      <t>ave</t>
    </r>
  </si>
  <si>
    <r>
      <t>P</t>
    </r>
    <r>
      <rPr>
        <vertAlign val="subscript"/>
        <sz val="10"/>
        <color theme="1"/>
        <rFont val="Calibri"/>
        <family val="2"/>
        <scheme val="minor"/>
      </rPr>
      <t>ave</t>
    </r>
    <r>
      <rPr>
        <sz val="10"/>
        <color theme="1"/>
        <rFont val="Calibri"/>
        <family val="2"/>
        <scheme val="minor"/>
      </rPr>
      <t xml:space="preserve"> = 0.5 * (P</t>
    </r>
    <r>
      <rPr>
        <vertAlign val="subscript"/>
        <sz val="10"/>
        <color theme="1"/>
        <rFont val="Calibri"/>
        <family val="2"/>
        <scheme val="minor"/>
      </rPr>
      <t>in</t>
    </r>
    <r>
      <rPr>
        <sz val="10"/>
        <color theme="1"/>
        <rFont val="Calibri"/>
        <family val="2"/>
        <scheme val="minor"/>
      </rPr>
      <t>+P</t>
    </r>
    <r>
      <rPr>
        <vertAlign val="subscript"/>
        <sz val="10"/>
        <color theme="1"/>
        <rFont val="Calibri"/>
        <family val="2"/>
        <scheme val="minor"/>
      </rPr>
      <t>out</t>
    </r>
    <r>
      <rPr>
        <sz val="10"/>
        <color theme="1"/>
        <rFont val="Calibri"/>
        <family val="2"/>
        <scheme val="minor"/>
      </rPr>
      <t>)</t>
    </r>
  </si>
  <si>
    <r>
      <t>E</t>
    </r>
    <r>
      <rPr>
        <vertAlign val="subscript"/>
        <sz val="10"/>
        <color theme="1"/>
        <rFont val="Calibri"/>
        <family val="2"/>
        <scheme val="minor"/>
      </rPr>
      <t>pump_elec</t>
    </r>
  </si>
  <si>
    <t>Electric energy needed for pumping</t>
  </si>
  <si>
    <t>Equations</t>
  </si>
  <si>
    <t>Comments</t>
  </si>
  <si>
    <r>
      <t>C</t>
    </r>
    <r>
      <rPr>
        <vertAlign val="subscript"/>
        <sz val="10"/>
        <color theme="1"/>
        <rFont val="Calibri"/>
        <family val="2"/>
        <scheme val="minor"/>
      </rPr>
      <t>pipe_mi</t>
    </r>
  </si>
  <si>
    <r>
      <t>C</t>
    </r>
    <r>
      <rPr>
        <vertAlign val="subscript"/>
        <sz val="10"/>
        <color theme="1"/>
        <rFont val="Calibri"/>
        <family val="2"/>
        <scheme val="minor"/>
      </rPr>
      <t>pipe</t>
    </r>
  </si>
  <si>
    <r>
      <t>C</t>
    </r>
    <r>
      <rPr>
        <vertAlign val="subscript"/>
        <sz val="10"/>
        <color theme="1"/>
        <rFont val="Calibri"/>
        <family val="2"/>
        <scheme val="minor"/>
      </rPr>
      <t>pipe</t>
    </r>
    <r>
      <rPr>
        <sz val="10"/>
        <color theme="1"/>
        <rFont val="Calibri"/>
        <family val="2"/>
        <scheme val="minor"/>
      </rPr>
      <t xml:space="preserve"> = C</t>
    </r>
    <r>
      <rPr>
        <vertAlign val="subscript"/>
        <sz val="10"/>
        <color theme="1"/>
        <rFont val="Calibri"/>
        <family val="2"/>
        <scheme val="minor"/>
      </rPr>
      <t>pipe_mi</t>
    </r>
    <r>
      <rPr>
        <sz val="10"/>
        <color theme="1"/>
        <rFont val="Calibri"/>
        <family val="2"/>
        <scheme val="minor"/>
      </rPr>
      <t xml:space="preserve"> * L</t>
    </r>
    <r>
      <rPr>
        <vertAlign val="subscript"/>
        <sz val="10"/>
        <color theme="1"/>
        <rFont val="Calibri"/>
        <family val="2"/>
        <scheme val="minor"/>
      </rPr>
      <t>PL</t>
    </r>
  </si>
  <si>
    <r>
      <t>W</t>
    </r>
    <r>
      <rPr>
        <vertAlign val="subscript"/>
        <sz val="10"/>
        <color theme="1"/>
        <rFont val="Calibri"/>
        <family val="2"/>
        <scheme val="minor"/>
      </rPr>
      <t>pump</t>
    </r>
  </si>
  <si>
    <r>
      <t>W</t>
    </r>
    <r>
      <rPr>
        <vertAlign val="subscript"/>
        <sz val="10"/>
        <color theme="1"/>
        <rFont val="Calibri"/>
        <family val="2"/>
        <scheme val="minor"/>
      </rPr>
      <t>pump</t>
    </r>
    <r>
      <rPr>
        <sz val="10"/>
        <color theme="1"/>
        <rFont val="Calibri"/>
        <family val="2"/>
        <scheme val="minor"/>
      </rPr>
      <t xml:space="preserve"> = ((1e9 kg/Mt * 1e6 Pa/MPa * 1e-3 kW/W)
      / (365*24*3600 s/yr))
     *q</t>
    </r>
    <r>
      <rPr>
        <vertAlign val="subscript"/>
        <sz val="10"/>
        <color theme="1"/>
        <rFont val="Calibri"/>
        <family val="2"/>
        <scheme val="minor"/>
      </rPr>
      <t>max</t>
    </r>
    <r>
      <rPr>
        <sz val="10"/>
        <color theme="1"/>
        <rFont val="Calibri"/>
        <family val="2"/>
        <scheme val="minor"/>
      </rPr>
      <t>*dP</t>
    </r>
    <r>
      <rPr>
        <vertAlign val="subscript"/>
        <sz val="10"/>
        <color theme="1"/>
        <rFont val="Calibri"/>
        <family val="2"/>
        <scheme val="minor"/>
      </rPr>
      <t>pump</t>
    </r>
    <r>
      <rPr>
        <sz val="10"/>
        <color theme="1"/>
        <rFont val="Calibri"/>
        <family val="2"/>
        <scheme val="minor"/>
      </rPr>
      <t>/(η</t>
    </r>
    <r>
      <rPr>
        <vertAlign val="subscript"/>
        <sz val="10"/>
        <color theme="1"/>
        <rFont val="Calibri"/>
        <family val="2"/>
        <scheme val="minor"/>
      </rPr>
      <t>pump</t>
    </r>
    <r>
      <rPr>
        <sz val="10"/>
        <color theme="1"/>
        <rFont val="Calibri"/>
        <family val="2"/>
        <scheme val="minor"/>
      </rPr>
      <t>*ρ</t>
    </r>
    <r>
      <rPr>
        <vertAlign val="subscript"/>
        <sz val="10"/>
        <color theme="1"/>
        <rFont val="Calibri"/>
        <family val="2"/>
        <scheme val="minor"/>
      </rPr>
      <t>CO2</t>
    </r>
    <r>
      <rPr>
        <sz val="10"/>
        <color theme="1"/>
        <rFont val="Calibri"/>
        <family val="2"/>
        <scheme val="minor"/>
      </rPr>
      <t>)</t>
    </r>
  </si>
  <si>
    <t>See below for model formatting conventions and worksheet descriptions and links.</t>
  </si>
  <si>
    <t>Conventions for text and cell color/style</t>
  </si>
  <si>
    <t>Cell Color Conventions</t>
  </si>
  <si>
    <t>Inputs specified in this cell (Type in this cell)</t>
  </si>
  <si>
    <t>Font Conventions</t>
  </si>
  <si>
    <t>Base font:</t>
  </si>
  <si>
    <t>Calibri 10</t>
  </si>
  <si>
    <t>Hyperlinks to places within the document:</t>
  </si>
  <si>
    <t>Hyperlink Text</t>
  </si>
  <si>
    <t>Tab Name and Color</t>
  </si>
  <si>
    <t>Worksheet Descriptions</t>
  </si>
  <si>
    <r>
      <t>C</t>
    </r>
    <r>
      <rPr>
        <vertAlign val="subscript"/>
        <sz val="10"/>
        <color theme="1"/>
        <rFont val="Calibri"/>
        <family val="2"/>
        <scheme val="minor"/>
      </rPr>
      <t>pump_fix</t>
    </r>
  </si>
  <si>
    <r>
      <t>c</t>
    </r>
    <r>
      <rPr>
        <vertAlign val="subscript"/>
        <sz val="10"/>
        <color theme="1"/>
        <rFont val="Calibri"/>
        <family val="2"/>
        <scheme val="minor"/>
      </rPr>
      <t>pump_var</t>
    </r>
  </si>
  <si>
    <t>Fixed costs</t>
  </si>
  <si>
    <t>Variable costs</t>
  </si>
  <si>
    <r>
      <t>CA</t>
    </r>
    <r>
      <rPr>
        <vertAlign val="subscript"/>
        <sz val="10"/>
        <color theme="1"/>
        <rFont val="Calibri"/>
        <family val="2"/>
        <scheme val="minor"/>
      </rPr>
      <t>OPEX</t>
    </r>
  </si>
  <si>
    <r>
      <t>c</t>
    </r>
    <r>
      <rPr>
        <vertAlign val="subscript"/>
        <sz val="10"/>
        <color theme="1"/>
        <rFont val="Calibri"/>
        <family val="2"/>
        <scheme val="minor"/>
      </rPr>
      <t>Elec</t>
    </r>
  </si>
  <si>
    <r>
      <t>CA</t>
    </r>
    <r>
      <rPr>
        <vertAlign val="subscript"/>
        <sz val="10"/>
        <color theme="1"/>
        <rFont val="Calibri"/>
        <family val="2"/>
        <scheme val="minor"/>
      </rPr>
      <t>Elec</t>
    </r>
    <r>
      <rPr>
        <sz val="10"/>
        <color theme="1"/>
        <rFont val="Calibri"/>
        <family val="2"/>
        <scheme val="minor"/>
      </rPr>
      <t xml:space="preserve"> </t>
    </r>
  </si>
  <si>
    <r>
      <t>CA</t>
    </r>
    <r>
      <rPr>
        <vertAlign val="subscript"/>
        <sz val="10"/>
        <color theme="1"/>
        <rFont val="Calibri"/>
        <family val="2"/>
        <scheme val="minor"/>
      </rPr>
      <t>Elec</t>
    </r>
    <r>
      <rPr>
        <sz val="10"/>
        <color theme="1"/>
        <rFont val="Calibri"/>
        <family val="2"/>
        <scheme val="minor"/>
      </rPr>
      <t xml:space="preserve"> = E</t>
    </r>
    <r>
      <rPr>
        <vertAlign val="subscript"/>
        <sz val="10"/>
        <color theme="1"/>
        <rFont val="Calibri"/>
        <family val="2"/>
        <scheme val="minor"/>
      </rPr>
      <t>pump_elec</t>
    </r>
    <r>
      <rPr>
        <sz val="10"/>
        <color theme="1"/>
        <rFont val="Calibri"/>
        <family val="2"/>
        <scheme val="minor"/>
      </rPr>
      <t>*c</t>
    </r>
    <r>
      <rPr>
        <vertAlign val="subscript"/>
        <sz val="10"/>
        <color theme="1"/>
        <rFont val="Calibri"/>
        <family val="2"/>
        <scheme val="minor"/>
      </rPr>
      <t>Elec</t>
    </r>
  </si>
  <si>
    <r>
      <t xml:space="preserve"> CA</t>
    </r>
    <r>
      <rPr>
        <vertAlign val="subscript"/>
        <sz val="10"/>
        <color theme="1"/>
        <rFont val="Calibri"/>
        <family val="2"/>
        <scheme val="minor"/>
      </rPr>
      <t>OPEX</t>
    </r>
    <r>
      <rPr>
        <sz val="10"/>
        <color theme="1"/>
        <rFont val="Calibri"/>
        <family val="2"/>
        <scheme val="minor"/>
      </rPr>
      <t xml:space="preserve"> = CA</t>
    </r>
    <r>
      <rPr>
        <vertAlign val="subscript"/>
        <sz val="10"/>
        <color theme="1"/>
        <rFont val="Calibri"/>
        <family val="2"/>
        <scheme val="minor"/>
      </rPr>
      <t>Gen_O&amp;M</t>
    </r>
    <r>
      <rPr>
        <sz val="10"/>
        <color theme="1"/>
        <rFont val="Calibri"/>
        <family val="2"/>
        <scheme val="minor"/>
      </rPr>
      <t xml:space="preserve"> + CA</t>
    </r>
    <r>
      <rPr>
        <vertAlign val="subscript"/>
        <sz val="10"/>
        <color theme="1"/>
        <rFont val="Calibri"/>
        <family val="2"/>
        <scheme val="minor"/>
      </rPr>
      <t>Elec</t>
    </r>
  </si>
  <si>
    <t>Approx. 1 t/hr of CO2 is produced from 1 MW of coal fired generation</t>
  </si>
  <si>
    <r>
      <t>C</t>
    </r>
    <r>
      <rPr>
        <vertAlign val="subscript"/>
        <sz val="10"/>
        <color theme="1"/>
        <rFont val="Calibri"/>
        <family val="2"/>
        <scheme val="minor"/>
      </rPr>
      <t>pump_tot</t>
    </r>
    <r>
      <rPr>
        <sz val="10"/>
        <color theme="1"/>
        <rFont val="Calibri"/>
        <family val="2"/>
        <scheme val="minor"/>
      </rPr>
      <t xml:space="preserve"> = n</t>
    </r>
    <r>
      <rPr>
        <vertAlign val="subscript"/>
        <sz val="10"/>
        <color theme="1"/>
        <rFont val="Calibri"/>
        <family val="2"/>
        <scheme val="minor"/>
      </rPr>
      <t>pump</t>
    </r>
    <r>
      <rPr>
        <sz val="10"/>
        <color theme="1"/>
        <rFont val="Calibri"/>
        <family val="2"/>
        <scheme val="minor"/>
      </rPr>
      <t xml:space="preserve"> * C</t>
    </r>
    <r>
      <rPr>
        <vertAlign val="subscript"/>
        <sz val="10"/>
        <color theme="1"/>
        <rFont val="Calibri"/>
        <family val="2"/>
        <scheme val="minor"/>
      </rPr>
      <t>pump</t>
    </r>
  </si>
  <si>
    <t xml:space="preserve"> </t>
  </si>
  <si>
    <t>Table 1</t>
  </si>
  <si>
    <t>Financial Inputs</t>
  </si>
  <si>
    <t>Definition</t>
  </si>
  <si>
    <t>Percent Equity</t>
  </si>
  <si>
    <t>Escalation Rate</t>
  </si>
  <si>
    <t>tonne/yr</t>
  </si>
  <si>
    <t>Table 2</t>
  </si>
  <si>
    <t>This column contains row sums, where applicable.</t>
  </si>
  <si>
    <t>Calendar Year</t>
  </si>
  <si>
    <t>Project Year</t>
  </si>
  <si>
    <t>Real Costs</t>
  </si>
  <si>
    <t>Escalated Costs</t>
  </si>
  <si>
    <t>Table 3</t>
  </si>
  <si>
    <t>Escalation and Discounting Factors</t>
  </si>
  <si>
    <t>Table 4</t>
  </si>
  <si>
    <t>Table 5</t>
  </si>
  <si>
    <t>Revenues</t>
  </si>
  <si>
    <t>Escalated CO2 Price ($/tonne)</t>
  </si>
  <si>
    <t>Operating Period</t>
  </si>
  <si>
    <t>Total Real Costs</t>
  </si>
  <si>
    <t>Capital Costs</t>
  </si>
  <si>
    <t>Pumps</t>
  </si>
  <si>
    <t>Starting Calendar Year for Project</t>
  </si>
  <si>
    <t>Real Annual Costs</t>
  </si>
  <si>
    <t>Starting Project Year for Operations</t>
  </si>
  <si>
    <t>Ending Project Year for Operations</t>
  </si>
  <si>
    <t>Operating Expenses</t>
  </si>
  <si>
    <t>Project Contingency Factor</t>
  </si>
  <si>
    <t>Capital in Real Dollars</t>
  </si>
  <si>
    <t>Operating Expenses in Real Dollars</t>
  </si>
  <si>
    <t xml:space="preserve">Depreciation </t>
  </si>
  <si>
    <t>Last Project Year for Depreciation</t>
  </si>
  <si>
    <t>Last Project Year for Lending</t>
  </si>
  <si>
    <t>Mtonne/yr</t>
  </si>
  <si>
    <t xml:space="preserve">The inputs are separated into 2 categories. </t>
  </si>
  <si>
    <t>Percent in Year 1</t>
  </si>
  <si>
    <t>Percent in Year 2</t>
  </si>
  <si>
    <t>Percent in Year 3</t>
  </si>
  <si>
    <t>Percent in Year 4</t>
  </si>
  <si>
    <t>Percent in Year 5</t>
  </si>
  <si>
    <t>Operating Expenses, Capital Expenses and Depreciation and Amortization</t>
  </si>
  <si>
    <r>
      <t>Assumes pump boosts pressure from P</t>
    </r>
    <r>
      <rPr>
        <vertAlign val="subscript"/>
        <sz val="10"/>
        <color theme="1"/>
        <rFont val="Calibri"/>
        <family val="2"/>
        <scheme val="minor"/>
      </rPr>
      <t>out</t>
    </r>
    <r>
      <rPr>
        <sz val="10"/>
        <color theme="1"/>
        <rFont val="Calibri"/>
        <family val="2"/>
        <scheme val="minor"/>
      </rPr>
      <t xml:space="preserve"> to P</t>
    </r>
    <r>
      <rPr>
        <vertAlign val="subscript"/>
        <sz val="10"/>
        <color theme="1"/>
        <rFont val="Calibri"/>
        <family val="2"/>
        <scheme val="minor"/>
      </rPr>
      <t>in</t>
    </r>
  </si>
  <si>
    <t>Massachusetts Institue of Technology (MIT), 2009. "Carbon Management GIS: CO2 Pipeline Transport Cost Estimation," Carbon Capture and Sequestration Technologies Program, published in October 2006, updated in June 2009, developed for NETL, USDOE, http://www.canadiancleanpowercoalition.com/pdf/CTS12%20-%20Transport.pdf.</t>
  </si>
  <si>
    <t>Heddle, G., H. Herzog and M. Klett, 2003. "The Economics of CO2 Storage," Laboratory for Energy and the Environment, Massachusetts Institue of Technology, http://sequestration.mit.edu/pdf/LFEE_2003-003_RP.pdf.</t>
  </si>
  <si>
    <t>McCollum, D.L. and J.M. Ogden, 2006. "Techno-Economic Models for Carbon Dioxide Compression, Transport and Storage &amp; Correlations for Estimating Carbon Dioxide Density and Viscosity," Institute of Transportation Studies, University of California, Davis, report number UCD-ITS-RR-06-14, http://pubs.its.ucdavis.edu/download_pdf.php?id=1047.</t>
  </si>
  <si>
    <t>Morgan, D., 2011. "Properties of Supercritical Carbon Dioxide as Functions of Pressure and Temperature Implemented in Visual Basic", National Energy Technology Laboratory, U.S. Department of Energy, September 23, 2011 (draft).</t>
  </si>
  <si>
    <t>ICF International, 2009b. "Natural Gas Pipeline and Storage Infrastructure Projections Through 2030,"  prepared for The INGAA Foundation, Inc., report number F-2009-04, February, http://www.ingaa.org/Foundation/Foundation-Reports/Studies/7828/9115.aspx.</t>
  </si>
  <si>
    <t>Cost factor from McCollum and Ogden (2006)</t>
  </si>
  <si>
    <t>Best professional judgement.</t>
  </si>
  <si>
    <t>Ground temperature</t>
  </si>
  <si>
    <t>Pressure leaving source</t>
  </si>
  <si>
    <t>Pump efficiency from McCollum and Ogden (2006)</t>
  </si>
  <si>
    <t>kg/m3</t>
  </si>
  <si>
    <t>Note</t>
  </si>
  <si>
    <t>Inputs entered on this worksheet</t>
  </si>
  <si>
    <t>Summary of Costs</t>
  </si>
  <si>
    <t>Total Costs</t>
  </si>
  <si>
    <t>Present Value</t>
  </si>
  <si>
    <t>Escalated and Discounted Costs (only used for reporting purposes)</t>
  </si>
  <si>
    <t>Energy Information Agency (EIA), 2013. "Table 5.3. Average Retail Price of Electricity to Ultimate Customers: Total by End-Use Sector, 2003 - January 2013 (Cents per Kilowatthour)," downloaded from the internet at http://www.eia.gov/electricity/monthly/epm_table_grapher.cfm?t=epmt_5_3.</t>
  </si>
  <si>
    <r>
      <t>Materials (C</t>
    </r>
    <r>
      <rPr>
        <vertAlign val="subscript"/>
        <sz val="10"/>
        <color theme="1"/>
        <rFont val="Calibri"/>
        <family val="2"/>
        <scheme val="minor"/>
      </rPr>
      <t>mat_mi</t>
    </r>
    <r>
      <rPr>
        <sz val="10"/>
        <color theme="1"/>
        <rFont val="Calibri"/>
        <family val="2"/>
        <scheme val="minor"/>
      </rPr>
      <t>)</t>
    </r>
  </si>
  <si>
    <r>
      <t>Labor (C</t>
    </r>
    <r>
      <rPr>
        <vertAlign val="subscript"/>
        <sz val="10"/>
        <color theme="1"/>
        <rFont val="Calibri"/>
        <family val="2"/>
        <scheme val="minor"/>
      </rPr>
      <t>lab_mi</t>
    </r>
    <r>
      <rPr>
        <sz val="10"/>
        <color theme="1"/>
        <rFont val="Calibri"/>
        <family val="2"/>
        <scheme val="minor"/>
      </rPr>
      <t>)</t>
    </r>
  </si>
  <si>
    <r>
      <t>ROW-Damages (C</t>
    </r>
    <r>
      <rPr>
        <vertAlign val="subscript"/>
        <sz val="10"/>
        <color theme="1"/>
        <rFont val="Calibri"/>
        <family val="2"/>
        <scheme val="minor"/>
      </rPr>
      <t>ROW_mi</t>
    </r>
    <r>
      <rPr>
        <sz val="10"/>
        <color theme="1"/>
        <rFont val="Calibri"/>
        <family val="2"/>
        <scheme val="minor"/>
      </rPr>
      <t>)</t>
    </r>
  </si>
  <si>
    <r>
      <t>Miscellaneous (C</t>
    </r>
    <r>
      <rPr>
        <vertAlign val="subscript"/>
        <sz val="10"/>
        <color theme="1"/>
        <rFont val="Calibri"/>
        <family val="2"/>
        <scheme val="minor"/>
      </rPr>
      <t>misc_mi</t>
    </r>
    <r>
      <rPr>
        <sz val="10"/>
        <color theme="1"/>
        <rFont val="Calibri"/>
        <family val="2"/>
        <scheme val="minor"/>
      </rPr>
      <t>)</t>
    </r>
  </si>
  <si>
    <r>
      <t>C</t>
    </r>
    <r>
      <rPr>
        <vertAlign val="subscript"/>
        <sz val="10"/>
        <color theme="1"/>
        <rFont val="Calibri"/>
        <family val="2"/>
        <scheme val="minor"/>
      </rPr>
      <t>pipe_mi</t>
    </r>
    <r>
      <rPr>
        <sz val="10"/>
        <color theme="1"/>
        <rFont val="Calibri"/>
        <family val="2"/>
        <scheme val="minor"/>
      </rPr>
      <t xml:space="preserve"> = C</t>
    </r>
    <r>
      <rPr>
        <vertAlign val="subscript"/>
        <sz val="10"/>
        <color theme="1"/>
        <rFont val="Calibri"/>
        <family val="2"/>
        <scheme val="minor"/>
      </rPr>
      <t>mat_mi</t>
    </r>
    <r>
      <rPr>
        <sz val="10"/>
        <color theme="1"/>
        <rFont val="Calibri"/>
        <family val="2"/>
        <scheme val="minor"/>
      </rPr>
      <t xml:space="preserve"> + C</t>
    </r>
    <r>
      <rPr>
        <vertAlign val="subscript"/>
        <sz val="10"/>
        <color theme="1"/>
        <rFont val="Calibri"/>
        <family val="2"/>
        <scheme val="minor"/>
      </rPr>
      <t>lab_mi</t>
    </r>
    <r>
      <rPr>
        <sz val="10"/>
        <color theme="1"/>
        <rFont val="Calibri"/>
        <family val="2"/>
        <scheme val="minor"/>
      </rPr>
      <t xml:space="preserve"> + C</t>
    </r>
    <r>
      <rPr>
        <vertAlign val="subscript"/>
        <sz val="10"/>
        <color theme="1"/>
        <rFont val="Calibri"/>
        <family val="2"/>
        <scheme val="minor"/>
      </rPr>
      <t>ROW_mi</t>
    </r>
    <r>
      <rPr>
        <sz val="10"/>
        <color theme="1"/>
        <rFont val="Calibri"/>
        <family val="2"/>
        <scheme val="minor"/>
      </rPr>
      <t xml:space="preserve"> + C</t>
    </r>
    <r>
      <rPr>
        <vertAlign val="subscript"/>
        <sz val="10"/>
        <color theme="1"/>
        <rFont val="Calibri"/>
        <family val="2"/>
        <scheme val="minor"/>
      </rPr>
      <t>misc_mi</t>
    </r>
  </si>
  <si>
    <t>Key Outputs</t>
  </si>
  <si>
    <t>Net Present Value (NPV) of Cash to Owners</t>
  </si>
  <si>
    <t>tonnes/project</t>
  </si>
  <si>
    <r>
      <t>q</t>
    </r>
    <r>
      <rPr>
        <vertAlign val="subscript"/>
        <sz val="10"/>
        <color theme="1"/>
        <rFont val="Calibri"/>
        <family val="2"/>
        <scheme val="minor"/>
      </rPr>
      <t>max</t>
    </r>
    <r>
      <rPr>
        <sz val="10"/>
        <color theme="1"/>
        <rFont val="Calibri"/>
        <family val="2"/>
        <scheme val="minor"/>
      </rPr>
      <t xml:space="preserve"> = q</t>
    </r>
    <r>
      <rPr>
        <vertAlign val="subscript"/>
        <sz val="10"/>
        <color theme="1"/>
        <rFont val="Calibri"/>
        <family val="2"/>
        <scheme val="minor"/>
      </rPr>
      <t>av</t>
    </r>
    <r>
      <rPr>
        <sz val="10"/>
        <color theme="1"/>
        <rFont val="Calibri"/>
        <family val="2"/>
        <scheme val="minor"/>
      </rPr>
      <t xml:space="preserve"> / CF</t>
    </r>
  </si>
  <si>
    <t>Inputs</t>
  </si>
  <si>
    <t>Other Inputs</t>
  </si>
  <si>
    <t>See sheet "Main"</t>
  </si>
  <si>
    <t>ICF International, 2009a. "Developing a Pipeline Infrastructure for CO2 Capture and Storage: Issues and Challenges,"  prepared for The INGAA Foundation, Inc., report number F-2009-01, February, http://www.ingaa.org/Foundation/Foundation-Reports/Studies/7626/8230.aspx</t>
  </si>
  <si>
    <t>Main</t>
  </si>
  <si>
    <t>Eng Mod</t>
  </si>
  <si>
    <t>PL Pressure Relation</t>
  </si>
  <si>
    <t>Go To Main Sheet</t>
  </si>
  <si>
    <t>Go To Eng Mod Sheet</t>
  </si>
  <si>
    <t>Go To PL Pressure Relation Sheet</t>
  </si>
  <si>
    <t>The main interface and financial module of the model.</t>
  </si>
  <si>
    <t>Data for developing a factor to translate natural gas pipeline capital costs to CO2 pipeline capital costs</t>
  </si>
  <si>
    <t>First Year Price</t>
  </si>
  <si>
    <t>No. of pumps with</t>
  </si>
  <si>
    <t>lowest price</t>
  </si>
  <si>
    <t>Method for calculating inside diameter</t>
  </si>
  <si>
    <t>Inputs or outputs taken from another sheet (e.g., "Eng Mod")</t>
  </si>
  <si>
    <t>CO2 Surge Tank</t>
  </si>
  <si>
    <r>
      <t>C</t>
    </r>
    <r>
      <rPr>
        <vertAlign val="subscript"/>
        <sz val="10"/>
        <color theme="1"/>
        <rFont val="Calibri"/>
        <family val="2"/>
        <scheme val="minor"/>
      </rPr>
      <t>s_tank</t>
    </r>
  </si>
  <si>
    <t>NETL, 2010. "Quality Guidelines for Energy Systems Studies-Estimating Carbon Dioxide Transport and Storage Costs", National Energy Technology Laboratory (NETL), United States Department of Energy, DOE/NETL-2010/1447, March.</t>
  </si>
  <si>
    <t>Pipeline Cost</t>
  </si>
  <si>
    <t>Total Additional Pipeline Related Costs</t>
  </si>
  <si>
    <r>
      <t>C</t>
    </r>
    <r>
      <rPr>
        <vertAlign val="subscript"/>
        <sz val="10"/>
        <color theme="1"/>
        <rFont val="Calibri"/>
        <family val="2"/>
        <scheme val="minor"/>
      </rPr>
      <t>pipe_tot</t>
    </r>
  </si>
  <si>
    <t>Pipeline Control System</t>
  </si>
  <si>
    <r>
      <t>C</t>
    </r>
    <r>
      <rPr>
        <vertAlign val="subscript"/>
        <sz val="10"/>
        <color theme="1"/>
        <rFont val="Calibri"/>
        <family val="2"/>
        <scheme val="minor"/>
      </rPr>
      <t>pcon</t>
    </r>
  </si>
  <si>
    <t>CO2 Surge Tanks</t>
  </si>
  <si>
    <t>interest rate</t>
  </si>
  <si>
    <t>years</t>
  </si>
  <si>
    <t>year number</t>
  </si>
  <si>
    <t>Calculated Minimum Inner Diameter for Pipe</t>
  </si>
  <si>
    <t>Price to Transport CO2 by Pipeline</t>
  </si>
  <si>
    <t>The color scheme for cells has the following meaning.</t>
  </si>
  <si>
    <t>Inputs (i.e., numbers or text)</t>
  </si>
  <si>
    <t>Pressure at storage site (CO2 critical pressure: 1,057 psig or 7.39 MPa)</t>
  </si>
  <si>
    <t>Do Not Delete These Tables!!!!</t>
  </si>
  <si>
    <r>
      <t>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</si>
  <si>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r>
      <t>v</t>
    </r>
    <r>
      <rPr>
        <vertAlign val="subscript"/>
        <sz val="10"/>
        <color theme="1"/>
        <rFont val="Calibri"/>
        <family val="2"/>
        <scheme val="minor"/>
      </rPr>
      <t>CO2-init</t>
    </r>
    <r>
      <rPr>
        <sz val="10"/>
        <color theme="1"/>
        <rFont val="Calibri"/>
        <family val="2"/>
        <scheme val="minor"/>
      </rPr>
      <t xml:space="preserve"> is initial guess at molar volume of CO2 (m3/mol)</t>
    </r>
  </si>
  <si>
    <t>Minimum Inside Diameter (McCollum)</t>
  </si>
  <si>
    <t>Minimum Inside Diameter (MIT)</t>
  </si>
  <si>
    <t>Minimum Inside Diameter (McCoy)</t>
  </si>
  <si>
    <t>Pipeline diameter based on method of McCollum and Ogden (2006)</t>
  </si>
  <si>
    <t>Pipeline diameter based on method of MIT (2009) and Heddle et al. (2003)</t>
  </si>
  <si>
    <t>Pipeline diameter based on method of McCoy and Rubin (2008)</t>
  </si>
  <si>
    <t>Standard size pipe diameter using selected minimum pipe diameter</t>
  </si>
  <si>
    <t>Based on pump power equation from McCollum and Ogden (2006)</t>
  </si>
  <si>
    <t>Selected Inside Diameter</t>
  </si>
  <si>
    <r>
      <t>d</t>
    </r>
    <r>
      <rPr>
        <vertAlign val="subscript"/>
        <sz val="10"/>
        <color theme="1"/>
        <rFont val="Calibri"/>
        <family val="2"/>
        <scheme val="minor"/>
      </rPr>
      <t>min-McCollum</t>
    </r>
  </si>
  <si>
    <r>
      <t>d</t>
    </r>
    <r>
      <rPr>
        <vertAlign val="subscript"/>
        <sz val="10"/>
        <color theme="1"/>
        <rFont val="Calibri"/>
        <family val="2"/>
        <scheme val="minor"/>
      </rPr>
      <t>min-MIT</t>
    </r>
  </si>
  <si>
    <r>
      <t>d</t>
    </r>
    <r>
      <rPr>
        <vertAlign val="subscript"/>
        <sz val="10"/>
        <color theme="1"/>
        <rFont val="Calibri"/>
        <family val="2"/>
        <scheme val="minor"/>
      </rPr>
      <t>min-McCoy</t>
    </r>
  </si>
  <si>
    <r>
      <t>d</t>
    </r>
    <r>
      <rPr>
        <vertAlign val="subscript"/>
        <sz val="10"/>
        <color theme="1"/>
        <rFont val="Calibri"/>
        <family val="2"/>
        <scheme val="minor"/>
      </rPr>
      <t>Meth</t>
    </r>
  </si>
  <si>
    <r>
      <t>d</t>
    </r>
    <r>
      <rPr>
        <vertAlign val="subscript"/>
        <sz val="10"/>
        <color theme="1"/>
        <rFont val="Calibri"/>
        <family val="2"/>
        <scheme val="minor"/>
      </rPr>
      <t>min-McCollum</t>
    </r>
    <r>
      <rPr>
        <sz val="10"/>
        <color theme="1"/>
        <rFont val="Calibri"/>
        <family val="2"/>
        <scheme val="minor"/>
      </rPr>
      <t xml:space="preserve"> = Pipe_Dia(…..)</t>
    </r>
  </si>
  <si>
    <r>
      <t>d</t>
    </r>
    <r>
      <rPr>
        <vertAlign val="subscript"/>
        <sz val="10"/>
        <color theme="1"/>
        <rFont val="Calibri"/>
        <family val="2"/>
        <scheme val="minor"/>
      </rPr>
      <t>min-MIT</t>
    </r>
    <r>
      <rPr>
        <sz val="10"/>
        <color theme="1"/>
        <rFont val="Calibri"/>
        <family val="2"/>
        <scheme val="minor"/>
      </rPr>
      <t xml:space="preserve"> = Pipe_Dia(…..)</t>
    </r>
  </si>
  <si>
    <r>
      <t>d</t>
    </r>
    <r>
      <rPr>
        <vertAlign val="subscript"/>
        <sz val="10"/>
        <color theme="1"/>
        <rFont val="Calibri"/>
        <family val="2"/>
        <scheme val="minor"/>
      </rPr>
      <t>min-McCoy</t>
    </r>
    <r>
      <rPr>
        <sz val="10"/>
        <color theme="1"/>
        <rFont val="Calibri"/>
        <family val="2"/>
        <scheme val="minor"/>
      </rPr>
      <t xml:space="preserve"> = Pipe_Dia(…..)</t>
    </r>
  </si>
  <si>
    <r>
      <t>d</t>
    </r>
    <r>
      <rPr>
        <vertAlign val="subscript"/>
        <sz val="10"/>
        <color theme="1"/>
        <rFont val="Calibri"/>
        <family val="2"/>
        <scheme val="minor"/>
      </rPr>
      <t>min</t>
    </r>
    <r>
      <rPr>
        <sz val="10"/>
        <color theme="1"/>
        <rFont val="Calibri"/>
        <family val="2"/>
        <scheme val="minor"/>
      </rPr>
      <t xml:space="preserve"> depends on d</t>
    </r>
    <r>
      <rPr>
        <vertAlign val="subscript"/>
        <sz val="10"/>
        <color theme="1"/>
        <rFont val="Calibri"/>
        <family val="2"/>
        <scheme val="minor"/>
      </rPr>
      <t>Meth</t>
    </r>
  </si>
  <si>
    <t>Source: EIA, 2013 (electricity price for commercial sector)</t>
  </si>
  <si>
    <t>Inside Diameter (in)</t>
  </si>
  <si>
    <t>2005$</t>
  </si>
  <si>
    <t>NE</t>
  </si>
  <si>
    <t>Northeast</t>
  </si>
  <si>
    <t>Southeast</t>
  </si>
  <si>
    <t>Midwest</t>
  </si>
  <si>
    <t>Southwest</t>
  </si>
  <si>
    <t>Canada</t>
  </si>
  <si>
    <t>S</t>
  </si>
  <si>
    <t>SE</t>
  </si>
  <si>
    <t>MW</t>
  </si>
  <si>
    <t>SW</t>
  </si>
  <si>
    <t>West</t>
  </si>
  <si>
    <t>Can</t>
  </si>
  <si>
    <t>ROW</t>
  </si>
  <si>
    <t>From McCoy</t>
  </si>
  <si>
    <t>Pmop</t>
  </si>
  <si>
    <t>maximum operating pressure</t>
  </si>
  <si>
    <t>Specified minimum yield stress</t>
  </si>
  <si>
    <t>E</t>
  </si>
  <si>
    <t>Longitudinal joint factor</t>
  </si>
  <si>
    <t>Design factor</t>
  </si>
  <si>
    <t>F</t>
  </si>
  <si>
    <t>Pipe Outside Diameter</t>
  </si>
  <si>
    <t>Pipe Inside Diameter</t>
  </si>
  <si>
    <t>Wall Thickness</t>
  </si>
  <si>
    <t>Do Not Delete This Table!!!!</t>
  </si>
  <si>
    <t>Cells directly referencing other sheets</t>
  </si>
  <si>
    <t>Region</t>
  </si>
  <si>
    <t>Cen</t>
  </si>
  <si>
    <t>Central</t>
  </si>
  <si>
    <t>Region of US or Canada</t>
  </si>
  <si>
    <t>Categories for Regions of US or Canada</t>
  </si>
  <si>
    <t>Cen=Central US, NE=Northeast US, SE=Southeast US, MW=Midwest US, SW=Southwest US, West=West US, Can= Canada</t>
  </si>
  <si>
    <r>
      <t>Materials (C</t>
    </r>
    <r>
      <rPr>
        <vertAlign val="subscript"/>
        <sz val="10"/>
        <color theme="1"/>
        <rFont val="Calibri"/>
        <family val="2"/>
        <scheme val="minor"/>
      </rPr>
      <t>mat_NG_rui__mi</t>
    </r>
    <r>
      <rPr>
        <sz val="10"/>
        <color theme="1"/>
        <rFont val="Calibri"/>
        <family val="2"/>
        <scheme val="minor"/>
      </rPr>
      <t>)</t>
    </r>
  </si>
  <si>
    <r>
      <t>Labor (C</t>
    </r>
    <r>
      <rPr>
        <vertAlign val="subscript"/>
        <sz val="10"/>
        <color theme="1"/>
        <rFont val="Calibri"/>
        <family val="2"/>
        <scheme val="minor"/>
      </rPr>
      <t>lab_NG_rui_mi</t>
    </r>
    <r>
      <rPr>
        <sz val="10"/>
        <color theme="1"/>
        <rFont val="Calibri"/>
        <family val="2"/>
        <scheme val="minor"/>
      </rPr>
      <t>)</t>
    </r>
  </si>
  <si>
    <r>
      <t>ROW-Damages (C</t>
    </r>
    <r>
      <rPr>
        <vertAlign val="subscript"/>
        <sz val="10"/>
        <color theme="1"/>
        <rFont val="Calibri"/>
        <family val="2"/>
        <scheme val="minor"/>
      </rPr>
      <t>ROW_NG_rui_mi</t>
    </r>
    <r>
      <rPr>
        <sz val="10"/>
        <color theme="1"/>
        <rFont val="Calibri"/>
        <family val="2"/>
        <scheme val="minor"/>
      </rPr>
      <t>)</t>
    </r>
  </si>
  <si>
    <r>
      <t>Miscellaneous (C</t>
    </r>
    <r>
      <rPr>
        <vertAlign val="subscript"/>
        <sz val="10"/>
        <color theme="1"/>
        <rFont val="Calibri"/>
        <family val="2"/>
        <scheme val="minor"/>
      </rPr>
      <t>misc_NG_rui_mi</t>
    </r>
    <r>
      <rPr>
        <sz val="10"/>
        <color theme="1"/>
        <rFont val="Calibri"/>
        <family val="2"/>
        <scheme val="minor"/>
      </rPr>
      <t>)</t>
    </r>
  </si>
  <si>
    <t>Equations for Natural Gas CAPEX</t>
  </si>
  <si>
    <t>RUI</t>
  </si>
  <si>
    <t>CO2 Pipeline Costs</t>
  </si>
  <si>
    <t>Not used in financial calculations in sheet "Main".</t>
  </si>
  <si>
    <t>Annual pipeline O&amp;M per mile of pipe</t>
  </si>
  <si>
    <t>Annual pipeline O&amp;M</t>
  </si>
  <si>
    <t>Pipeln. rel. equip. &amp; pump CAPEX</t>
  </si>
  <si>
    <r>
      <t>CA</t>
    </r>
    <r>
      <rPr>
        <vertAlign val="subscript"/>
        <sz val="10"/>
        <color theme="1"/>
        <rFont val="Calibri"/>
        <family val="2"/>
        <scheme val="minor"/>
      </rPr>
      <t>pipe_O&amp;M_mi</t>
    </r>
  </si>
  <si>
    <r>
      <t>CA</t>
    </r>
    <r>
      <rPr>
        <vertAlign val="subscript"/>
        <sz val="10"/>
        <color theme="1"/>
        <rFont val="Calibri"/>
        <family val="2"/>
        <scheme val="minor"/>
      </rPr>
      <t>pipe_O&amp;M</t>
    </r>
  </si>
  <si>
    <r>
      <t>CA</t>
    </r>
    <r>
      <rPr>
        <vertAlign val="subscript"/>
        <sz val="10"/>
        <color theme="1"/>
        <rFont val="Calibri"/>
        <family val="2"/>
        <scheme val="minor"/>
      </rPr>
      <t>eq_O&amp;M</t>
    </r>
  </si>
  <si>
    <r>
      <t>C</t>
    </r>
    <r>
      <rPr>
        <vertAlign val="subscript"/>
        <sz val="10"/>
        <color theme="1"/>
        <rFont val="Calibri"/>
        <family val="2"/>
        <scheme val="minor"/>
      </rPr>
      <t>eq_CAPEX</t>
    </r>
  </si>
  <si>
    <r>
      <t>C</t>
    </r>
    <r>
      <rPr>
        <vertAlign val="subscript"/>
        <sz val="10"/>
        <color theme="1"/>
        <rFont val="Calibri"/>
        <family val="2"/>
        <scheme val="minor"/>
      </rPr>
      <t>eq_CAPEX</t>
    </r>
    <r>
      <rPr>
        <sz val="10"/>
        <color theme="1"/>
        <rFont val="Calibri"/>
        <family val="2"/>
        <scheme val="minor"/>
      </rPr>
      <t xml:space="preserve"> = C</t>
    </r>
    <r>
      <rPr>
        <vertAlign val="subscript"/>
        <sz val="10"/>
        <color theme="1"/>
        <rFont val="Calibri"/>
        <family val="2"/>
        <scheme val="minor"/>
      </rPr>
      <t>s_tank</t>
    </r>
    <r>
      <rPr>
        <sz val="10"/>
        <color theme="1"/>
        <rFont val="Calibri"/>
        <family val="2"/>
        <scheme val="minor"/>
      </rPr>
      <t xml:space="preserve"> + C</t>
    </r>
    <r>
      <rPr>
        <vertAlign val="subscript"/>
        <sz val="10"/>
        <color theme="1"/>
        <rFont val="Calibri"/>
        <family val="2"/>
        <scheme val="minor"/>
      </rPr>
      <t>pcon</t>
    </r>
    <r>
      <rPr>
        <sz val="10"/>
        <color theme="1"/>
        <rFont val="Calibri"/>
        <family val="2"/>
        <scheme val="minor"/>
      </rPr>
      <t xml:space="preserve"> + C</t>
    </r>
    <r>
      <rPr>
        <vertAlign val="subscript"/>
        <sz val="10"/>
        <color theme="1"/>
        <rFont val="Calibri"/>
        <family val="2"/>
        <scheme val="minor"/>
      </rPr>
      <t>pump_tot</t>
    </r>
  </si>
  <si>
    <t>Pipeline O&amp;M</t>
  </si>
  <si>
    <r>
      <t>CA</t>
    </r>
    <r>
      <rPr>
        <vertAlign val="subscript"/>
        <sz val="10"/>
        <color theme="1"/>
        <rFont val="Calibri"/>
        <family val="2"/>
        <scheme val="minor"/>
      </rPr>
      <t>pipe_O&amp;M</t>
    </r>
    <r>
      <rPr>
        <sz val="10"/>
        <color theme="1"/>
        <rFont val="Calibri"/>
        <family val="2"/>
        <scheme val="minor"/>
      </rPr>
      <t xml:space="preserve"> = CA</t>
    </r>
    <r>
      <rPr>
        <vertAlign val="subscript"/>
        <sz val="10"/>
        <color theme="1"/>
        <rFont val="Calibri"/>
        <family val="2"/>
        <scheme val="minor"/>
      </rPr>
      <t>pipe_O&amp;M_mi</t>
    </r>
    <r>
      <rPr>
        <sz val="10"/>
        <color theme="1"/>
        <rFont val="Calibri"/>
        <family val="2"/>
        <scheme val="minor"/>
      </rPr>
      <t xml:space="preserve"> * L</t>
    </r>
    <r>
      <rPr>
        <vertAlign val="subscript"/>
        <sz val="10"/>
        <color theme="1"/>
        <rFont val="Calibri"/>
        <family val="2"/>
        <scheme val="minor"/>
      </rPr>
      <t>PL</t>
    </r>
  </si>
  <si>
    <r>
      <t xml:space="preserve"> CA</t>
    </r>
    <r>
      <rPr>
        <vertAlign val="subscript"/>
        <sz val="10"/>
        <color theme="1"/>
        <rFont val="Calibri"/>
        <family val="2"/>
        <scheme val="minor"/>
      </rPr>
      <t>eq_O&amp;M</t>
    </r>
    <r>
      <rPr>
        <sz val="10"/>
        <color theme="1"/>
        <rFont val="Calibri"/>
        <family val="2"/>
        <scheme val="minor"/>
      </rPr>
      <t xml:space="preserve"> = f</t>
    </r>
    <r>
      <rPr>
        <vertAlign val="subscript"/>
        <sz val="10"/>
        <color theme="1"/>
        <rFont val="Calibri"/>
        <family val="2"/>
        <scheme val="minor"/>
      </rPr>
      <t>O&amp;M</t>
    </r>
    <r>
      <rPr>
        <sz val="10"/>
        <color theme="1"/>
        <rFont val="Calibri"/>
        <family val="2"/>
        <scheme val="minor"/>
      </rPr>
      <t>* C</t>
    </r>
    <r>
      <rPr>
        <vertAlign val="subscript"/>
        <sz val="10"/>
        <color theme="1"/>
        <rFont val="Calibri"/>
        <family val="2"/>
        <scheme val="minor"/>
      </rPr>
      <t>eq_CAPEX</t>
    </r>
  </si>
  <si>
    <t>Rui, Z., P. Metz, D. Reynolds, G. Chen and X. Zhou, 2011. Regression Models Estimate Pipeline Construction Costs, Oil &amp; Gas Journal, July 4, 2011, Vol. 109 (14), pg. 120.</t>
  </si>
  <si>
    <t>Rui et al. (2011)</t>
  </si>
  <si>
    <t>Eqtns. to use for CO2 pipeln. CAPEX</t>
  </si>
  <si>
    <t>MCCOY</t>
  </si>
  <si>
    <t>Parker (2004)</t>
  </si>
  <si>
    <t>PARKER</t>
  </si>
  <si>
    <t>McCoy and Rubin (2009)</t>
  </si>
  <si>
    <t>signif. figs. =</t>
  </si>
  <si>
    <t>Category =</t>
  </si>
  <si>
    <t>Tot</t>
  </si>
  <si>
    <t>Diameter (in)</t>
  </si>
  <si>
    <t>Length (mi)</t>
  </si>
  <si>
    <t>Mat</t>
  </si>
  <si>
    <t>Lab</t>
  </si>
  <si>
    <t>Check</t>
  </si>
  <si>
    <r>
      <t>Total (C</t>
    </r>
    <r>
      <rPr>
        <vertAlign val="subscript"/>
        <sz val="10"/>
        <color theme="1"/>
        <rFont val="Calibri"/>
        <family val="2"/>
        <scheme val="minor"/>
      </rPr>
      <t>tot_NG_rui_mi</t>
    </r>
    <r>
      <rPr>
        <sz val="10"/>
        <color theme="1"/>
        <rFont val="Calibri"/>
        <family val="2"/>
        <scheme val="minor"/>
      </rPr>
      <t>)</t>
    </r>
  </si>
  <si>
    <t>2000$/mi</t>
  </si>
  <si>
    <t>Uses user defined function CpParker</t>
  </si>
  <si>
    <r>
      <t>Materials (C</t>
    </r>
    <r>
      <rPr>
        <vertAlign val="subscript"/>
        <sz val="10"/>
        <color theme="1"/>
        <rFont val="Calibri"/>
        <family val="2"/>
        <scheme val="minor"/>
      </rPr>
      <t>mat_NG_park__mi</t>
    </r>
    <r>
      <rPr>
        <sz val="10"/>
        <color theme="1"/>
        <rFont val="Calibri"/>
        <family val="2"/>
        <scheme val="minor"/>
      </rPr>
      <t>)</t>
    </r>
  </si>
  <si>
    <r>
      <t>Labor (C</t>
    </r>
    <r>
      <rPr>
        <vertAlign val="subscript"/>
        <sz val="10"/>
        <color theme="1"/>
        <rFont val="Calibri"/>
        <family val="2"/>
        <scheme val="minor"/>
      </rPr>
      <t>lab_NG_park_mi</t>
    </r>
    <r>
      <rPr>
        <sz val="10"/>
        <color theme="1"/>
        <rFont val="Calibri"/>
        <family val="2"/>
        <scheme val="minor"/>
      </rPr>
      <t>)</t>
    </r>
  </si>
  <si>
    <r>
      <t>ROW-Damages (C</t>
    </r>
    <r>
      <rPr>
        <vertAlign val="subscript"/>
        <sz val="10"/>
        <color theme="1"/>
        <rFont val="Calibri"/>
        <family val="2"/>
        <scheme val="minor"/>
      </rPr>
      <t>ROW_NG_park_mi</t>
    </r>
    <r>
      <rPr>
        <sz val="10"/>
        <color theme="1"/>
        <rFont val="Calibri"/>
        <family val="2"/>
        <scheme val="minor"/>
      </rPr>
      <t>)</t>
    </r>
  </si>
  <si>
    <r>
      <t>Miscellaneous (C</t>
    </r>
    <r>
      <rPr>
        <vertAlign val="subscript"/>
        <sz val="10"/>
        <color theme="1"/>
        <rFont val="Calibri"/>
        <family val="2"/>
        <scheme val="minor"/>
      </rPr>
      <t>misc_NG_park_mi</t>
    </r>
    <r>
      <rPr>
        <sz val="10"/>
        <color theme="1"/>
        <rFont val="Calibri"/>
        <family val="2"/>
        <scheme val="minor"/>
      </rPr>
      <t>)</t>
    </r>
  </si>
  <si>
    <r>
      <t>Total (C</t>
    </r>
    <r>
      <rPr>
        <vertAlign val="subscript"/>
        <sz val="10"/>
        <color theme="1"/>
        <rFont val="Calibri"/>
        <family val="2"/>
        <scheme val="minor"/>
      </rPr>
      <t>tot_NG_park_mi</t>
    </r>
    <r>
      <rPr>
        <sz val="10"/>
        <color theme="1"/>
        <rFont val="Calibri"/>
        <family val="2"/>
        <scheme val="minor"/>
      </rPr>
      <t>)</t>
    </r>
  </si>
  <si>
    <r>
      <t>C</t>
    </r>
    <r>
      <rPr>
        <vertAlign val="subscript"/>
        <sz val="10"/>
        <color theme="1"/>
        <rFont val="Calibri"/>
        <family val="2"/>
        <scheme val="minor"/>
      </rPr>
      <t>tot_NG_park_mi</t>
    </r>
    <r>
      <rPr>
        <sz val="10"/>
        <color theme="1"/>
        <rFont val="Calibri"/>
        <family val="2"/>
        <scheme val="minor"/>
      </rPr>
      <t xml:space="preserve"> = C</t>
    </r>
    <r>
      <rPr>
        <vertAlign val="subscript"/>
        <sz val="10"/>
        <color theme="1"/>
        <rFont val="Calibri"/>
        <family val="2"/>
        <scheme val="minor"/>
      </rPr>
      <t>mat_NG_park_mi</t>
    </r>
    <r>
      <rPr>
        <sz val="10"/>
        <color theme="1"/>
        <rFont val="Calibri"/>
        <family val="2"/>
        <scheme val="minor"/>
      </rPr>
      <t xml:space="preserve"> + C</t>
    </r>
    <r>
      <rPr>
        <vertAlign val="subscript"/>
        <sz val="10"/>
        <color theme="1"/>
        <rFont val="Calibri"/>
        <family val="2"/>
        <scheme val="minor"/>
      </rPr>
      <t>lab_NG_park_mi</t>
    </r>
    <r>
      <rPr>
        <sz val="10"/>
        <color theme="1"/>
        <rFont val="Calibri"/>
        <family val="2"/>
        <scheme val="minor"/>
      </rPr>
      <t xml:space="preserve"> 
   + C</t>
    </r>
    <r>
      <rPr>
        <vertAlign val="subscript"/>
        <sz val="10"/>
        <color theme="1"/>
        <rFont val="Calibri"/>
        <family val="2"/>
        <scheme val="minor"/>
      </rPr>
      <t>ROW_NG_park_mi</t>
    </r>
    <r>
      <rPr>
        <sz val="10"/>
        <color theme="1"/>
        <rFont val="Calibri"/>
        <family val="2"/>
        <scheme val="minor"/>
      </rPr>
      <t xml:space="preserve"> + C</t>
    </r>
    <r>
      <rPr>
        <vertAlign val="subscript"/>
        <sz val="10"/>
        <color theme="1"/>
        <rFont val="Calibri"/>
        <family val="2"/>
        <scheme val="minor"/>
      </rPr>
      <t>misc_NG_park_mi</t>
    </r>
  </si>
  <si>
    <t>2005$/MW</t>
  </si>
  <si>
    <t>2000$</t>
  </si>
  <si>
    <t>U.S. Bureau of Labor Statistics Producer Price Index</t>
  </si>
  <si>
    <t>Year</t>
  </si>
  <si>
    <t>Jan</t>
  </si>
  <si>
    <t>Feb</t>
  </si>
  <si>
    <t>Mar</t>
  </si>
  <si>
    <t>Apr</t>
  </si>
  <si>
    <t>May</t>
  </si>
  <si>
    <t>Jun</t>
  </si>
  <si>
    <t>Jul</t>
  </si>
  <si>
    <t>Aug</t>
  </si>
  <si>
    <t>Sep</t>
  </si>
  <si>
    <t>Oct</t>
  </si>
  <si>
    <t>Nov</t>
  </si>
  <si>
    <t>Dec</t>
  </si>
  <si>
    <t>Annual</t>
  </si>
  <si>
    <t>CE Plant Cost Index Report</t>
  </si>
  <si>
    <t>Gross Domestic Product</t>
  </si>
  <si>
    <t>Chain-type Price Index</t>
  </si>
  <si>
    <t>June, 2007</t>
  </si>
  <si>
    <t>CE INDEX</t>
  </si>
  <si>
    <t>Equipment</t>
  </si>
  <si>
    <t>Heat Exchangers and Tanks</t>
  </si>
  <si>
    <t>Process Machinery</t>
  </si>
  <si>
    <t>Pipe, valves and fittings</t>
  </si>
  <si>
    <t>Process Instruments</t>
  </si>
  <si>
    <t>Pumps and Compressions</t>
  </si>
  <si>
    <t>Electrical equipment</t>
  </si>
  <si>
    <t>Structural supports</t>
  </si>
  <si>
    <t>Construction Labor</t>
  </si>
  <si>
    <t>Buildings</t>
  </si>
  <si>
    <t>Engineering Supervision</t>
  </si>
  <si>
    <t>Handy-Whitman Index - All Regions</t>
  </si>
  <si>
    <t>Updated 08/02/2012</t>
  </si>
  <si>
    <t>CONSTRUCTION AND EQUIPMENT</t>
  </si>
  <si>
    <t>Jan.
1</t>
  </si>
  <si>
    <t>Jul.
1</t>
  </si>
  <si>
    <t>Jul.</t>
  </si>
  <si>
    <t>Gas Compressors</t>
  </si>
  <si>
    <t>Gas Transmission Line Pipe</t>
  </si>
  <si>
    <t>Steel Distribution Pipe</t>
  </si>
  <si>
    <t>Uses user defined function CpRui</t>
  </si>
  <si>
    <r>
      <t>C</t>
    </r>
    <r>
      <rPr>
        <vertAlign val="subscript"/>
        <sz val="10"/>
        <color theme="1"/>
        <rFont val="Calibri"/>
        <family val="2"/>
        <scheme val="minor"/>
      </rPr>
      <t>tot_NG_rui_mi</t>
    </r>
    <r>
      <rPr>
        <sz val="10"/>
        <color theme="1"/>
        <rFont val="Calibri"/>
        <family val="2"/>
        <scheme val="minor"/>
      </rPr>
      <t xml:space="preserve"> = C</t>
    </r>
    <r>
      <rPr>
        <vertAlign val="subscript"/>
        <sz val="10"/>
        <color theme="1"/>
        <rFont val="Calibri"/>
        <family val="2"/>
        <scheme val="minor"/>
      </rPr>
      <t>mat_NG_rui_mi</t>
    </r>
    <r>
      <rPr>
        <sz val="10"/>
        <color theme="1"/>
        <rFont val="Calibri"/>
        <family val="2"/>
        <scheme val="minor"/>
      </rPr>
      <t xml:space="preserve"> + C</t>
    </r>
    <r>
      <rPr>
        <vertAlign val="subscript"/>
        <sz val="10"/>
        <color theme="1"/>
        <rFont val="Calibri"/>
        <family val="2"/>
        <scheme val="minor"/>
      </rPr>
      <t>lab_NG_rui_mi</t>
    </r>
    <r>
      <rPr>
        <sz val="10"/>
        <color theme="1"/>
        <rFont val="Calibri"/>
        <family val="2"/>
        <scheme val="minor"/>
      </rPr>
      <t xml:space="preserve"> 
   + C</t>
    </r>
    <r>
      <rPr>
        <vertAlign val="subscript"/>
        <sz val="10"/>
        <color theme="1"/>
        <rFont val="Calibri"/>
        <family val="2"/>
        <scheme val="minor"/>
      </rPr>
      <t>ROW_NG_rui_mi</t>
    </r>
    <r>
      <rPr>
        <sz val="10"/>
        <color theme="1"/>
        <rFont val="Calibri"/>
        <family val="2"/>
        <scheme val="minor"/>
      </rPr>
      <t xml:space="preserve"> + C</t>
    </r>
    <r>
      <rPr>
        <vertAlign val="subscript"/>
        <sz val="10"/>
        <color theme="1"/>
        <rFont val="Calibri"/>
        <family val="2"/>
        <scheme val="minor"/>
      </rPr>
      <t>misc_NG_rui_mi</t>
    </r>
  </si>
  <si>
    <t xml:space="preserve">Natural Gas Pipeline Capital Costs Using Parker's (2004) Equations </t>
  </si>
  <si>
    <t>Natural Gas Pipeline Capital Costs Using Rui's (2011) Equations</t>
  </si>
  <si>
    <t>2011$/mi</t>
  </si>
  <si>
    <t>Natural Gas Pipeline Capital Costs Using McCoy's (2008) Equations</t>
  </si>
  <si>
    <t>2004$/mi</t>
  </si>
  <si>
    <t>Gross domestic product chain type price index</t>
  </si>
  <si>
    <t>Producer price Index</t>
  </si>
  <si>
    <t>Cost from NETL (2010), CE index for heat exchangers and tanks</t>
  </si>
  <si>
    <t>Cost from NETL (2010), CE index for process instruments</t>
  </si>
  <si>
    <t>CE index for pumps &amp; compression</t>
  </si>
  <si>
    <t>2011$/MWhr</t>
  </si>
  <si>
    <t>2011$/yr</t>
  </si>
  <si>
    <t>2011$/mi-yr</t>
  </si>
  <si>
    <t>2011$</t>
  </si>
  <si>
    <r>
      <t>Materials (C</t>
    </r>
    <r>
      <rPr>
        <vertAlign val="subscript"/>
        <sz val="10"/>
        <color theme="1"/>
        <rFont val="Calibri"/>
        <family val="2"/>
        <scheme val="minor"/>
      </rPr>
      <t>mat_NG_mcy__mi</t>
    </r>
    <r>
      <rPr>
        <sz val="10"/>
        <color theme="1"/>
        <rFont val="Calibri"/>
        <family val="2"/>
        <scheme val="minor"/>
      </rPr>
      <t>)</t>
    </r>
  </si>
  <si>
    <r>
      <t>Labor (C</t>
    </r>
    <r>
      <rPr>
        <vertAlign val="subscript"/>
        <sz val="10"/>
        <color theme="1"/>
        <rFont val="Calibri"/>
        <family val="2"/>
        <scheme val="minor"/>
      </rPr>
      <t>lab_NG_mcy_mi</t>
    </r>
    <r>
      <rPr>
        <sz val="10"/>
        <color theme="1"/>
        <rFont val="Calibri"/>
        <family val="2"/>
        <scheme val="minor"/>
      </rPr>
      <t>)</t>
    </r>
  </si>
  <si>
    <r>
      <t>ROW-Damages (C</t>
    </r>
    <r>
      <rPr>
        <vertAlign val="subscript"/>
        <sz val="10"/>
        <color theme="1"/>
        <rFont val="Calibri"/>
        <family val="2"/>
        <scheme val="minor"/>
      </rPr>
      <t>ROW_NG_mcy_mi</t>
    </r>
    <r>
      <rPr>
        <sz val="10"/>
        <color theme="1"/>
        <rFont val="Calibri"/>
        <family val="2"/>
        <scheme val="minor"/>
      </rPr>
      <t>)</t>
    </r>
  </si>
  <si>
    <r>
      <t>Miscellaneous (C</t>
    </r>
    <r>
      <rPr>
        <vertAlign val="subscript"/>
        <sz val="10"/>
        <color theme="1"/>
        <rFont val="Calibri"/>
        <family val="2"/>
        <scheme val="minor"/>
      </rPr>
      <t>misc_NG_mcy_mi</t>
    </r>
    <r>
      <rPr>
        <sz val="10"/>
        <color theme="1"/>
        <rFont val="Calibri"/>
        <family val="2"/>
        <scheme val="minor"/>
      </rPr>
      <t>)</t>
    </r>
  </si>
  <si>
    <r>
      <t>Total (C</t>
    </r>
    <r>
      <rPr>
        <vertAlign val="subscript"/>
        <sz val="10"/>
        <color theme="1"/>
        <rFont val="Calibri"/>
        <family val="2"/>
        <scheme val="minor"/>
      </rPr>
      <t>tot_NG_mcy_mi</t>
    </r>
    <r>
      <rPr>
        <sz val="10"/>
        <color theme="1"/>
        <rFont val="Calibri"/>
        <family val="2"/>
        <scheme val="minor"/>
      </rPr>
      <t>)</t>
    </r>
  </si>
  <si>
    <r>
      <t>C</t>
    </r>
    <r>
      <rPr>
        <vertAlign val="subscript"/>
        <sz val="10"/>
        <color theme="1"/>
        <rFont val="Calibri"/>
        <family val="2"/>
        <scheme val="minor"/>
      </rPr>
      <t>tot_NG_mcy_mi</t>
    </r>
    <r>
      <rPr>
        <sz val="10"/>
        <color theme="1"/>
        <rFont val="Calibri"/>
        <family val="2"/>
        <scheme val="minor"/>
      </rPr>
      <t xml:space="preserve"> = C</t>
    </r>
    <r>
      <rPr>
        <vertAlign val="subscript"/>
        <sz val="10"/>
        <color theme="1"/>
        <rFont val="Calibri"/>
        <family val="2"/>
        <scheme val="minor"/>
      </rPr>
      <t>mat_NG_mcy_mi</t>
    </r>
    <r>
      <rPr>
        <sz val="10"/>
        <color theme="1"/>
        <rFont val="Calibri"/>
        <family val="2"/>
        <scheme val="minor"/>
      </rPr>
      <t xml:space="preserve"> + C</t>
    </r>
    <r>
      <rPr>
        <vertAlign val="subscript"/>
        <sz val="10"/>
        <color theme="1"/>
        <rFont val="Calibri"/>
        <family val="2"/>
        <scheme val="minor"/>
      </rPr>
      <t>lab_NG_mcy_mi</t>
    </r>
    <r>
      <rPr>
        <sz val="10"/>
        <color theme="1"/>
        <rFont val="Calibri"/>
        <family val="2"/>
        <scheme val="minor"/>
      </rPr>
      <t xml:space="preserve"> 
   + C</t>
    </r>
    <r>
      <rPr>
        <vertAlign val="subscript"/>
        <sz val="10"/>
        <color theme="1"/>
        <rFont val="Calibri"/>
        <family val="2"/>
        <scheme val="minor"/>
      </rPr>
      <t>ROW_NG_mcy_mi</t>
    </r>
    <r>
      <rPr>
        <sz val="10"/>
        <color theme="1"/>
        <rFont val="Calibri"/>
        <family val="2"/>
        <scheme val="minor"/>
      </rPr>
      <t xml:space="preserve"> + C</t>
    </r>
    <r>
      <rPr>
        <vertAlign val="subscript"/>
        <sz val="10"/>
        <color theme="1"/>
        <rFont val="Calibri"/>
        <family val="2"/>
        <scheme val="minor"/>
      </rPr>
      <t>misc_NG_mcy_mi</t>
    </r>
  </si>
  <si>
    <t xml:space="preserve">CO2 Pipeline Capital Costs Using Parker's (2004) Equations </t>
  </si>
  <si>
    <t>CO2 Pipeline Capital Costs Using Rui's (2011) Equations</t>
  </si>
  <si>
    <t>CO2 Pipeline Capital Costs Using McCoy's (2008) Equations</t>
  </si>
  <si>
    <t>2000$/yr</t>
  </si>
  <si>
    <t>PARKER=Parker (2004), RUI=Rui et al. (2011), MCCOY=McCoy and Rubin (2008)</t>
  </si>
  <si>
    <t>Cost from NETL (2010), Producer price index</t>
  </si>
  <si>
    <t>2011$/tonne</t>
  </si>
  <si>
    <r>
      <t>Series Id:  </t>
    </r>
    <r>
      <rPr>
        <sz val="10"/>
        <color indexed="8"/>
        <rFont val="Calibri"/>
        <family val="2"/>
        <scheme val="minor"/>
      </rPr>
      <t>PCU213112213112     ftp://ftp.bls.gov/pub/time.series/pc/pc.data.3.MiningSupport</t>
    </r>
  </si>
  <si>
    <r>
      <t>Industry:   </t>
    </r>
    <r>
      <rPr>
        <sz val="10"/>
        <color theme="1"/>
        <rFont val="Calibri"/>
        <family val="2"/>
        <scheme val="minor"/>
      </rPr>
      <t>Support activities for oil and gas operations</t>
    </r>
  </si>
  <si>
    <r>
      <t>Product:    </t>
    </r>
    <r>
      <rPr>
        <sz val="10"/>
        <color theme="1"/>
        <rFont val="Calibri"/>
        <family val="2"/>
        <scheme val="minor"/>
      </rPr>
      <t>Support activities for oil and gas operations</t>
    </r>
  </si>
  <si>
    <r>
      <t>Base Date:  </t>
    </r>
    <r>
      <rPr>
        <sz val="10"/>
        <color theme="1"/>
        <rFont val="Calibri"/>
        <family val="2"/>
        <scheme val="minor"/>
      </rPr>
      <t>8512</t>
    </r>
  </si>
  <si>
    <t>Uses user defined function Pres_Fact</t>
  </si>
  <si>
    <t>Factor used to adjust capex costs for materials and labor to account for increased pipe thicknesses required for CO2 pipelines versus natural gas pipelines (see sheet "PL Pressure Relation")</t>
  </si>
  <si>
    <t>Inputs taken from another sheet (e.g., "Main")</t>
  </si>
  <si>
    <t>Region =</t>
  </si>
  <si>
    <t>ConYr =</t>
  </si>
  <si>
    <t>Handy-Whitman gas transmission pipeline index</t>
  </si>
  <si>
    <r>
      <t>Factor for CO2 pipelines (f</t>
    </r>
    <r>
      <rPr>
        <vertAlign val="subscript"/>
        <sz val="10"/>
        <color theme="1"/>
        <rFont val="Calibri"/>
        <family val="2"/>
        <scheme val="minor"/>
      </rPr>
      <t>p_CO2</t>
    </r>
    <r>
      <rPr>
        <sz val="10"/>
        <color theme="1"/>
        <rFont val="Calibri"/>
        <family val="2"/>
        <scheme val="minor"/>
      </rPr>
      <t>)</t>
    </r>
  </si>
  <si>
    <r>
      <t>C</t>
    </r>
    <r>
      <rPr>
        <vertAlign val="subscript"/>
        <sz val="10"/>
        <color theme="1"/>
        <rFont val="Calibri"/>
        <family val="2"/>
        <scheme val="minor"/>
      </rPr>
      <t>mat_CO2_park_mi</t>
    </r>
    <r>
      <rPr>
        <sz val="10"/>
        <color theme="1"/>
        <rFont val="Calibri"/>
        <family val="2"/>
        <scheme val="minor"/>
      </rPr>
      <t xml:space="preserve"> = f</t>
    </r>
    <r>
      <rPr>
        <vertAlign val="subscript"/>
        <sz val="10"/>
        <color theme="1"/>
        <rFont val="Calibri"/>
        <family val="2"/>
        <scheme val="minor"/>
      </rPr>
      <t>p_CO2</t>
    </r>
    <r>
      <rPr>
        <sz val="10"/>
        <color theme="1"/>
        <rFont val="Calibri"/>
        <family val="2"/>
        <scheme val="minor"/>
      </rPr>
      <t xml:space="preserve"> * C</t>
    </r>
    <r>
      <rPr>
        <vertAlign val="subscript"/>
        <sz val="10"/>
        <color theme="1"/>
        <rFont val="Calibri"/>
        <family val="2"/>
        <scheme val="minor"/>
      </rPr>
      <t>mat_NG_park_mi</t>
    </r>
    <r>
      <rPr>
        <sz val="10"/>
        <color theme="1"/>
        <rFont val="Calibri"/>
        <family val="2"/>
        <scheme val="minor"/>
      </rPr>
      <t xml:space="preserve"> </t>
    </r>
  </si>
  <si>
    <r>
      <t>C</t>
    </r>
    <r>
      <rPr>
        <vertAlign val="subscript"/>
        <sz val="10"/>
        <color theme="1"/>
        <rFont val="Calibri"/>
        <family val="2"/>
        <scheme val="minor"/>
      </rPr>
      <t>lab_CO2_park_mi</t>
    </r>
    <r>
      <rPr>
        <sz val="10"/>
        <color theme="1"/>
        <rFont val="Calibri"/>
        <family val="2"/>
        <scheme val="minor"/>
      </rPr>
      <t xml:space="preserve"> = f</t>
    </r>
    <r>
      <rPr>
        <vertAlign val="subscript"/>
        <sz val="10"/>
        <color theme="1"/>
        <rFont val="Calibri"/>
        <family val="2"/>
        <scheme val="minor"/>
      </rPr>
      <t>p_CO2</t>
    </r>
    <r>
      <rPr>
        <sz val="10"/>
        <color theme="1"/>
        <rFont val="Calibri"/>
        <family val="2"/>
        <scheme val="minor"/>
      </rPr>
      <t xml:space="preserve"> * C</t>
    </r>
    <r>
      <rPr>
        <vertAlign val="subscript"/>
        <sz val="10"/>
        <color theme="1"/>
        <rFont val="Calibri"/>
        <family val="2"/>
        <scheme val="minor"/>
      </rPr>
      <t>lab_NG_park_mi</t>
    </r>
    <r>
      <rPr>
        <sz val="10"/>
        <color theme="1"/>
        <rFont val="Calibri"/>
        <family val="2"/>
        <scheme val="minor"/>
      </rPr>
      <t xml:space="preserve"> </t>
    </r>
  </si>
  <si>
    <r>
      <t>C</t>
    </r>
    <r>
      <rPr>
        <vertAlign val="subscript"/>
        <sz val="10"/>
        <color theme="1"/>
        <rFont val="Calibri"/>
        <family val="2"/>
        <scheme val="minor"/>
      </rPr>
      <t>row_CO2_park_mi</t>
    </r>
    <r>
      <rPr>
        <sz val="10"/>
        <color theme="1"/>
        <rFont val="Calibri"/>
        <family val="2"/>
        <scheme val="minor"/>
      </rPr>
      <t xml:space="preserve"> = f</t>
    </r>
    <r>
      <rPr>
        <vertAlign val="subscript"/>
        <sz val="10"/>
        <color theme="1"/>
        <rFont val="Calibri"/>
        <family val="2"/>
        <scheme val="minor"/>
      </rPr>
      <t>p_CO2</t>
    </r>
    <r>
      <rPr>
        <sz val="10"/>
        <color theme="1"/>
        <rFont val="Calibri"/>
        <family val="2"/>
        <scheme val="minor"/>
      </rPr>
      <t xml:space="preserve"> * C</t>
    </r>
    <r>
      <rPr>
        <vertAlign val="subscript"/>
        <sz val="10"/>
        <color theme="1"/>
        <rFont val="Calibri"/>
        <family val="2"/>
        <scheme val="minor"/>
      </rPr>
      <t>row_NG_park_mi</t>
    </r>
    <r>
      <rPr>
        <sz val="10"/>
        <color theme="1"/>
        <rFont val="Calibri"/>
        <family val="2"/>
        <scheme val="minor"/>
      </rPr>
      <t xml:space="preserve"> </t>
    </r>
  </si>
  <si>
    <r>
      <t>C</t>
    </r>
    <r>
      <rPr>
        <vertAlign val="subscript"/>
        <sz val="10"/>
        <color theme="1"/>
        <rFont val="Calibri"/>
        <family val="2"/>
        <scheme val="minor"/>
      </rPr>
      <t>misc_CO2_park_mi</t>
    </r>
    <r>
      <rPr>
        <sz val="10"/>
        <color theme="1"/>
        <rFont val="Calibri"/>
        <family val="2"/>
        <scheme val="minor"/>
      </rPr>
      <t xml:space="preserve"> = f</t>
    </r>
    <r>
      <rPr>
        <vertAlign val="subscript"/>
        <sz val="10"/>
        <color theme="1"/>
        <rFont val="Calibri"/>
        <family val="2"/>
        <scheme val="minor"/>
      </rPr>
      <t>p_CO2</t>
    </r>
    <r>
      <rPr>
        <sz val="10"/>
        <color theme="1"/>
        <rFont val="Calibri"/>
        <family val="2"/>
        <scheme val="minor"/>
      </rPr>
      <t xml:space="preserve"> * C</t>
    </r>
    <r>
      <rPr>
        <vertAlign val="subscript"/>
        <sz val="10"/>
        <color theme="1"/>
        <rFont val="Calibri"/>
        <family val="2"/>
        <scheme val="minor"/>
      </rPr>
      <t>misc_NG_park_mi</t>
    </r>
    <r>
      <rPr>
        <sz val="10"/>
        <color theme="1"/>
        <rFont val="Calibri"/>
        <family val="2"/>
        <scheme val="minor"/>
      </rPr>
      <t xml:space="preserve"> </t>
    </r>
  </si>
  <si>
    <r>
      <t>C</t>
    </r>
    <r>
      <rPr>
        <vertAlign val="subscript"/>
        <sz val="10"/>
        <color theme="1"/>
        <rFont val="Calibri"/>
        <family val="2"/>
        <scheme val="minor"/>
      </rPr>
      <t>tot_CO2_park_mi</t>
    </r>
    <r>
      <rPr>
        <sz val="10"/>
        <color theme="1"/>
        <rFont val="Calibri"/>
        <family val="2"/>
        <scheme val="minor"/>
      </rPr>
      <t xml:space="preserve"> = C</t>
    </r>
    <r>
      <rPr>
        <vertAlign val="subscript"/>
        <sz val="10"/>
        <color theme="1"/>
        <rFont val="Calibri"/>
        <family val="2"/>
        <scheme val="minor"/>
      </rPr>
      <t>mat_CO2_park_mi</t>
    </r>
    <r>
      <rPr>
        <sz val="10"/>
        <color theme="1"/>
        <rFont val="Calibri"/>
        <family val="2"/>
        <scheme val="minor"/>
      </rPr>
      <t xml:space="preserve"> + C</t>
    </r>
    <r>
      <rPr>
        <vertAlign val="subscript"/>
        <sz val="10"/>
        <color theme="1"/>
        <rFont val="Calibri"/>
        <family val="2"/>
        <scheme val="minor"/>
      </rPr>
      <t>lab_CO2_park_mi</t>
    </r>
    <r>
      <rPr>
        <sz val="10"/>
        <color theme="1"/>
        <rFont val="Calibri"/>
        <family val="2"/>
        <scheme val="minor"/>
      </rPr>
      <t xml:space="preserve"> 
   + C</t>
    </r>
    <r>
      <rPr>
        <vertAlign val="subscript"/>
        <sz val="10"/>
        <color theme="1"/>
        <rFont val="Calibri"/>
        <family val="2"/>
        <scheme val="minor"/>
      </rPr>
      <t>ROW_CO2_park_mi</t>
    </r>
    <r>
      <rPr>
        <sz val="10"/>
        <color theme="1"/>
        <rFont val="Calibri"/>
        <family val="2"/>
        <scheme val="minor"/>
      </rPr>
      <t xml:space="preserve"> + C</t>
    </r>
    <r>
      <rPr>
        <vertAlign val="subscript"/>
        <sz val="10"/>
        <color theme="1"/>
        <rFont val="Calibri"/>
        <family val="2"/>
        <scheme val="minor"/>
      </rPr>
      <t>misc_CO2_park_mi</t>
    </r>
  </si>
  <si>
    <r>
      <t>Materials (C</t>
    </r>
    <r>
      <rPr>
        <vertAlign val="subscript"/>
        <sz val="10"/>
        <color theme="1"/>
        <rFont val="Calibri"/>
        <family val="2"/>
        <scheme val="minor"/>
      </rPr>
      <t>mat_CO2_park__mi</t>
    </r>
    <r>
      <rPr>
        <sz val="10"/>
        <color theme="1"/>
        <rFont val="Calibri"/>
        <family val="2"/>
        <scheme val="minor"/>
      </rPr>
      <t>)</t>
    </r>
  </si>
  <si>
    <r>
      <t>Labor (C</t>
    </r>
    <r>
      <rPr>
        <vertAlign val="subscript"/>
        <sz val="10"/>
        <color theme="1"/>
        <rFont val="Calibri"/>
        <family val="2"/>
        <scheme val="minor"/>
      </rPr>
      <t>lab_CO2_park_mi</t>
    </r>
    <r>
      <rPr>
        <sz val="10"/>
        <color theme="1"/>
        <rFont val="Calibri"/>
        <family val="2"/>
        <scheme val="minor"/>
      </rPr>
      <t>)</t>
    </r>
  </si>
  <si>
    <r>
      <t>ROW-Damages (C</t>
    </r>
    <r>
      <rPr>
        <vertAlign val="subscript"/>
        <sz val="10"/>
        <color theme="1"/>
        <rFont val="Calibri"/>
        <family val="2"/>
        <scheme val="minor"/>
      </rPr>
      <t>ROW_CO2_park_mi</t>
    </r>
    <r>
      <rPr>
        <sz val="10"/>
        <color theme="1"/>
        <rFont val="Calibri"/>
        <family val="2"/>
        <scheme val="minor"/>
      </rPr>
      <t>)</t>
    </r>
  </si>
  <si>
    <r>
      <t>Miscellaneous (C</t>
    </r>
    <r>
      <rPr>
        <vertAlign val="subscript"/>
        <sz val="10"/>
        <color theme="1"/>
        <rFont val="Calibri"/>
        <family val="2"/>
        <scheme val="minor"/>
      </rPr>
      <t>misc_CO2_park_mi</t>
    </r>
    <r>
      <rPr>
        <sz val="10"/>
        <color theme="1"/>
        <rFont val="Calibri"/>
        <family val="2"/>
        <scheme val="minor"/>
      </rPr>
      <t>)</t>
    </r>
  </si>
  <si>
    <r>
      <t>Total (C</t>
    </r>
    <r>
      <rPr>
        <vertAlign val="subscript"/>
        <sz val="10"/>
        <color theme="1"/>
        <rFont val="Calibri"/>
        <family val="2"/>
        <scheme val="minor"/>
      </rPr>
      <t>tot_CO2_park_mi</t>
    </r>
    <r>
      <rPr>
        <sz val="10"/>
        <color theme="1"/>
        <rFont val="Calibri"/>
        <family val="2"/>
        <scheme val="minor"/>
      </rPr>
      <t>)</t>
    </r>
  </si>
  <si>
    <r>
      <t>C</t>
    </r>
    <r>
      <rPr>
        <vertAlign val="subscript"/>
        <sz val="10"/>
        <color theme="1"/>
        <rFont val="Calibri"/>
        <family val="2"/>
        <scheme val="minor"/>
      </rPr>
      <t>mat_CO2_rui_mi</t>
    </r>
    <r>
      <rPr>
        <sz val="10"/>
        <color theme="1"/>
        <rFont val="Calibri"/>
        <family val="2"/>
        <scheme val="minor"/>
      </rPr>
      <t xml:space="preserve"> = f</t>
    </r>
    <r>
      <rPr>
        <vertAlign val="subscript"/>
        <sz val="10"/>
        <color theme="1"/>
        <rFont val="Calibri"/>
        <family val="2"/>
        <scheme val="minor"/>
      </rPr>
      <t>p_CO2</t>
    </r>
    <r>
      <rPr>
        <sz val="10"/>
        <color theme="1"/>
        <rFont val="Calibri"/>
        <family val="2"/>
        <scheme val="minor"/>
      </rPr>
      <t xml:space="preserve"> * C</t>
    </r>
    <r>
      <rPr>
        <vertAlign val="subscript"/>
        <sz val="10"/>
        <color theme="1"/>
        <rFont val="Calibri"/>
        <family val="2"/>
        <scheme val="minor"/>
      </rPr>
      <t>mat_NG_rui_mi</t>
    </r>
    <r>
      <rPr>
        <sz val="10"/>
        <color theme="1"/>
        <rFont val="Calibri"/>
        <family val="2"/>
        <scheme val="minor"/>
      </rPr>
      <t xml:space="preserve"> </t>
    </r>
  </si>
  <si>
    <r>
      <t>C</t>
    </r>
    <r>
      <rPr>
        <vertAlign val="subscript"/>
        <sz val="10"/>
        <color theme="1"/>
        <rFont val="Calibri"/>
        <family val="2"/>
        <scheme val="minor"/>
      </rPr>
      <t>lab_CO2_rui_mi</t>
    </r>
    <r>
      <rPr>
        <sz val="10"/>
        <color theme="1"/>
        <rFont val="Calibri"/>
        <family val="2"/>
        <scheme val="minor"/>
      </rPr>
      <t xml:space="preserve"> = f</t>
    </r>
    <r>
      <rPr>
        <vertAlign val="subscript"/>
        <sz val="10"/>
        <color theme="1"/>
        <rFont val="Calibri"/>
        <family val="2"/>
        <scheme val="minor"/>
      </rPr>
      <t>p_CO2</t>
    </r>
    <r>
      <rPr>
        <sz val="10"/>
        <color theme="1"/>
        <rFont val="Calibri"/>
        <family val="2"/>
        <scheme val="minor"/>
      </rPr>
      <t xml:space="preserve"> * C</t>
    </r>
    <r>
      <rPr>
        <vertAlign val="subscript"/>
        <sz val="10"/>
        <color theme="1"/>
        <rFont val="Calibri"/>
        <family val="2"/>
        <scheme val="minor"/>
      </rPr>
      <t>lab_NG_rui_mi</t>
    </r>
    <r>
      <rPr>
        <sz val="10"/>
        <color theme="1"/>
        <rFont val="Calibri"/>
        <family val="2"/>
        <scheme val="minor"/>
      </rPr>
      <t xml:space="preserve"> </t>
    </r>
  </si>
  <si>
    <r>
      <t>C</t>
    </r>
    <r>
      <rPr>
        <vertAlign val="subscript"/>
        <sz val="10"/>
        <color theme="1"/>
        <rFont val="Calibri"/>
        <family val="2"/>
        <scheme val="minor"/>
      </rPr>
      <t>row_CO2_rui_mi</t>
    </r>
    <r>
      <rPr>
        <sz val="10"/>
        <color theme="1"/>
        <rFont val="Calibri"/>
        <family val="2"/>
        <scheme val="minor"/>
      </rPr>
      <t xml:space="preserve"> = f</t>
    </r>
    <r>
      <rPr>
        <vertAlign val="subscript"/>
        <sz val="10"/>
        <color theme="1"/>
        <rFont val="Calibri"/>
        <family val="2"/>
        <scheme val="minor"/>
      </rPr>
      <t>p_CO2</t>
    </r>
    <r>
      <rPr>
        <sz val="10"/>
        <color theme="1"/>
        <rFont val="Calibri"/>
        <family val="2"/>
        <scheme val="minor"/>
      </rPr>
      <t xml:space="preserve"> * C</t>
    </r>
    <r>
      <rPr>
        <vertAlign val="subscript"/>
        <sz val="10"/>
        <color theme="1"/>
        <rFont val="Calibri"/>
        <family val="2"/>
        <scheme val="minor"/>
      </rPr>
      <t>row_NG_rui_mi</t>
    </r>
    <r>
      <rPr>
        <sz val="10"/>
        <color theme="1"/>
        <rFont val="Calibri"/>
        <family val="2"/>
        <scheme val="minor"/>
      </rPr>
      <t xml:space="preserve"> </t>
    </r>
  </si>
  <si>
    <r>
      <t>C</t>
    </r>
    <r>
      <rPr>
        <vertAlign val="subscript"/>
        <sz val="10"/>
        <color theme="1"/>
        <rFont val="Calibri"/>
        <family val="2"/>
        <scheme val="minor"/>
      </rPr>
      <t>misc_CO2_rui_mi</t>
    </r>
    <r>
      <rPr>
        <sz val="10"/>
        <color theme="1"/>
        <rFont val="Calibri"/>
        <family val="2"/>
        <scheme val="minor"/>
      </rPr>
      <t xml:space="preserve"> = f</t>
    </r>
    <r>
      <rPr>
        <vertAlign val="subscript"/>
        <sz val="10"/>
        <color theme="1"/>
        <rFont val="Calibri"/>
        <family val="2"/>
        <scheme val="minor"/>
      </rPr>
      <t>p_CO2</t>
    </r>
    <r>
      <rPr>
        <sz val="10"/>
        <color theme="1"/>
        <rFont val="Calibri"/>
        <family val="2"/>
        <scheme val="minor"/>
      </rPr>
      <t xml:space="preserve"> * C</t>
    </r>
    <r>
      <rPr>
        <vertAlign val="subscript"/>
        <sz val="10"/>
        <color theme="1"/>
        <rFont val="Calibri"/>
        <family val="2"/>
        <scheme val="minor"/>
      </rPr>
      <t>misc_NG_rui_mi</t>
    </r>
    <r>
      <rPr>
        <sz val="10"/>
        <color theme="1"/>
        <rFont val="Calibri"/>
        <family val="2"/>
        <scheme val="minor"/>
      </rPr>
      <t xml:space="preserve"> </t>
    </r>
  </si>
  <si>
    <r>
      <t>C</t>
    </r>
    <r>
      <rPr>
        <vertAlign val="subscript"/>
        <sz val="10"/>
        <color theme="1"/>
        <rFont val="Calibri"/>
        <family val="2"/>
        <scheme val="minor"/>
      </rPr>
      <t>tot_CO2_rui_mi</t>
    </r>
    <r>
      <rPr>
        <sz val="10"/>
        <color theme="1"/>
        <rFont val="Calibri"/>
        <family val="2"/>
        <scheme val="minor"/>
      </rPr>
      <t xml:space="preserve"> = C</t>
    </r>
    <r>
      <rPr>
        <vertAlign val="subscript"/>
        <sz val="10"/>
        <color theme="1"/>
        <rFont val="Calibri"/>
        <family val="2"/>
        <scheme val="minor"/>
      </rPr>
      <t>mat_CO2_rui_mi</t>
    </r>
    <r>
      <rPr>
        <sz val="10"/>
        <color theme="1"/>
        <rFont val="Calibri"/>
        <family val="2"/>
        <scheme val="minor"/>
      </rPr>
      <t xml:space="preserve"> + C</t>
    </r>
    <r>
      <rPr>
        <vertAlign val="subscript"/>
        <sz val="10"/>
        <color theme="1"/>
        <rFont val="Calibri"/>
        <family val="2"/>
        <scheme val="minor"/>
      </rPr>
      <t>lab_CO2_rui_mi</t>
    </r>
    <r>
      <rPr>
        <sz val="10"/>
        <color theme="1"/>
        <rFont val="Calibri"/>
        <family val="2"/>
        <scheme val="minor"/>
      </rPr>
      <t xml:space="preserve"> 
   + C</t>
    </r>
    <r>
      <rPr>
        <vertAlign val="subscript"/>
        <sz val="10"/>
        <color theme="1"/>
        <rFont val="Calibri"/>
        <family val="2"/>
        <scheme val="minor"/>
      </rPr>
      <t>ROW_CO2_rui_mi</t>
    </r>
    <r>
      <rPr>
        <sz val="10"/>
        <color theme="1"/>
        <rFont val="Calibri"/>
        <family val="2"/>
        <scheme val="minor"/>
      </rPr>
      <t xml:space="preserve"> + C</t>
    </r>
    <r>
      <rPr>
        <vertAlign val="subscript"/>
        <sz val="10"/>
        <color theme="1"/>
        <rFont val="Calibri"/>
        <family val="2"/>
        <scheme val="minor"/>
      </rPr>
      <t>misc_CO2_rui_mi</t>
    </r>
  </si>
  <si>
    <r>
      <t>Materials (C</t>
    </r>
    <r>
      <rPr>
        <vertAlign val="subscript"/>
        <sz val="10"/>
        <color theme="1"/>
        <rFont val="Calibri"/>
        <family val="2"/>
        <scheme val="minor"/>
      </rPr>
      <t>mat_CO2_rui__mi</t>
    </r>
    <r>
      <rPr>
        <sz val="10"/>
        <color theme="1"/>
        <rFont val="Calibri"/>
        <family val="2"/>
        <scheme val="minor"/>
      </rPr>
      <t>)</t>
    </r>
  </si>
  <si>
    <r>
      <t>Labor (C</t>
    </r>
    <r>
      <rPr>
        <vertAlign val="subscript"/>
        <sz val="10"/>
        <color theme="1"/>
        <rFont val="Calibri"/>
        <family val="2"/>
        <scheme val="minor"/>
      </rPr>
      <t>lab_CO2_rui_mi</t>
    </r>
    <r>
      <rPr>
        <sz val="10"/>
        <color theme="1"/>
        <rFont val="Calibri"/>
        <family val="2"/>
        <scheme val="minor"/>
      </rPr>
      <t>)</t>
    </r>
  </si>
  <si>
    <r>
      <t>ROW-Damages (C</t>
    </r>
    <r>
      <rPr>
        <vertAlign val="subscript"/>
        <sz val="10"/>
        <color theme="1"/>
        <rFont val="Calibri"/>
        <family val="2"/>
        <scheme val="minor"/>
      </rPr>
      <t>ROW_CO2_rui_mi</t>
    </r>
    <r>
      <rPr>
        <sz val="10"/>
        <color theme="1"/>
        <rFont val="Calibri"/>
        <family val="2"/>
        <scheme val="minor"/>
      </rPr>
      <t>)</t>
    </r>
  </si>
  <si>
    <r>
      <t>Miscellaneous (C</t>
    </r>
    <r>
      <rPr>
        <vertAlign val="subscript"/>
        <sz val="10"/>
        <color theme="1"/>
        <rFont val="Calibri"/>
        <family val="2"/>
        <scheme val="minor"/>
      </rPr>
      <t>misc_CO2_rui_mi</t>
    </r>
    <r>
      <rPr>
        <sz val="10"/>
        <color theme="1"/>
        <rFont val="Calibri"/>
        <family val="2"/>
        <scheme val="minor"/>
      </rPr>
      <t>)</t>
    </r>
  </si>
  <si>
    <r>
      <t>Total (C</t>
    </r>
    <r>
      <rPr>
        <vertAlign val="subscript"/>
        <sz val="10"/>
        <color theme="1"/>
        <rFont val="Calibri"/>
        <family val="2"/>
        <scheme val="minor"/>
      </rPr>
      <t>tot_CO2_rui_mi</t>
    </r>
    <r>
      <rPr>
        <sz val="10"/>
        <color theme="1"/>
        <rFont val="Calibri"/>
        <family val="2"/>
        <scheme val="minor"/>
      </rPr>
      <t>)</t>
    </r>
  </si>
  <si>
    <r>
      <t>Total (C</t>
    </r>
    <r>
      <rPr>
        <vertAlign val="subscript"/>
        <sz val="10"/>
        <color theme="1"/>
        <rFont val="Calibri"/>
        <family val="2"/>
        <scheme val="minor"/>
      </rPr>
      <t>tot_CO2_mcy_mi</t>
    </r>
    <r>
      <rPr>
        <sz val="10"/>
        <color theme="1"/>
        <rFont val="Calibri"/>
        <family val="2"/>
        <scheme val="minor"/>
      </rPr>
      <t>)</t>
    </r>
  </si>
  <si>
    <r>
      <t>Materials (C</t>
    </r>
    <r>
      <rPr>
        <vertAlign val="subscript"/>
        <sz val="10"/>
        <color theme="1"/>
        <rFont val="Calibri"/>
        <family val="2"/>
        <scheme val="minor"/>
      </rPr>
      <t>mat_CO2_mcy__mi</t>
    </r>
    <r>
      <rPr>
        <sz val="10"/>
        <color theme="1"/>
        <rFont val="Calibri"/>
        <family val="2"/>
        <scheme val="minor"/>
      </rPr>
      <t>)</t>
    </r>
  </si>
  <si>
    <r>
      <t>Labor (C</t>
    </r>
    <r>
      <rPr>
        <vertAlign val="subscript"/>
        <sz val="10"/>
        <color theme="1"/>
        <rFont val="Calibri"/>
        <family val="2"/>
        <scheme val="minor"/>
      </rPr>
      <t>lab_CO2_mcy_mi</t>
    </r>
    <r>
      <rPr>
        <sz val="10"/>
        <color theme="1"/>
        <rFont val="Calibri"/>
        <family val="2"/>
        <scheme val="minor"/>
      </rPr>
      <t>)</t>
    </r>
  </si>
  <si>
    <r>
      <t>ROW-Damages (C</t>
    </r>
    <r>
      <rPr>
        <vertAlign val="subscript"/>
        <sz val="10"/>
        <color theme="1"/>
        <rFont val="Calibri"/>
        <family val="2"/>
        <scheme val="minor"/>
      </rPr>
      <t>ROW_CO2_mcy_mi</t>
    </r>
    <r>
      <rPr>
        <sz val="10"/>
        <color theme="1"/>
        <rFont val="Calibri"/>
        <family val="2"/>
        <scheme val="minor"/>
      </rPr>
      <t>)</t>
    </r>
  </si>
  <si>
    <r>
      <t>Miscellaneous (C</t>
    </r>
    <r>
      <rPr>
        <vertAlign val="subscript"/>
        <sz val="10"/>
        <color theme="1"/>
        <rFont val="Calibri"/>
        <family val="2"/>
        <scheme val="minor"/>
      </rPr>
      <t>misc_CO2_mcy_mi</t>
    </r>
    <r>
      <rPr>
        <sz val="10"/>
        <color theme="1"/>
        <rFont val="Calibri"/>
        <family val="2"/>
        <scheme val="minor"/>
      </rPr>
      <t>)</t>
    </r>
  </si>
  <si>
    <r>
      <t>C</t>
    </r>
    <r>
      <rPr>
        <vertAlign val="subscript"/>
        <sz val="10"/>
        <color theme="1"/>
        <rFont val="Calibri"/>
        <family val="2"/>
        <scheme val="minor"/>
      </rPr>
      <t>mat_CO2_mcy_mi</t>
    </r>
    <r>
      <rPr>
        <sz val="10"/>
        <color theme="1"/>
        <rFont val="Calibri"/>
        <family val="2"/>
        <scheme val="minor"/>
      </rPr>
      <t xml:space="preserve"> = f</t>
    </r>
    <r>
      <rPr>
        <vertAlign val="subscript"/>
        <sz val="10"/>
        <color theme="1"/>
        <rFont val="Calibri"/>
        <family val="2"/>
        <scheme val="minor"/>
      </rPr>
      <t>p_CO2</t>
    </r>
    <r>
      <rPr>
        <sz val="10"/>
        <color theme="1"/>
        <rFont val="Calibri"/>
        <family val="2"/>
        <scheme val="minor"/>
      </rPr>
      <t xml:space="preserve"> * C</t>
    </r>
    <r>
      <rPr>
        <vertAlign val="subscript"/>
        <sz val="10"/>
        <color theme="1"/>
        <rFont val="Calibri"/>
        <family val="2"/>
        <scheme val="minor"/>
      </rPr>
      <t>mat_NG_mcy_mi</t>
    </r>
    <r>
      <rPr>
        <sz val="10"/>
        <color theme="1"/>
        <rFont val="Calibri"/>
        <family val="2"/>
        <scheme val="minor"/>
      </rPr>
      <t xml:space="preserve"> </t>
    </r>
  </si>
  <si>
    <r>
      <t>C</t>
    </r>
    <r>
      <rPr>
        <vertAlign val="subscript"/>
        <sz val="10"/>
        <color theme="1"/>
        <rFont val="Calibri"/>
        <family val="2"/>
        <scheme val="minor"/>
      </rPr>
      <t>lab_CO2_mcy_mi</t>
    </r>
    <r>
      <rPr>
        <sz val="10"/>
        <color theme="1"/>
        <rFont val="Calibri"/>
        <family val="2"/>
        <scheme val="minor"/>
      </rPr>
      <t xml:space="preserve"> = f</t>
    </r>
    <r>
      <rPr>
        <vertAlign val="subscript"/>
        <sz val="10"/>
        <color theme="1"/>
        <rFont val="Calibri"/>
        <family val="2"/>
        <scheme val="minor"/>
      </rPr>
      <t>p_CO2</t>
    </r>
    <r>
      <rPr>
        <sz val="10"/>
        <color theme="1"/>
        <rFont val="Calibri"/>
        <family val="2"/>
        <scheme val="minor"/>
      </rPr>
      <t xml:space="preserve"> * C</t>
    </r>
    <r>
      <rPr>
        <vertAlign val="subscript"/>
        <sz val="10"/>
        <color theme="1"/>
        <rFont val="Calibri"/>
        <family val="2"/>
        <scheme val="minor"/>
      </rPr>
      <t>lab_NG_mcy_mi</t>
    </r>
    <r>
      <rPr>
        <sz val="10"/>
        <color theme="1"/>
        <rFont val="Calibri"/>
        <family val="2"/>
        <scheme val="minor"/>
      </rPr>
      <t xml:space="preserve"> </t>
    </r>
  </si>
  <si>
    <r>
      <t>C</t>
    </r>
    <r>
      <rPr>
        <vertAlign val="subscript"/>
        <sz val="10"/>
        <color theme="1"/>
        <rFont val="Calibri"/>
        <family val="2"/>
        <scheme val="minor"/>
      </rPr>
      <t>row_CO2_mcy_mi</t>
    </r>
    <r>
      <rPr>
        <sz val="10"/>
        <color theme="1"/>
        <rFont val="Calibri"/>
        <family val="2"/>
        <scheme val="minor"/>
      </rPr>
      <t xml:space="preserve"> = f</t>
    </r>
    <r>
      <rPr>
        <vertAlign val="subscript"/>
        <sz val="10"/>
        <color theme="1"/>
        <rFont val="Calibri"/>
        <family val="2"/>
        <scheme val="minor"/>
      </rPr>
      <t>p_CO2</t>
    </r>
    <r>
      <rPr>
        <sz val="10"/>
        <color theme="1"/>
        <rFont val="Calibri"/>
        <family val="2"/>
        <scheme val="minor"/>
      </rPr>
      <t xml:space="preserve"> * C</t>
    </r>
    <r>
      <rPr>
        <vertAlign val="subscript"/>
        <sz val="10"/>
        <color theme="1"/>
        <rFont val="Calibri"/>
        <family val="2"/>
        <scheme val="minor"/>
      </rPr>
      <t>row_NG_mcy_mi</t>
    </r>
    <r>
      <rPr>
        <sz val="10"/>
        <color theme="1"/>
        <rFont val="Calibri"/>
        <family val="2"/>
        <scheme val="minor"/>
      </rPr>
      <t xml:space="preserve"> </t>
    </r>
  </si>
  <si>
    <r>
      <t>C</t>
    </r>
    <r>
      <rPr>
        <vertAlign val="subscript"/>
        <sz val="10"/>
        <color theme="1"/>
        <rFont val="Calibri"/>
        <family val="2"/>
        <scheme val="minor"/>
      </rPr>
      <t>misc_CO2_mcy_mi</t>
    </r>
    <r>
      <rPr>
        <sz val="10"/>
        <color theme="1"/>
        <rFont val="Calibri"/>
        <family val="2"/>
        <scheme val="minor"/>
      </rPr>
      <t xml:space="preserve"> = f</t>
    </r>
    <r>
      <rPr>
        <vertAlign val="subscript"/>
        <sz val="10"/>
        <color theme="1"/>
        <rFont val="Calibri"/>
        <family val="2"/>
        <scheme val="minor"/>
      </rPr>
      <t>p_CO2</t>
    </r>
    <r>
      <rPr>
        <sz val="10"/>
        <color theme="1"/>
        <rFont val="Calibri"/>
        <family val="2"/>
        <scheme val="minor"/>
      </rPr>
      <t xml:space="preserve"> * C</t>
    </r>
    <r>
      <rPr>
        <vertAlign val="subscript"/>
        <sz val="10"/>
        <color theme="1"/>
        <rFont val="Calibri"/>
        <family val="2"/>
        <scheme val="minor"/>
      </rPr>
      <t>misc_NG_mcy_mi</t>
    </r>
    <r>
      <rPr>
        <sz val="10"/>
        <color theme="1"/>
        <rFont val="Calibri"/>
        <family val="2"/>
        <scheme val="minor"/>
      </rPr>
      <t xml:space="preserve"> </t>
    </r>
  </si>
  <si>
    <r>
      <t>C</t>
    </r>
    <r>
      <rPr>
        <vertAlign val="subscript"/>
        <sz val="10"/>
        <color theme="1"/>
        <rFont val="Calibri"/>
        <family val="2"/>
        <scheme val="minor"/>
      </rPr>
      <t>tot_CO2_mcy_mi</t>
    </r>
    <r>
      <rPr>
        <sz val="10"/>
        <color theme="1"/>
        <rFont val="Calibri"/>
        <family val="2"/>
        <scheme val="minor"/>
      </rPr>
      <t xml:space="preserve"> = C</t>
    </r>
    <r>
      <rPr>
        <vertAlign val="subscript"/>
        <sz val="10"/>
        <color theme="1"/>
        <rFont val="Calibri"/>
        <family val="2"/>
        <scheme val="minor"/>
      </rPr>
      <t>mat_CO2_mcy_mi</t>
    </r>
    <r>
      <rPr>
        <sz val="10"/>
        <color theme="1"/>
        <rFont val="Calibri"/>
        <family val="2"/>
        <scheme val="minor"/>
      </rPr>
      <t xml:space="preserve"> + C</t>
    </r>
    <r>
      <rPr>
        <vertAlign val="subscript"/>
        <sz val="10"/>
        <color theme="1"/>
        <rFont val="Calibri"/>
        <family val="2"/>
        <scheme val="minor"/>
      </rPr>
      <t>lab_CO2_mcy_mi</t>
    </r>
    <r>
      <rPr>
        <sz val="10"/>
        <color theme="1"/>
        <rFont val="Calibri"/>
        <family val="2"/>
        <scheme val="minor"/>
      </rPr>
      <t xml:space="preserve"> 
   + C</t>
    </r>
    <r>
      <rPr>
        <vertAlign val="subscript"/>
        <sz val="10"/>
        <color theme="1"/>
        <rFont val="Calibri"/>
        <family val="2"/>
        <scheme val="minor"/>
      </rPr>
      <t>ROW_CO2_mcy_mi</t>
    </r>
    <r>
      <rPr>
        <sz val="10"/>
        <color theme="1"/>
        <rFont val="Calibri"/>
        <family val="2"/>
        <scheme val="minor"/>
      </rPr>
      <t xml:space="preserve"> + C</t>
    </r>
    <r>
      <rPr>
        <vertAlign val="subscript"/>
        <sz val="10"/>
        <color theme="1"/>
        <rFont val="Calibri"/>
        <family val="2"/>
        <scheme val="minor"/>
      </rPr>
      <t>misc_CO2_mcy_mi</t>
    </r>
  </si>
  <si>
    <r>
      <t>C</t>
    </r>
    <r>
      <rPr>
        <vertAlign val="subscript"/>
        <sz val="10"/>
        <color theme="1"/>
        <rFont val="Calibri"/>
        <family val="2"/>
        <scheme val="minor"/>
      </rPr>
      <t>pipe_tot</t>
    </r>
    <r>
      <rPr>
        <sz val="10"/>
        <color theme="1"/>
        <rFont val="Calibri"/>
        <family val="2"/>
        <scheme val="minor"/>
      </rPr>
      <t xml:space="preserve"> = C</t>
    </r>
    <r>
      <rPr>
        <vertAlign val="subscript"/>
        <sz val="10"/>
        <color theme="1"/>
        <rFont val="Calibri"/>
        <family val="2"/>
        <scheme val="minor"/>
      </rPr>
      <t>pipe</t>
    </r>
    <r>
      <rPr>
        <sz val="10"/>
        <color theme="1"/>
        <rFont val="Calibri"/>
        <family val="2"/>
        <scheme val="minor"/>
      </rPr>
      <t xml:space="preserve"> + C</t>
    </r>
    <r>
      <rPr>
        <vertAlign val="subscript"/>
        <sz val="10"/>
        <color theme="1"/>
        <rFont val="Calibri"/>
        <family val="2"/>
        <scheme val="minor"/>
      </rPr>
      <t>s_tank</t>
    </r>
    <r>
      <rPr>
        <sz val="10"/>
        <color theme="1"/>
        <rFont val="Calibri"/>
        <family val="2"/>
        <scheme val="minor"/>
      </rPr>
      <t xml:space="preserve"> + C</t>
    </r>
    <r>
      <rPr>
        <vertAlign val="subscript"/>
        <sz val="10"/>
        <color theme="1"/>
        <rFont val="Calibri"/>
        <family val="2"/>
        <scheme val="minor"/>
      </rPr>
      <t>pcon</t>
    </r>
  </si>
  <si>
    <r>
      <t>C</t>
    </r>
    <r>
      <rPr>
        <vertAlign val="subscript"/>
        <sz val="10"/>
        <color theme="1"/>
        <rFont val="Calibri"/>
        <family val="2"/>
        <scheme val="minor"/>
      </rPr>
      <t>CAPEX</t>
    </r>
    <r>
      <rPr>
        <sz val="10"/>
        <color theme="1"/>
        <rFont val="Calibri"/>
        <family val="2"/>
        <scheme val="minor"/>
      </rPr>
      <t xml:space="preserve"> = C</t>
    </r>
    <r>
      <rPr>
        <vertAlign val="subscript"/>
        <sz val="10"/>
        <color theme="1"/>
        <rFont val="Calibri"/>
        <family val="2"/>
        <scheme val="minor"/>
      </rPr>
      <t>pipe_tot</t>
    </r>
    <r>
      <rPr>
        <sz val="10"/>
        <color theme="1"/>
        <rFont val="Calibri"/>
        <family val="2"/>
        <scheme val="minor"/>
      </rPr>
      <t xml:space="preserve"> + C</t>
    </r>
    <r>
      <rPr>
        <vertAlign val="subscript"/>
        <sz val="10"/>
        <color theme="1"/>
        <rFont val="Calibri"/>
        <family val="2"/>
        <scheme val="minor"/>
      </rPr>
      <t>pump_tot</t>
    </r>
  </si>
  <si>
    <r>
      <t>C</t>
    </r>
    <r>
      <rPr>
        <vertAlign val="subscript"/>
        <sz val="10"/>
        <color theme="1"/>
        <rFont val="Calibri"/>
        <family val="2"/>
        <scheme val="minor"/>
      </rPr>
      <t>pump</t>
    </r>
    <r>
      <rPr>
        <sz val="10"/>
        <color theme="1"/>
        <rFont val="Calibri"/>
        <family val="2"/>
        <scheme val="minor"/>
      </rPr>
      <t xml:space="preserve"> = (C</t>
    </r>
    <r>
      <rPr>
        <vertAlign val="subscript"/>
        <sz val="10"/>
        <color theme="1"/>
        <rFont val="Calibri"/>
        <family val="2"/>
        <scheme val="minor"/>
      </rPr>
      <t>pump_fix</t>
    </r>
    <r>
      <rPr>
        <sz val="10"/>
        <color theme="1"/>
        <rFont val="Calibri"/>
        <family val="2"/>
        <scheme val="minor"/>
      </rPr>
      <t xml:space="preserve"> + c</t>
    </r>
    <r>
      <rPr>
        <vertAlign val="subscript"/>
        <sz val="10"/>
        <color theme="1"/>
        <rFont val="Calibri"/>
        <family val="2"/>
        <scheme val="minor"/>
      </rPr>
      <t xml:space="preserve">pump_var </t>
    </r>
    <r>
      <rPr>
        <sz val="10"/>
        <color theme="1"/>
        <rFont val="Calibri"/>
        <family val="2"/>
        <scheme val="minor"/>
      </rPr>
      <t>* W</t>
    </r>
    <r>
      <rPr>
        <vertAlign val="subscript"/>
        <sz val="10"/>
        <color theme="1"/>
        <rFont val="Calibri"/>
        <family val="2"/>
        <scheme val="minor"/>
      </rPr>
      <t>pump</t>
    </r>
    <r>
      <rPr>
        <sz val="10"/>
        <color theme="1"/>
        <rFont val="Calibri"/>
        <family val="2"/>
        <scheme val="minor"/>
      </rPr>
      <t>)</t>
    </r>
  </si>
  <si>
    <t>Natural Gas Pipeline Capital Costs Using Parker's Equations (in thousands of 2000 dollars or 2011 dollars--see ConYr)</t>
  </si>
  <si>
    <t>Natural Gas Pipeline Capital Costs Using Rui's Equations (in thousands of 2008 dollars or 2011 dollars--see ConYr)</t>
  </si>
  <si>
    <t>Natural Gas Pipeline Capital Costs Using McCoy's Equations (in thousands of 2004 dollars or 2011 dollars--see ConYr)</t>
  </si>
  <si>
    <t>Natural Gas Pipeline Capital Costs per mile Using Parker's Equations (in 2000 or 2011 dollars [see ConYr]/mile)</t>
  </si>
  <si>
    <t>Natural Gas Pipeline Capital Costs per mile Using Rui's Equations (in 2008 or 2011 dollars [see ConYr]/mile)</t>
  </si>
  <si>
    <t>Natural Gas Pipeline Capital Costs per mile Using McCoy's Equations (in 2004 or 2011 dollars [see ConYr]/mile)</t>
  </si>
  <si>
    <t>Cost Indices</t>
  </si>
  <si>
    <t>The engineering module, which contains engineering equations and capital costs and operating expenses.</t>
  </si>
  <si>
    <t>A variety of cost indices used to adjust costs to a common year.</t>
  </si>
  <si>
    <t>Go To Cost Indices Sheet</t>
  </si>
  <si>
    <t>Pipe Cap</t>
  </si>
  <si>
    <t>Go To Pipe Cap Sheet</t>
  </si>
  <si>
    <t>Pipe nominal diameter</t>
  </si>
  <si>
    <t>Pipe length</t>
  </si>
  <si>
    <t>See above calculations</t>
  </si>
  <si>
    <t>McCoy, S. and E. Rubin, 2008. "An Engineering-Economic Model of Pipeline Transport of CO2 with Application to Carbon Capture and Storage", International Journal of Greenhouse Gas Control, Vol. 2, pgs. 219-229.</t>
  </si>
  <si>
    <r>
      <t>E</t>
    </r>
    <r>
      <rPr>
        <vertAlign val="subscript"/>
        <sz val="10"/>
        <color theme="1"/>
        <rFont val="Calibri"/>
        <family val="2"/>
        <scheme val="minor"/>
      </rPr>
      <t>pump_elec</t>
    </r>
    <r>
      <rPr>
        <sz val="10"/>
        <color theme="1"/>
        <rFont val="Calibri"/>
        <family val="2"/>
        <scheme val="minor"/>
      </rPr>
      <t xml:space="preserve"> = CF * 8760 hr/yr * n</t>
    </r>
    <r>
      <rPr>
        <vertAlign val="subscript"/>
        <sz val="10"/>
        <color theme="1"/>
        <rFont val="Calibri"/>
        <family val="2"/>
        <scheme val="minor"/>
      </rPr>
      <t>pumps</t>
    </r>
    <r>
      <rPr>
        <sz val="10"/>
        <color theme="1"/>
        <rFont val="Calibri"/>
        <family val="2"/>
        <scheme val="minor"/>
      </rPr>
      <t xml:space="preserve"> * W</t>
    </r>
    <r>
      <rPr>
        <vertAlign val="subscript"/>
        <sz val="10"/>
        <color theme="1"/>
        <rFont val="Calibri"/>
        <family val="2"/>
        <scheme val="minor"/>
      </rPr>
      <t xml:space="preserve">pump
</t>
    </r>
    <r>
      <rPr>
        <sz val="10"/>
        <color theme="1"/>
        <rFont val="Calibri"/>
        <family val="2"/>
        <scheme val="minor"/>
      </rPr>
      <t xml:space="preserve">      /(1000 kW/MW)</t>
    </r>
  </si>
  <si>
    <t>Real 2011$</t>
  </si>
  <si>
    <t>Pipeline Nominal Diameter</t>
  </si>
  <si>
    <t xml:space="preserve">Pipe Nominal Diameter </t>
  </si>
  <si>
    <t>Definition of pipeline capital cost categories from Oil and Gas Journal</t>
  </si>
  <si>
    <t>ROW costs include obtaining rights-of-way and allowing for damages.</t>
  </si>
  <si>
    <t>Materials costs can include line pipe, pipe coating, and cathodic protection.</t>
  </si>
  <si>
    <t>Labor costs includes labor costs.</t>
  </si>
  <si>
    <t>Miscellaneous costs generally cover surveying, engineering, supervision, contingencies, telecommunications equipment, freight, taxes, allowances for funds used during construction (AFUDC), administration and overheads, and regulatory filing fees.</t>
  </si>
  <si>
    <t>Source: Smith, C., 2011."Natural Gas Pipeline Operators' 2010 Profits Reach Record Levels", Oil and Gas Journal, September 5, 2011.</t>
  </si>
  <si>
    <t>The use of this model requires macros to be enabled.</t>
  </si>
  <si>
    <t>Table 6</t>
  </si>
  <si>
    <t>1999$/mi-yr</t>
  </si>
  <si>
    <t>Parker, N., 2004. "Using Natural Gas Transmission Pipeline Costs to Estimate Hydrogen Pipeline Costs", UCD-ITS-RR-04-35, Institute of Transportation Studies, UC Davis.</t>
  </si>
  <si>
    <t xml:space="preserve">Note: Leave number of pumps blank in the first row for the table </t>
  </si>
  <si>
    <t>to be bypassed when the macro is run.</t>
  </si>
  <si>
    <t>Cost of Equity (minimum internal rate of return on equity or IRROEmin)</t>
  </si>
  <si>
    <t>Natural Gas Pipeline Capital Costs per mile Using Parker's Equations</t>
  </si>
  <si>
    <t xml:space="preserve">Natural Gas Pipeline Capital Costs per mile Using Rui's Equations </t>
  </si>
  <si>
    <t>Natural Gas Pipeline Capital Costs per mile Using McCoy's Equations</t>
  </si>
  <si>
    <t>Tot (check)</t>
  </si>
  <si>
    <t xml:space="preserve"> Check of total of categories vs. total from func</t>
  </si>
  <si>
    <t>Table 7</t>
  </si>
  <si>
    <t>Proj. conting.</t>
  </si>
  <si>
    <t>Mat &amp; Lab as percent of total</t>
  </si>
  <si>
    <t>Perc. mat &amp; lab</t>
  </si>
  <si>
    <t>Cost of Debt (id)</t>
  </si>
  <si>
    <t>Tax Rate (rtax)</t>
  </si>
  <si>
    <t>Capitalization (fequity)</t>
  </si>
  <si>
    <t>tonnes/day</t>
  </si>
  <si>
    <t>Figure from U.S. DOE Energy Information Administration, 2013</t>
  </si>
  <si>
    <t>Summary</t>
  </si>
  <si>
    <t>Category</t>
  </si>
  <si>
    <t>Annual Tonnes of CO2 Transported (on average)</t>
  </si>
  <si>
    <t>Maximum flow rate is average flow rate divided by capacity factor</t>
  </si>
  <si>
    <t>B. First Year Price of CO2 as a Function of Number of Pumps</t>
  </si>
  <si>
    <t>A. First year price per tonne</t>
  </si>
  <si>
    <t>base year</t>
  </si>
  <si>
    <t>Engineering Cost Inputs</t>
  </si>
  <si>
    <t>1 to 5 years with appropriate percentages specified in Table 3</t>
  </si>
  <si>
    <t>1. Engineering Calculations</t>
  </si>
  <si>
    <t>1.1. General Characteristics</t>
  </si>
  <si>
    <t>1.2. Pipeline Characteristics</t>
  </si>
  <si>
    <t>1.3. Pump Characteristics</t>
  </si>
  <si>
    <t>1.4. CO2 Mass Flowrate</t>
  </si>
  <si>
    <t>1.5. Additional Calculations</t>
  </si>
  <si>
    <t>2.1. Pipeline Cost</t>
  </si>
  <si>
    <t>2.2. Pump Cost</t>
  </si>
  <si>
    <t>2.3. Total CAPEX</t>
  </si>
  <si>
    <t>3.1. Pipeline O&amp;M</t>
  </si>
  <si>
    <t>3.2. Pipeline Related Equipment and Pump O&amp;M</t>
  </si>
  <si>
    <t>3.3. Electricity for pumping</t>
  </si>
  <si>
    <t>3.4. Total OPEX</t>
  </si>
  <si>
    <t>2.1.1 Actual Pipeline Costs</t>
  </si>
  <si>
    <t>2.1.2 Additional Pipeline Related Costs</t>
  </si>
  <si>
    <t>2. CAPEX (Capital Expenses)</t>
  </si>
  <si>
    <t>3. OPEX (Operating Expenses)</t>
  </si>
  <si>
    <t>12 in</t>
  </si>
  <si>
    <t>Matls</t>
  </si>
  <si>
    <t>Total</t>
  </si>
  <si>
    <t>Parker</t>
  </si>
  <si>
    <t>McCoy</t>
  </si>
  <si>
    <t>Rui</t>
  </si>
  <si>
    <t>12 in Diameter Pipeline Cost (2011$/mi)</t>
  </si>
  <si>
    <t>20 in</t>
  </si>
  <si>
    <t>30 in</t>
  </si>
  <si>
    <t>20 in Diameter Pipeline Cost (2011$/mi)</t>
  </si>
  <si>
    <t>30 in Diameter Pipeline Cost (2011$/mi)</t>
  </si>
  <si>
    <t>Change in elevation is positive if pipeline outlet is at a higher elevation than inlet.</t>
  </si>
  <si>
    <t>PARKER=Parker (2004), MCCOY=McCoy and Rubin (2008), RUI=Rui et al. (2011)</t>
  </si>
  <si>
    <t>4. References</t>
  </si>
  <si>
    <t>Temperature of ground</t>
  </si>
  <si>
    <t>1.7 Pump Power</t>
  </si>
  <si>
    <t>1.6. Pipe Diameter</t>
  </si>
  <si>
    <t>0 = McCollum and Ogden (2006) method
1 = MIT (2009) and Heddle et al. (2003) method
2 = McCoy and Rubin (2008) method (default)</t>
  </si>
  <si>
    <t>NE=Northeast US, SE=Southeast US, MW=Midwest US, Cen=Central US,</t>
  </si>
  <si>
    <t xml:space="preserve">   SW=Southwest US, West=West US, Can= Canada; see Figure to right</t>
  </si>
  <si>
    <t>C. First Year Price of CO2 as a Function of Length of Pipeline</t>
  </si>
  <si>
    <t>miles</t>
  </si>
  <si>
    <t>See Table 1A</t>
  </si>
  <si>
    <t>first yr of proj</t>
  </si>
  <si>
    <t>first yr of transp</t>
  </si>
  <si>
    <t xml:space="preserve">Length of </t>
  </si>
  <si>
    <t>Number of</t>
  </si>
  <si>
    <t>Optimal</t>
  </si>
  <si>
    <t>Pipe Diameter</t>
  </si>
  <si>
    <t>Minimum</t>
  </si>
  <si>
    <t>Selected</t>
  </si>
  <si>
    <t xml:space="preserve">Note: Leave length of pipeline blank in the first row for the table </t>
  </si>
  <si>
    <t>Version:</t>
  </si>
  <si>
    <t>Status:</t>
  </si>
  <si>
    <t>Final</t>
  </si>
  <si>
    <t>Date:</t>
  </si>
  <si>
    <t>Contacts:
Timothy Grant (National Energy Technology Laboratory), timothy.grant@netl.doe.gov, 412-386-5457
David Morgan (National Energy Technology Laboratory), david.morgan@netl.doe.gov, 412-386-7405</t>
  </si>
  <si>
    <t>Open source software license: BSD 1
&lt;OWNER&gt; = National Energy Technology Laboratory
&lt;YEAR&gt; = 2014
Redistribution and use of this software (a spreadsheet file), with or without modification, is permitted provided that the following conditions are met:
• Redistributions of this software must retain this list of conditions and the following disclaimer. 
• The National Energy Technology Laboratory shall have permission to distribute derivative works created by the licensee.  Such derivative works shall have a different name or version number from the original software. 
• Neither the name of the National Energy Technology Laboratory nor the names of its contributors may be used to endorse or promote products derived from this software without specific prior written permission. 
THIS SOFTWARE IS PROVIDED BY THE OWNER AND CONTRIBUTORS "AS IS" AND ANY EXPRESS OR IMPLIED WARRANTIES, INCLUDING, BUT NOT LIMITED TO, THE IMPLIED WARRANTIES OF MERCHANTABILITY AND FITNESS FOR A PARTICULAR PURPOSE ARE DISCLAIMED. IN NO EVENT SHALL THE OWNER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</si>
  <si>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Disclaimer: This spreadsheet file was prepared as an account of work sponsored by an agency of the United States Government. Neither the United States Government nor any agency thereof, nor any of their employees, makes any warranty, express or implied, or assumes any legal liability or responsibility for the accuracy, completeness, or usefulness of any information, apparatus, product, or process disclosed, or represents that its use would not infringe privately owned rights. Reference therein to any specific commercial product, process, or service by trade name, trademark, manufacturer, or otherwise does not necessarily constitute or imply its endorsement, recommendation, or favoring by the United States Government or any agency thereof. The views and opinions of authors expressed therein do not necessarily state or reflect those of the United States Government or any agency thereof.</t>
  </si>
  <si>
    <t>This model estimates costs for transporting dense phase (liquid) CO2 in a pipeline from a source, such as a power plant, to either a CO2 saline storage site or a CO2 EOR site. This is a point to point transport model and does not account for possible cost reductions from using a larger diameter trunk pipe as part of a pipeline network. The model includes costs for constructing the pipeline, including booster pumps if desired. The model also includes costs for operating the pipeline.
To use the model, change any of the inputs, which are always orange cells, to the values appropriate for your project.</t>
  </si>
  <si>
    <t>DB150</t>
  </si>
  <si>
    <t>DB150 is default</t>
  </si>
  <si>
    <t>15 years is default</t>
  </si>
  <si>
    <t>FE/NETL CO2 Transport Cost Model: Main Interface and Financial Model</t>
  </si>
  <si>
    <t>FE/NETL CO2 Transport Cost Model: Engineering Module (Engineering Equations and Capital and Operating Expenses)</t>
  </si>
  <si>
    <t>FE/NETL CO2 Transport Cost Model: Data for Developing a Factor to Translate Natural Gas Pipeline Capital Costs to CO2 Pipeline Capital Costs</t>
  </si>
  <si>
    <t>FE/NETL CO2 Transport Cost Model: Indices for adjusting costs and prices from a basis in one year to another year</t>
  </si>
  <si>
    <t>FE/NETL CO2 Transport Cost Model: Natural gas pipeline capital costs for different models</t>
  </si>
  <si>
    <t>FE/NETL CO2 Transport Cost Model: Natural gas pipeline capital costs for different models with a variety of graphics</t>
  </si>
  <si>
    <t>Tables with capital costs for different aspects of constructing a natural gas or petroleum pipelines using three different cost models.</t>
  </si>
  <si>
    <t>Pipe Cap plot1</t>
  </si>
  <si>
    <t>Pipe Cap plot2</t>
  </si>
  <si>
    <t>Tables of capital costs for different aspects of constructing a natural gas or petroleum pipelines using three different cost models.</t>
  </si>
  <si>
    <t>Tables and plots of capital costs for different aspects of constructing a natural gas or petroleum pipelines using three different cost models. Plots used in User Guide.</t>
  </si>
  <si>
    <t>NETL document number:</t>
  </si>
  <si>
    <t>DOE/NETL-2014/1667</t>
  </si>
  <si>
    <t>2-year construction capital schedule:</t>
  </si>
  <si>
    <t>4-year construction capital schedule:</t>
  </si>
  <si>
    <t>3-year construction capital schedule:</t>
  </si>
  <si>
    <t>Pipeline Segment</t>
  </si>
  <si>
    <t>Capital Expenditure Duration</t>
  </si>
  <si>
    <t>Operation Duration</t>
  </si>
  <si>
    <t>Construction Start Year</t>
  </si>
  <si>
    <t>Operation Start year</t>
  </si>
  <si>
    <t>$ per tonne</t>
  </si>
  <si>
    <t>$/inch-mile</t>
  </si>
  <si>
    <t>Table 7a</t>
  </si>
  <si>
    <t>Debt Schedule</t>
  </si>
  <si>
    <t>Tax Calculation and Discounted Cash Flow</t>
  </si>
  <si>
    <t>Added explicit debt calculation and payback schedule</t>
  </si>
  <si>
    <t>Modified tax calculation to include carry forward of previous tax losses</t>
  </si>
  <si>
    <t>Added explicit interest deductions for tax calculation</t>
  </si>
  <si>
    <t>Included new limits on interest deductions from the Tax Cuts and Jobs Act of 2017</t>
  </si>
  <si>
    <t>Modified FCF calculation to reflect explicit consideration of debt: this is now FCF to equity only</t>
  </si>
  <si>
    <t>Modified tax calculation to prevent negative tax (previously possible with negative earnings)</t>
  </si>
  <si>
    <t>Rate of Return to Owners</t>
  </si>
  <si>
    <t>Segment ID</t>
  </si>
  <si>
    <t>Decimal Percent</t>
  </si>
  <si>
    <t>DEFAULT</t>
  </si>
  <si>
    <t>Inlet Pressure</t>
  </si>
  <si>
    <t>Outputs</t>
  </si>
  <si>
    <t>2026$</t>
  </si>
  <si>
    <t>Summary Table</t>
  </si>
  <si>
    <t>Modified FE/NETL CO2 Transport Cost Model</t>
  </si>
  <si>
    <t>A summary table has been added in rows 2 and 3 of the "Main" tab for copying the information for each pipeline segment calculated in the model</t>
  </si>
  <si>
    <t>The following modifications have been made to the FE/NETL CO2 Transport Cost Model financial analysis:</t>
  </si>
  <si>
    <t xml:space="preserve">Calculation macro: </t>
  </si>
  <si>
    <t>"Pipeline Network" worksheet contains a macro that calculates and reports CO2 tariff for multiple pipeline segments after one click</t>
  </si>
  <si>
    <t xml:space="preserve">Reference: </t>
  </si>
  <si>
    <t>mile</t>
  </si>
  <si>
    <t>psi</t>
  </si>
  <si>
    <t>CO2 Capacity</t>
  </si>
  <si>
    <t>Capacity Factor</t>
  </si>
  <si>
    <t>Elevation Change</t>
  </si>
  <si>
    <t>Specific Capital Cost</t>
  </si>
  <si>
    <t>Total Capital Cost</t>
  </si>
  <si>
    <t>Total Operating Cost</t>
  </si>
  <si>
    <t>Total Cost per Tonne Transported</t>
  </si>
  <si>
    <t>Required CO2 Tariff</t>
  </si>
  <si>
    <t>yr</t>
  </si>
  <si>
    <t>Mt/year</t>
  </si>
  <si>
    <t>Length of Pipeline</t>
  </si>
  <si>
    <t>Num. of Pumps</t>
  </si>
  <si>
    <t>Where Results Are</t>
  </si>
  <si>
    <t>Desired</t>
  </si>
  <si>
    <t>Pipeline</t>
  </si>
  <si>
    <t>Project Discount Rate</t>
  </si>
  <si>
    <t>Depreciation Method (DB150 - 150% declining balance or SL - straight line)</t>
  </si>
  <si>
    <t>Recovery Period for Depreciation (15 or 20 years)</t>
  </si>
  <si>
    <t>Duration of Construction</t>
  </si>
  <si>
    <t>Duration of Operation</t>
  </si>
  <si>
    <t>Maximum CO2 Transported Each Day</t>
  </si>
  <si>
    <t>Indicate Equations to Use for Capital Cost of Natural Gas Pipelines</t>
  </si>
  <si>
    <t>Total Capital Expenses (before contingencies)</t>
  </si>
  <si>
    <t>Pipeline Related Equipment and Pumps O&amp;M</t>
  </si>
  <si>
    <t>Electricity Costs for Pumps</t>
  </si>
  <si>
    <t>Total Annual Operating Expenses</t>
  </si>
  <si>
    <t>Escalation Schedule</t>
  </si>
  <si>
    <t>Factor for Dividing Escal. Quantities to Yield Pres. Value Using Equity IRR</t>
  </si>
  <si>
    <t>Total Investment (capital expenses or Capex) in Real $</t>
  </si>
  <si>
    <t>Total Investment (capital expenses or Capex) with Project Contingency in Real $</t>
  </si>
  <si>
    <t>Project Expenses (operating expenses or Opex) in Real $</t>
  </si>
  <si>
    <t>Total Investment (capital expenses or Capex) with Project Contingency in Escalated $</t>
  </si>
  <si>
    <t>Project Expenses (operating expenses or Opex) in Escalated $</t>
  </si>
  <si>
    <t>Total Investment (capital expenses or Capex) with Proj. Contingency in Pres. Value $</t>
  </si>
  <si>
    <t>Project Expenses (operating expenses or Opex) in Present Value $</t>
  </si>
  <si>
    <t>Total Capital Costs with Project Contingency in Escalated Dollars</t>
  </si>
  <si>
    <t>Total Capital Costs w/ Proj. Contingency in Esc. $ Before Pipeline Operations Begin</t>
  </si>
  <si>
    <t>Depreciation Factors (MACRS GDS 150% Decl. Bal. 15 years)</t>
  </si>
  <si>
    <t>Depreciation Factors (MACRS GDS 150% Decl. Bal. 20 years)</t>
  </si>
  <si>
    <t>Depreciation Factors (MACRS GDS Straight Line 15 years)</t>
  </si>
  <si>
    <t>Depreciation Factors (MACRS GDS Straight Line 20 years)</t>
  </si>
  <si>
    <t>CO2 Transported Each Year (tonnes)</t>
  </si>
  <si>
    <t>Revenues for Transporting CO2 in Escalated $</t>
  </si>
  <si>
    <t>Revenues for Transporting CO2 in Real $</t>
  </si>
  <si>
    <t>Revenues for Transporting CO2, Net Present Value</t>
  </si>
  <si>
    <t>Debt Principal</t>
  </si>
  <si>
    <t>Interest Paid</t>
  </si>
  <si>
    <t>Principal Paid</t>
  </si>
  <si>
    <t>Debt Service Coverage Ratio</t>
  </si>
  <si>
    <t>Cost of Goods Sold in Escalated $ (always zero)</t>
  </si>
  <si>
    <t>Depreciation in Escalated $</t>
  </si>
  <si>
    <t>Earnings Before Interest and Taxes (EBIT) in Escalated $</t>
  </si>
  <si>
    <t xml:space="preserve">  Cumulative Earnings</t>
  </si>
  <si>
    <t>Deductible Interest</t>
  </si>
  <si>
    <t>Used Carried Forward Deductible Interest</t>
  </si>
  <si>
    <t xml:space="preserve">  Deductible Interest Carried Forward</t>
  </si>
  <si>
    <t xml:space="preserve">  Cumulative Unused Deductible Interest</t>
  </si>
  <si>
    <t>Taxable Income</t>
  </si>
  <si>
    <t>Taxes Paid</t>
  </si>
  <si>
    <t>Earnings Before Interest and After Taxes in Escalated $</t>
  </si>
  <si>
    <t>Capex in Escalated $</t>
  </si>
  <si>
    <t>Change in Net Working Capital in Escalated $ (always zero)</t>
  </si>
  <si>
    <t>Free Cash Flow in Escalated $</t>
  </si>
  <si>
    <t>Free Cash Flow in Present Value $ (discounted using equity IRR)</t>
  </si>
  <si>
    <t>This macro is modified from Edwards and Celia (2018) macro</t>
  </si>
  <si>
    <t>Instructions of using the macro are inlcuded in the "Pipeline Network" worksheet</t>
  </si>
  <si>
    <r>
      <t xml:space="preserve">Edwards, R. W. J.; Celia, M. A. Infrastructure to enable deployment of carbon capture, utilization, and storage in the United States. </t>
    </r>
    <r>
      <rPr>
        <i/>
        <sz val="10"/>
        <color theme="1"/>
        <rFont val="Calibri"/>
        <family val="2"/>
        <scheme val="minor"/>
      </rPr>
      <t>Proc. Natl. Acad. Sci. U.S.A.</t>
    </r>
    <r>
      <rPr>
        <sz val="10"/>
        <color theme="1"/>
        <rFont val="Calibri"/>
        <family val="2"/>
        <scheme val="minor"/>
      </rPr>
      <t xml:space="preserve"> </t>
    </r>
    <r>
      <rPr>
        <b/>
        <sz val="10"/>
        <color theme="1"/>
        <rFont val="Calibri"/>
        <family val="2"/>
        <scheme val="minor"/>
      </rPr>
      <t>2018</t>
    </r>
    <r>
      <rPr>
        <sz val="10"/>
        <color theme="1"/>
        <rFont val="Calibri"/>
        <family val="2"/>
        <scheme val="minor"/>
      </rPr>
      <t xml:space="preserve">, </t>
    </r>
    <r>
      <rPr>
        <i/>
        <sz val="10"/>
        <color theme="1"/>
        <rFont val="Calibri"/>
        <family val="2"/>
        <scheme val="minor"/>
      </rPr>
      <t>115</t>
    </r>
    <r>
      <rPr>
        <sz val="10"/>
        <color theme="1"/>
        <rFont val="Calibri"/>
        <family val="2"/>
        <scheme val="minor"/>
      </rPr>
      <t xml:space="preserve"> (38), E8815–E8824.</t>
    </r>
  </si>
  <si>
    <t>Modified by: Yiheng Tao, May 2019, yihengt@princeton.edu, based on Pipeline Cost Model in Edwards and Celia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</si>
</sst>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6" formatCode="&quot;$&quot;#,##0_);[Red]\(&quot;$&quot;#,##0\)"/>
    <numFmt numFmtId="8" formatCode="&quot;$&quot;#,##0.00_);[Red]\(&quot;$&quot;#,##0.00\)"/>
    <numFmt numFmtId="41" formatCode="_(* #,##0_);_(* \(#,##0\);_(* &quot;-&quot;_);_(@_)"/>
    <numFmt numFmtId="44" formatCode="_(&quot;$&quot;* #,##0.00_);_(&quot;$&quot;* \(#,##0.00\);_(&quot;$&quot;* &quot;-&quot;??_);_(@_)"/>
    <numFmt numFmtId="43" formatCode="_(* #,##0.00_);_(* \(#,##0.00\);_(* &quot;-&quot;??_);_(@_)"/>
    <numFmt numFmtId="164" formatCode="0.000000"/>
    <numFmt numFmtId="165" formatCode="_(* #,##0_);_(* \(#,##0\);_(* &quot;-&quot;??_);_(@_)"/>
    <numFmt numFmtId="166" formatCode="0.0"/>
    <numFmt numFmtId="167" formatCode="0.0%"/>
    <numFmt numFmtId="168" formatCode="0.0000"/>
    <numFmt numFmtId="169" formatCode="_ [$€-2]\ * #,##0.00_ ;_ [$€-2]\ * \-#,##0.00_ ;_ [$€-2]\ * &quot;-&quot;??_ "/>
    <numFmt numFmtId="170" formatCode="mmm\ dd\,\ yyyy"/>
    <numFmt numFmtId="171" formatCode="mmm\-yyyy"/>
    <numFmt numFmtId="172" formatCode="yyyy"/>
    <numFmt numFmtId="173" formatCode="[=0]&quot;&quot;;General"/>
    <numFmt numFmtId="174" formatCode="0.00E+0;[=0]&quot;-&quot;;0.00E+0"/>
    <numFmt numFmtId="175" formatCode="#,##0.0"/>
    <numFmt numFmtId="176" formatCode="0.000"/>
    <numFmt numFmtId="177" formatCode="[$-409]mmm\-yy;@"/>
    <numFmt numFmtId="178" formatCode="yyyy\-mm\-dd"/>
    <numFmt numFmtId="179" formatCode="#,##0.0000"/>
    <numFmt numFmtId="180" formatCode="[$-409]mmmm\ d\,\ yyyy;@"/>
    <numFmt numFmtId="181" formatCode="&quot;$&quot;#,##0"/>
    <numFmt numFmtId="182" formatCode="&quot;$&quot;#,##0.00"/>
    <numFmt numFmtId="183" formatCode="&quot;$&quot;\ #,##0.00"/>
    <numFmt numFmtId="184" formatCode="&quot;$&quot;#,##0.0"/>
  </numFmts>
  <fonts count="69" x14ac:knownFonts="1">
    <font>
      <sz val="11"/>
      <color theme="1"/>
      <name val="Calibri"/>
      <family val="2"/>
      <scheme val="minor"/>
    </font>
    <font>
      <sz val="10"/>
      <color theme="1"/>
      <name val="Calibri"/>
      <family val="2"/>
    </font>
    <font>
      <sz val="10"/>
      <color theme="1"/>
      <name val="Calibri"/>
      <family val="2"/>
    </font>
    <font>
      <sz val="10"/>
      <color theme="1"/>
      <name val="Calibri"/>
      <family val="2"/>
    </font>
    <font>
      <sz val="11"/>
      <color theme="1"/>
      <name val="Calibri"/>
      <family val="2"/>
      <scheme val="minor"/>
    </font>
    <font>
      <sz val="10"/>
      <color theme="1"/>
      <name val="Calibri"/>
      <family val="2"/>
      <scheme val="minor"/>
    </font>
    <font>
      <vertAlign val="subscript"/>
      <sz val="10"/>
      <color theme="1"/>
      <name val="Calibri"/>
      <family val="2"/>
      <scheme val="minor"/>
    </font>
    <font>
      <vertAlign val="subscript"/>
      <sz val="10"/>
      <color theme="1"/>
      <name val="Calibri"/>
      <family val="2"/>
    </font>
    <font>
      <i/>
      <sz val="10"/>
      <color theme="1"/>
      <name val="Calibri"/>
      <family val="2"/>
      <scheme val="minor"/>
    </font>
    <font>
      <b/>
      <sz val="10"/>
      <color theme="1"/>
      <name val="Calibri"/>
      <family val="2"/>
      <scheme val="minor"/>
    </font>
    <font>
      <sz val="10"/>
      <color theme="1"/>
      <name val="Arial"/>
      <family val="2"/>
    </font>
    <font>
      <sz val="10"/>
      <name val="Arial"/>
      <family val="2"/>
    </font>
    <font>
      <b/>
      <u/>
      <sz val="10"/>
      <name val="Calibri"/>
      <family val="2"/>
      <scheme val="minor"/>
    </font>
    <font>
      <sz val="10"/>
      <color theme="1"/>
      <name val="Times New Roman"/>
      <family val="2"/>
    </font>
    <font>
      <sz val="10"/>
      <name val="Calibri"/>
      <family val="2"/>
      <scheme val="minor"/>
    </font>
    <font>
      <u/>
      <sz val="10"/>
      <color rgb="FF0000FF"/>
      <name val="Calibri"/>
      <family val="2"/>
      <scheme val="minor"/>
    </font>
    <font>
      <u/>
      <sz val="10"/>
      <color theme="10"/>
      <name val="Arial"/>
      <family val="2"/>
    </font>
    <font>
      <sz val="10"/>
      <color theme="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b/>
      <sz val="11"/>
      <color indexed="12"/>
      <name val="Arial"/>
      <family val="2"/>
    </font>
    <font>
      <sz val="9"/>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u/>
      <sz val="11"/>
      <color theme="10"/>
      <name val="Calibri"/>
      <family val="2"/>
    </font>
    <font>
      <u/>
      <sz val="10"/>
      <color theme="10"/>
      <name val="Calibri"/>
      <family val="2"/>
    </font>
    <font>
      <sz val="11"/>
      <color indexed="62"/>
      <name val="Calibri"/>
      <family val="2"/>
    </font>
    <font>
      <sz val="11"/>
      <color indexed="52"/>
      <name val="Calibri"/>
      <family val="2"/>
    </font>
    <font>
      <sz val="11"/>
      <color indexed="60"/>
      <name val="Calibri"/>
      <family val="2"/>
    </font>
    <font>
      <sz val="11"/>
      <name val="Calibri"/>
      <family val="2"/>
    </font>
    <font>
      <sz val="10"/>
      <name val="MS Sans Serif"/>
      <family val="2"/>
    </font>
    <font>
      <b/>
      <sz val="11"/>
      <color indexed="63"/>
      <name val="Calibri"/>
      <family val="2"/>
    </font>
    <font>
      <b/>
      <sz val="10"/>
      <name val="Arial"/>
      <family val="2"/>
    </font>
    <font>
      <b/>
      <sz val="12"/>
      <name val="Arial"/>
      <family val="2"/>
    </font>
    <font>
      <sz val="9"/>
      <name val="Helv"/>
      <family val="2"/>
    </font>
    <font>
      <b/>
      <sz val="18"/>
      <color indexed="56"/>
      <name val="Cambria"/>
      <family val="2"/>
    </font>
    <font>
      <b/>
      <sz val="11"/>
      <color indexed="8"/>
      <name val="Calibri"/>
      <family val="2"/>
    </font>
    <font>
      <sz val="11"/>
      <color indexed="10"/>
      <name val="Calibri"/>
      <family val="2"/>
    </font>
    <font>
      <b/>
      <sz val="10"/>
      <color theme="0"/>
      <name val="Calibri"/>
      <family val="2"/>
      <scheme val="minor"/>
    </font>
    <font>
      <b/>
      <sz val="10"/>
      <name val="Calibri"/>
      <family val="2"/>
      <scheme val="minor"/>
    </font>
    <font>
      <sz val="10"/>
      <color rgb="FFFF0000"/>
      <name val="Calibri"/>
      <family val="2"/>
      <scheme val="minor"/>
    </font>
    <font>
      <sz val="11"/>
      <name val="Calibri"/>
      <family val="2"/>
      <scheme val="minor"/>
    </font>
    <font>
      <sz val="8"/>
      <color theme="1"/>
      <name val="Calibri"/>
      <family val="2"/>
      <scheme val="minor"/>
    </font>
    <font>
      <b/>
      <sz val="10"/>
      <color theme="1"/>
      <name val="Calibri"/>
      <family val="2"/>
    </font>
    <font>
      <sz val="8"/>
      <color theme="1"/>
      <name val="Calibri"/>
      <family val="2"/>
    </font>
    <font>
      <b/>
      <sz val="10"/>
      <color indexed="8"/>
      <name val="Calibri"/>
      <family val="2"/>
      <scheme val="minor"/>
    </font>
    <font>
      <sz val="10"/>
      <color indexed="8"/>
      <name val="Calibri"/>
      <family val="2"/>
      <scheme val="minor"/>
    </font>
    <font>
      <b/>
      <sz val="10"/>
      <color indexed="26"/>
      <name val="Calibri"/>
      <family val="2"/>
      <scheme val="minor"/>
    </font>
    <font>
      <sz val="10"/>
      <color indexed="10"/>
      <name val="Calibri"/>
      <family val="2"/>
      <scheme val="minor"/>
    </font>
    <font>
      <u/>
      <sz val="8"/>
      <color theme="10"/>
      <name val="Calibri"/>
      <family val="2"/>
      <scheme val="minor"/>
    </font>
    <font>
      <b/>
      <sz val="11"/>
      <color theme="1"/>
      <name val="Calibri"/>
      <family val="2"/>
      <scheme val="minor"/>
    </font>
    <font>
      <i/>
      <sz val="10"/>
      <name val="Calibri"/>
      <family val="2"/>
      <scheme val="minor"/>
    </font>
    <font>
      <sz val="11"/>
      <color rgb="FF000000"/>
      <name val="Calibri"/>
      <family val="2"/>
    </font>
    <font>
      <sz val="11"/>
      <color theme="0" tint="-0.249977111117893"/>
      <name val="Calibri"/>
      <family val="2"/>
      <scheme val="minor"/>
    </font>
    <font>
      <b/>
      <sz val="11"/>
      <name val="Calibri"/>
      <family val="2"/>
      <scheme val="minor"/>
    </font>
    <font>
      <b/>
      <sz val="12"/>
      <color theme="1"/>
      <name val="Calibri"/>
      <family val="2"/>
      <scheme val="minor"/>
    </font>
    <font>
      <i/>
      <sz val="12"/>
      <color theme="1"/>
      <name val="Calibri"/>
      <family val="2"/>
      <scheme val="minor"/>
    </font>
    <font>
      <i/>
      <strike/>
      <sz val="10"/>
      <color rgb="FF00B050"/>
      <name val="Calibri"/>
      <family val="2"/>
      <scheme val="minor"/>
    </font>
    <font>
      <strike/>
      <sz val="10"/>
      <color theme="1"/>
      <name val="Calibri"/>
      <family val="2"/>
      <scheme val="minor"/>
    </font>
    <font>
      <b/>
      <strike/>
      <sz val="10"/>
      <color theme="1"/>
      <name val="Calibri"/>
      <family val="2"/>
      <scheme val="minor"/>
    </font>
    <font>
      <strike/>
      <sz val="10"/>
      <name val="Calibri"/>
      <family val="2"/>
      <scheme val="minor"/>
    </font>
    <font>
      <strike/>
      <sz val="10"/>
      <color rgb="FF00B050"/>
      <name val="Calibri"/>
      <family val="2"/>
      <scheme val="minor"/>
    </font>
  </fonts>
  <fills count="48">
    <fill>
      <patternFill patternType="none"/>
    </fill>
    <fill>
      <patternFill patternType="gray125"/>
    </fill>
    <fill>
      <patternFill patternType="solid">
        <fgColor theme="0"/>
        <bgColor indexed="64"/>
      </patternFill>
    </fill>
    <fill>
      <patternFill patternType="solid">
        <fgColor theme="9" tint="0.59996337778862885"/>
        <bgColor indexed="64"/>
      </patternFill>
    </fill>
    <fill>
      <patternFill patternType="solid">
        <fgColor theme="3" tint="0.79998168889431442"/>
        <bgColor indexed="64"/>
      </patternFill>
    </fill>
    <fill>
      <patternFill patternType="solid">
        <fgColor rgb="FFFFFF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31"/>
        <bgColor indexed="8"/>
      </patternFill>
    </fill>
    <fill>
      <patternFill patternType="solid">
        <fgColor indexed="43"/>
        <bgColor indexed="8"/>
      </patternFill>
    </fill>
    <fill>
      <patternFill patternType="solid">
        <fgColor indexed="63"/>
        <bgColor indexed="8"/>
      </patternFill>
    </fill>
    <fill>
      <patternFill patternType="solid">
        <fgColor theme="9" tint="0.59999389629810485"/>
        <bgColor indexed="64"/>
      </patternFill>
    </fill>
    <fill>
      <patternFill patternType="solid">
        <fgColor rgb="FFFF0000"/>
        <bgColor indexed="64"/>
      </patternFill>
    </fill>
    <fill>
      <patternFill patternType="solid">
        <fgColor indexed="9"/>
        <bgColor indexed="64"/>
      </patternFill>
    </fill>
    <fill>
      <patternFill patternType="solid">
        <fgColor indexed="30"/>
        <bgColor indexed="64"/>
      </patternFill>
    </fill>
    <fill>
      <patternFill patternType="solid">
        <fgColor rgb="FFFFFFFF"/>
        <bgColor indexed="64"/>
      </patternFill>
    </fill>
    <fill>
      <patternFill patternType="solid">
        <fgColor rgb="FFCCFFFF"/>
        <bgColor indexed="64"/>
      </patternFill>
    </fill>
    <fill>
      <patternFill patternType="solid">
        <fgColor theme="7" tint="0.59999389629810485"/>
        <bgColor indexed="64"/>
      </patternFill>
    </fill>
    <fill>
      <patternFill patternType="solid">
        <fgColor rgb="FFFF66CC"/>
        <bgColor indexed="64"/>
      </patternFill>
    </fill>
    <fill>
      <patternFill patternType="solid">
        <fgColor rgb="FFFFC000"/>
        <bgColor indexed="64"/>
      </patternFill>
    </fill>
    <fill>
      <patternFill patternType="solid">
        <fgColor indexed="9"/>
        <bgColor indexed="9"/>
      </patternFill>
    </fill>
    <fill>
      <patternFill patternType="solid">
        <fgColor rgb="FFFFC000"/>
        <bgColor indexed="9"/>
      </patternFill>
    </fill>
    <fill>
      <patternFill patternType="solid">
        <fgColor rgb="FFFF66CC"/>
        <bgColor indexed="9"/>
      </patternFill>
    </fill>
    <fill>
      <patternFill patternType="solid">
        <fgColor rgb="FFFF0000"/>
        <bgColor indexed="9"/>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theme="4" tint="0.79998168889431442"/>
        <bgColor indexed="64"/>
      </patternFill>
    </fill>
  </fills>
  <borders count="135">
    <border>
      <left/>
      <right/>
      <top/>
      <bottom/>
      <diagonal/>
    </border>
    <border>
      <left/>
      <right/>
      <top/>
      <bottom style="medium">
        <color indexed="64"/>
      </bottom>
      <diagonal/>
    </border>
    <border>
      <left style="medium">
        <color auto="1"/>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medium">
        <color auto="1"/>
      </right>
      <top/>
      <bottom style="medium">
        <color auto="1"/>
      </bottom>
      <diagonal/>
    </border>
    <border>
      <left style="thin">
        <color auto="1"/>
      </left>
      <right/>
      <top style="thin">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diagonal/>
    </border>
    <border>
      <left/>
      <right/>
      <top style="thin">
        <color indexed="64"/>
      </top>
      <bottom style="thin">
        <color indexed="64"/>
      </bottom>
      <diagonal/>
    </border>
    <border>
      <left style="medium">
        <color auto="1"/>
      </left>
      <right style="medium">
        <color auto="1"/>
      </right>
      <top style="thin">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indexed="39"/>
      </top>
      <bottom/>
      <diagonal/>
    </border>
    <border>
      <left style="medium">
        <color indexed="39"/>
      </left>
      <right/>
      <top style="medium">
        <color indexed="39"/>
      </top>
      <bottom/>
      <diagonal/>
    </border>
    <border>
      <left/>
      <right/>
      <top/>
      <bottom style="medium">
        <color indexed="39"/>
      </bottom>
      <diagonal/>
    </border>
    <border>
      <left/>
      <right/>
      <top style="thin">
        <color indexed="62"/>
      </top>
      <bottom style="double">
        <color indexed="62"/>
      </bottom>
      <diagonal/>
    </border>
    <border>
      <left/>
      <right style="medium">
        <color auto="1"/>
      </right>
      <top/>
      <bottom style="thin">
        <color indexed="64"/>
      </bottom>
      <diagonal/>
    </border>
    <border>
      <left/>
      <right style="medium">
        <color auto="1"/>
      </right>
      <top style="thin">
        <color indexed="64"/>
      </top>
      <bottom style="medium">
        <color indexed="64"/>
      </bottom>
      <diagonal/>
    </border>
    <border>
      <left/>
      <right/>
      <top style="thin">
        <color indexed="64"/>
      </top>
      <bottom style="medium">
        <color indexed="64"/>
      </bottom>
      <diagonal/>
    </border>
    <border>
      <left/>
      <right/>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medium">
        <color auto="1"/>
      </top>
      <bottom style="thin">
        <color indexed="64"/>
      </bottom>
      <diagonal/>
    </border>
    <border>
      <left/>
      <right/>
      <top style="thin">
        <color auto="1"/>
      </top>
      <bottom style="thin">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style="thin">
        <color auto="1"/>
      </left>
      <right style="thin">
        <color auto="1"/>
      </right>
      <top style="thin">
        <color auto="1"/>
      </top>
      <bottom/>
      <diagonal/>
    </border>
    <border>
      <left/>
      <right style="medium">
        <color auto="1"/>
      </right>
      <top/>
      <bottom/>
      <diagonal/>
    </border>
    <border>
      <left/>
      <right style="thin">
        <color auto="1"/>
      </right>
      <top/>
      <bottom style="hair">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style="thin">
        <color auto="1"/>
      </left>
      <right style="thin">
        <color auto="1"/>
      </right>
      <top/>
      <bottom style="medium">
        <color indexed="64"/>
      </bottom>
      <diagonal/>
    </border>
    <border>
      <left/>
      <right/>
      <top/>
      <bottom style="hair">
        <color auto="1"/>
      </bottom>
      <diagonal/>
    </border>
    <border>
      <left/>
      <right style="medium">
        <color auto="1"/>
      </right>
      <top/>
      <bottom style="hair">
        <color auto="1"/>
      </bottom>
      <diagonal/>
    </border>
    <border>
      <left/>
      <right/>
      <top style="hair">
        <color auto="1"/>
      </top>
      <bottom style="thin">
        <color auto="1"/>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top style="medium">
        <color auto="1"/>
      </top>
      <bottom/>
      <diagonal/>
    </border>
    <border>
      <left/>
      <right style="medium">
        <color auto="1"/>
      </right>
      <top style="medium">
        <color auto="1"/>
      </top>
      <bottom/>
      <diagonal/>
    </border>
    <border>
      <left style="medium">
        <color indexed="64"/>
      </left>
      <right style="medium">
        <color indexed="64"/>
      </right>
      <top/>
      <bottom style="thin">
        <color indexed="64"/>
      </bottom>
      <diagonal/>
    </border>
    <border>
      <left/>
      <right style="medium">
        <color auto="1"/>
      </right>
      <top/>
      <bottom style="thin">
        <color auto="1"/>
      </bottom>
      <diagonal/>
    </border>
    <border>
      <left/>
      <right/>
      <top/>
      <bottom style="thin">
        <color auto="1"/>
      </bottom>
      <diagonal/>
    </border>
    <border>
      <left/>
      <right style="medium">
        <color auto="1"/>
      </right>
      <top style="thin">
        <color auto="1"/>
      </top>
      <bottom/>
      <diagonal/>
    </border>
    <border>
      <left style="thin">
        <color auto="1"/>
      </left>
      <right style="thin">
        <color auto="1"/>
      </right>
      <top/>
      <bottom/>
      <diagonal/>
    </border>
    <border>
      <left style="thin">
        <color auto="1"/>
      </left>
      <right style="medium">
        <color auto="1"/>
      </right>
      <top/>
      <bottom/>
      <diagonal/>
    </border>
    <border>
      <left style="thin">
        <color indexed="64"/>
      </left>
      <right style="thin">
        <color auto="1"/>
      </right>
      <top style="thin">
        <color indexed="64"/>
      </top>
      <bottom/>
      <diagonal/>
    </border>
    <border>
      <left/>
      <right/>
      <top/>
      <bottom style="medium">
        <color auto="1"/>
      </bottom>
      <diagonal/>
    </border>
    <border>
      <left style="thin">
        <color auto="1"/>
      </left>
      <right/>
      <top/>
      <bottom/>
      <diagonal/>
    </border>
    <border>
      <left style="thin">
        <color indexed="64"/>
      </left>
      <right style="thin">
        <color indexed="64"/>
      </right>
      <top style="medium">
        <color indexed="64"/>
      </top>
      <bottom style="hair">
        <color indexed="64"/>
      </bottom>
      <diagonal/>
    </border>
    <border>
      <left style="thick">
        <color auto="1"/>
      </left>
      <right style="thick">
        <color auto="1"/>
      </right>
      <top style="thick">
        <color auto="1"/>
      </top>
      <bottom style="thick">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indexed="64"/>
      </left>
      <right/>
      <top style="thin">
        <color indexed="64"/>
      </top>
      <bottom style="thin">
        <color indexed="64"/>
      </bottom>
      <diagonal/>
    </border>
    <border>
      <left/>
      <right style="medium">
        <color auto="1"/>
      </right>
      <top style="thin">
        <color auto="1"/>
      </top>
      <bottom style="thin">
        <color auto="1"/>
      </bottom>
      <diagonal/>
    </border>
    <border>
      <left style="medium">
        <color indexed="64"/>
      </left>
      <right/>
      <top style="thin">
        <color auto="1"/>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medium">
        <color indexed="64"/>
      </right>
      <top/>
      <bottom style="medium">
        <color indexed="64"/>
      </bottom>
      <diagonal/>
    </border>
    <border>
      <left/>
      <right style="hair">
        <color indexed="64"/>
      </right>
      <top/>
      <bottom/>
      <diagonal/>
    </border>
    <border>
      <left style="hair">
        <color indexed="64"/>
      </left>
      <right/>
      <top/>
      <bottom/>
      <diagonal/>
    </border>
    <border>
      <left style="hair">
        <color indexed="64"/>
      </left>
      <right/>
      <top style="hair">
        <color auto="1"/>
      </top>
      <bottom style="hair">
        <color auto="1"/>
      </bottom>
      <diagonal/>
    </border>
    <border>
      <left style="hair">
        <color indexed="64"/>
      </left>
      <right/>
      <top style="hair">
        <color auto="1"/>
      </top>
      <bottom/>
      <diagonal/>
    </border>
    <border>
      <left style="hair">
        <color indexed="64"/>
      </left>
      <right style="hair">
        <color indexed="64"/>
      </right>
      <top style="hair">
        <color auto="1"/>
      </top>
      <bottom style="hair">
        <color auto="1"/>
      </bottom>
      <diagonal/>
    </border>
    <border>
      <left/>
      <right/>
      <top style="hair">
        <color auto="1"/>
      </top>
      <bottom style="hair">
        <color auto="1"/>
      </bottom>
      <diagonal/>
    </border>
    <border>
      <left/>
      <right/>
      <top style="thin">
        <color auto="1"/>
      </top>
      <bottom style="hair">
        <color indexed="64"/>
      </bottom>
      <diagonal/>
    </border>
    <border>
      <left style="hair">
        <color indexed="64"/>
      </left>
      <right style="hair">
        <color indexed="64"/>
      </right>
      <top/>
      <bottom style="hair">
        <color auto="1"/>
      </bottom>
      <diagonal/>
    </border>
    <border>
      <left style="hair">
        <color indexed="64"/>
      </left>
      <right style="hair">
        <color indexed="64"/>
      </right>
      <top style="thin">
        <color auto="1"/>
      </top>
      <bottom style="thin">
        <color auto="1"/>
      </bottom>
      <diagonal/>
    </border>
    <border>
      <left style="hair">
        <color indexed="64"/>
      </left>
      <right style="hair">
        <color indexed="64"/>
      </right>
      <top style="thin">
        <color auto="1"/>
      </top>
      <bottom/>
      <diagonal/>
    </border>
    <border>
      <left style="hair">
        <color indexed="64"/>
      </left>
      <right style="hair">
        <color indexed="64"/>
      </right>
      <top style="thin">
        <color auto="1"/>
      </top>
      <bottom style="hair">
        <color indexed="64"/>
      </bottom>
      <diagonal/>
    </border>
    <border>
      <left style="hair">
        <color indexed="64"/>
      </left>
      <right style="hair">
        <color indexed="64"/>
      </right>
      <top/>
      <bottom style="medium">
        <color auto="1"/>
      </bottom>
      <diagonal/>
    </border>
    <border>
      <left style="hair">
        <color indexed="64"/>
      </left>
      <right style="hair">
        <color indexed="64"/>
      </right>
      <top/>
      <bottom style="thin">
        <color indexed="64"/>
      </bottom>
      <diagonal/>
    </border>
    <border>
      <left style="hair">
        <color indexed="64"/>
      </left>
      <right style="hair">
        <color indexed="64"/>
      </right>
      <top/>
      <bottom style="thin">
        <color auto="1"/>
      </bottom>
      <diagonal/>
    </border>
    <border>
      <left style="hair">
        <color indexed="64"/>
      </left>
      <right/>
      <top style="thin">
        <color indexed="64"/>
      </top>
      <bottom style="hair">
        <color auto="1"/>
      </bottom>
      <diagonal/>
    </border>
    <border>
      <left/>
      <right style="thin">
        <color indexed="64"/>
      </right>
      <top/>
      <bottom style="thin">
        <color auto="1"/>
      </bottom>
      <diagonal/>
    </border>
    <border>
      <left/>
      <right style="thin">
        <color auto="1"/>
      </right>
      <top/>
      <bottom/>
      <diagonal/>
    </border>
  </borders>
  <cellStyleXfs count="124">
    <xf numFmtId="0" fontId="0" fillId="0" borderId="0"/>
    <xf numFmtId="43" fontId="4" fillId="0" borderId="0" applyFont="0" applyFill="0" applyBorder="0" applyAlignment="0" applyProtection="0"/>
    <xf numFmtId="9" fontId="4" fillId="0" borderId="0" applyFont="0" applyFill="0" applyBorder="0" applyAlignment="0" applyProtection="0"/>
    <xf numFmtId="0" fontId="10" fillId="0" borderId="0"/>
    <xf numFmtId="0" fontId="11" fillId="0" borderId="0"/>
    <xf numFmtId="0" fontId="13" fillId="0" borderId="0"/>
    <xf numFmtId="9" fontId="13" fillId="0" borderId="0" applyFont="0" applyFill="0" applyBorder="0" applyAlignment="0" applyProtection="0"/>
    <xf numFmtId="43" fontId="13" fillId="0" borderId="0" applyFont="0" applyFill="0" applyBorder="0" applyAlignment="0" applyProtection="0"/>
    <xf numFmtId="0" fontId="16" fillId="0" borderId="0" applyNumberFormat="0" applyFill="0" applyBorder="0" applyAlignment="0" applyProtection="0">
      <alignment vertical="top"/>
      <protection locked="0"/>
    </xf>
    <xf numFmtId="0" fontId="18" fillId="6" borderId="0" applyNumberFormat="0" applyBorder="0" applyAlignment="0" applyProtection="0"/>
    <xf numFmtId="0" fontId="18" fillId="7" borderId="0" applyNumberFormat="0" applyBorder="0" applyAlignment="0" applyProtection="0"/>
    <xf numFmtId="0" fontId="18" fillId="8"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9" borderId="0" applyNumberFormat="0" applyBorder="0" applyAlignment="0" applyProtection="0"/>
    <xf numFmtId="0" fontId="18" fillId="12" borderId="0" applyNumberFormat="0" applyBorder="0" applyAlignment="0" applyProtection="0"/>
    <xf numFmtId="0" fontId="18" fillId="15" borderId="0" applyNumberFormat="0" applyBorder="0" applyAlignment="0" applyProtection="0"/>
    <xf numFmtId="0" fontId="19" fillId="16"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19" borderId="0" applyNumberFormat="0" applyBorder="0" applyAlignment="0" applyProtection="0"/>
    <xf numFmtId="0" fontId="19" fillId="20" borderId="0" applyNumberFormat="0" applyBorder="0" applyAlignment="0" applyProtection="0"/>
    <xf numFmtId="0" fontId="19" fillId="21" borderId="0" applyNumberFormat="0" applyBorder="0" applyAlignment="0" applyProtection="0"/>
    <xf numFmtId="0" fontId="19" fillId="22"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23" borderId="0" applyNumberFormat="0" applyBorder="0" applyAlignment="0" applyProtection="0"/>
    <xf numFmtId="0" fontId="20" fillId="7" borderId="0" applyNumberFormat="0" applyBorder="0" applyAlignment="0" applyProtection="0"/>
    <xf numFmtId="0" fontId="21" fillId="24" borderId="35" applyNumberFormat="0" applyAlignment="0" applyProtection="0"/>
    <xf numFmtId="0" fontId="22" fillId="25" borderId="36" applyNumberFormat="0" applyAlignment="0" applyProtection="0"/>
    <xf numFmtId="43" fontId="1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3" fillId="0" borderId="0">
      <alignment horizontal="left" vertical="center" indent="1"/>
    </xf>
    <xf numFmtId="44" fontId="4" fillId="0" borderId="0" applyFont="0" applyFill="0" applyBorder="0" applyAlignment="0" applyProtection="0"/>
    <xf numFmtId="44" fontId="1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22" fontId="11" fillId="0" borderId="0" applyFont="0" applyFill="0" applyBorder="0" applyAlignment="0" applyProtection="0">
      <alignment wrapText="1"/>
    </xf>
    <xf numFmtId="169" fontId="24" fillId="0" borderId="0" applyFont="0" applyFill="0" applyBorder="0" applyAlignment="0" applyProtection="0">
      <alignment vertical="center"/>
    </xf>
    <xf numFmtId="0" fontId="25" fillId="0" borderId="0" applyNumberFormat="0" applyFill="0" applyBorder="0" applyAlignment="0" applyProtection="0"/>
    <xf numFmtId="0" fontId="26" fillId="8" borderId="0" applyNumberFormat="0" applyBorder="0" applyAlignment="0" applyProtection="0"/>
    <xf numFmtId="0" fontId="27" fillId="0" borderId="37" applyNumberFormat="0" applyFill="0" applyAlignment="0" applyProtection="0"/>
    <xf numFmtId="0" fontId="28" fillId="0" borderId="38" applyNumberFormat="0" applyFill="0" applyAlignment="0" applyProtection="0"/>
    <xf numFmtId="0" fontId="29" fillId="0" borderId="39" applyNumberFormat="0" applyFill="0" applyAlignment="0" applyProtection="0"/>
    <xf numFmtId="0" fontId="29" fillId="0" borderId="0" applyNumberFormat="0" applyFill="0" applyBorder="0" applyAlignment="0" applyProtection="0"/>
    <xf numFmtId="0" fontId="16"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3" fillId="11" borderId="35" applyNumberFormat="0" applyAlignment="0" applyProtection="0"/>
    <xf numFmtId="0" fontId="34" fillId="0" borderId="40" applyNumberFormat="0" applyFill="0" applyAlignment="0" applyProtection="0"/>
    <xf numFmtId="0" fontId="35" fillId="26" borderId="0" applyNumberFormat="0" applyBorder="0" applyAlignment="0" applyProtection="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11" fillId="0" borderId="0"/>
    <xf numFmtId="0" fontId="4" fillId="0" borderId="0"/>
    <xf numFmtId="0" fontId="10" fillId="0" borderId="0"/>
    <xf numFmtId="0" fontId="11" fillId="0" borderId="0"/>
    <xf numFmtId="0" fontId="37" fillId="0" borderId="0"/>
    <xf numFmtId="0" fontId="3" fillId="0" borderId="0"/>
    <xf numFmtId="0" fontId="4" fillId="0" borderId="0"/>
    <xf numFmtId="0" fontId="11"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27" borderId="41" applyNumberFormat="0" applyFont="0" applyAlignment="0" applyProtection="0"/>
    <xf numFmtId="0" fontId="38" fillId="24" borderId="42" applyNumberFormat="0" applyAlignment="0" applyProtection="0"/>
    <xf numFmtId="9" fontId="11" fillId="0" borderId="0" applyFont="0" applyFill="0" applyBorder="0" applyAlignment="0" applyProtection="0"/>
    <xf numFmtId="9" fontId="11" fillId="0" borderId="0" applyFont="0" applyFill="0" applyBorder="0" applyAlignment="0" applyProtection="0"/>
    <xf numFmtId="9" fontId="4" fillId="0" borderId="0" applyFont="0" applyFill="0" applyBorder="0" applyAlignment="0" applyProtection="0"/>
    <xf numFmtId="0" fontId="11" fillId="0" borderId="0"/>
    <xf numFmtId="0" fontId="39" fillId="28" borderId="43" applyNumberFormat="0" applyProtection="0">
      <alignment horizontal="center" wrapText="1"/>
    </xf>
    <xf numFmtId="0" fontId="39" fillId="28" borderId="44" applyNumberFormat="0" applyAlignment="0" applyProtection="0">
      <alignment wrapText="1"/>
    </xf>
    <xf numFmtId="0" fontId="11" fillId="29" borderId="0" applyNumberFormat="0" applyBorder="0">
      <alignment horizontal="center" wrapText="1"/>
    </xf>
    <xf numFmtId="0" fontId="11" fillId="30" borderId="45" applyNumberFormat="0">
      <alignment wrapText="1"/>
    </xf>
    <xf numFmtId="0" fontId="11" fillId="30" borderId="0" applyNumberFormat="0" applyBorder="0">
      <alignment wrapText="1"/>
    </xf>
    <xf numFmtId="0" fontId="11" fillId="0" borderId="0" applyNumberFormat="0" applyFill="0" applyBorder="0" applyProtection="0">
      <alignment horizontal="right" wrapText="1"/>
    </xf>
    <xf numFmtId="170" fontId="11" fillId="0" borderId="0" applyFill="0" applyBorder="0" applyAlignment="0" applyProtection="0">
      <alignment wrapText="1"/>
    </xf>
    <xf numFmtId="171" fontId="11" fillId="0" borderId="0" applyFill="0" applyBorder="0" applyAlignment="0" applyProtection="0">
      <alignment wrapText="1"/>
    </xf>
    <xf numFmtId="172" fontId="11" fillId="0" borderId="0" applyFill="0" applyBorder="0" applyAlignment="0" applyProtection="0">
      <alignment wrapText="1"/>
    </xf>
    <xf numFmtId="0" fontId="11" fillId="0" borderId="0" applyNumberFormat="0" applyFill="0" applyBorder="0" applyProtection="0">
      <alignment horizontal="right" wrapText="1"/>
    </xf>
    <xf numFmtId="0" fontId="11" fillId="0" borderId="0" applyNumberFormat="0" applyFill="0" applyBorder="0">
      <alignment horizontal="right" wrapText="1"/>
    </xf>
    <xf numFmtId="17" fontId="11" fillId="0" borderId="0" applyFill="0" applyBorder="0">
      <alignment horizontal="right" wrapText="1"/>
    </xf>
    <xf numFmtId="8" fontId="11" fillId="0" borderId="0" applyFill="0" applyBorder="0" applyAlignment="0" applyProtection="0">
      <alignment wrapText="1"/>
    </xf>
    <xf numFmtId="0" fontId="40" fillId="0" borderId="0" applyNumberFormat="0" applyFill="0" applyBorder="0">
      <alignment horizontal="left" wrapText="1"/>
    </xf>
    <xf numFmtId="0" fontId="39" fillId="0" borderId="0" applyNumberFormat="0" applyFill="0" applyBorder="0">
      <alignment horizontal="center" wrapText="1"/>
    </xf>
    <xf numFmtId="0" fontId="39" fillId="0" borderId="0" applyNumberFormat="0" applyFill="0" applyBorder="0">
      <alignment horizontal="center" wrapText="1"/>
    </xf>
    <xf numFmtId="173" fontId="41" fillId="0" borderId="0">
      <alignment horizontal="center" vertical="center"/>
    </xf>
    <xf numFmtId="0" fontId="42" fillId="0" borderId="0" applyNumberFormat="0" applyFill="0" applyBorder="0" applyAlignment="0" applyProtection="0"/>
    <xf numFmtId="0" fontId="43" fillId="0" borderId="46" applyNumberFormat="0" applyFill="0" applyAlignment="0" applyProtection="0"/>
    <xf numFmtId="0" fontId="44" fillId="0" borderId="0" applyNumberFormat="0" applyFill="0" applyBorder="0" applyAlignment="0" applyProtection="0"/>
    <xf numFmtId="174" fontId="11" fillId="0" borderId="0">
      <alignment horizontal="center" vertical="center"/>
    </xf>
    <xf numFmtId="43" fontId="10" fillId="0" borderId="0" applyFont="0" applyFill="0" applyBorder="0" applyAlignment="0" applyProtection="0"/>
    <xf numFmtId="9" fontId="10"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cellStyleXfs>
  <cellXfs count="748">
    <xf numFmtId="0" fontId="0" fillId="0" borderId="0" xfId="0"/>
    <xf numFmtId="0" fontId="5" fillId="0" borderId="0" xfId="0" applyFont="1" applyAlignment="1">
      <alignment wrapText="1"/>
    </xf>
    <xf numFmtId="0" fontId="5" fillId="0" borderId="0" xfId="0" applyFont="1" applyAlignment="1">
      <alignment horizontal="left"/>
    </xf>
    <xf numFmtId="0" fontId="5" fillId="0" borderId="0" xfId="0" applyFont="1" applyAlignment="1"/>
    <xf numFmtId="0" fontId="5" fillId="0" borderId="0" xfId="0" applyFont="1"/>
    <xf numFmtId="0" fontId="5" fillId="0" borderId="6" xfId="0" applyFont="1" applyBorder="1"/>
    <xf numFmtId="0" fontId="5" fillId="0" borderId="7" xfId="0" applyFont="1" applyBorder="1"/>
    <xf numFmtId="0" fontId="5" fillId="0" borderId="19" xfId="0" applyFont="1" applyBorder="1"/>
    <xf numFmtId="0" fontId="5" fillId="0" borderId="8" xfId="0" applyFont="1" applyBorder="1"/>
    <xf numFmtId="0" fontId="5" fillId="0" borderId="20" xfId="0" applyFont="1" applyBorder="1"/>
    <xf numFmtId="0" fontId="5" fillId="0" borderId="5" xfId="0" applyFont="1" applyBorder="1"/>
    <xf numFmtId="0" fontId="5" fillId="0" borderId="10" xfId="0" applyFont="1" applyBorder="1"/>
    <xf numFmtId="0" fontId="5" fillId="0" borderId="9" xfId="0" applyFont="1" applyBorder="1"/>
    <xf numFmtId="0" fontId="5" fillId="0" borderId="14" xfId="0" applyFont="1" applyBorder="1"/>
    <xf numFmtId="3" fontId="5" fillId="0" borderId="5" xfId="0" applyNumberFormat="1" applyFont="1" applyBorder="1"/>
    <xf numFmtId="3" fontId="5" fillId="0" borderId="10" xfId="0" applyNumberFormat="1" applyFont="1" applyBorder="1"/>
    <xf numFmtId="2" fontId="5" fillId="0" borderId="9" xfId="0" applyNumberFormat="1" applyFont="1" applyBorder="1"/>
    <xf numFmtId="2" fontId="5" fillId="0" borderId="10" xfId="0" applyNumberFormat="1" applyFont="1" applyBorder="1"/>
    <xf numFmtId="0" fontId="5" fillId="0" borderId="11" xfId="0" applyFont="1" applyBorder="1"/>
    <xf numFmtId="0" fontId="5" fillId="0" borderId="12" xfId="0" applyFont="1" applyBorder="1"/>
    <xf numFmtId="0" fontId="5" fillId="0" borderId="18" xfId="0" applyFont="1" applyBorder="1"/>
    <xf numFmtId="3" fontId="5" fillId="0" borderId="12" xfId="0" applyNumberFormat="1" applyFont="1" applyBorder="1"/>
    <xf numFmtId="3" fontId="5" fillId="0" borderId="13" xfId="0" applyNumberFormat="1" applyFont="1" applyBorder="1"/>
    <xf numFmtId="0" fontId="5" fillId="0" borderId="17" xfId="0" applyFont="1" applyBorder="1"/>
    <xf numFmtId="0" fontId="5" fillId="0" borderId="13" xfId="0" applyFont="1" applyBorder="1"/>
    <xf numFmtId="2" fontId="5" fillId="0" borderId="11" xfId="0" applyNumberFormat="1" applyFont="1" applyBorder="1"/>
    <xf numFmtId="2" fontId="5" fillId="0" borderId="13" xfId="0" applyNumberFormat="1" applyFont="1" applyBorder="1"/>
    <xf numFmtId="11" fontId="5" fillId="0" borderId="0" xfId="0" applyNumberFormat="1" applyFont="1"/>
    <xf numFmtId="0" fontId="5" fillId="0" borderId="0" xfId="0" applyFont="1" applyAlignment="1">
      <alignment horizontal="center"/>
    </xf>
    <xf numFmtId="0" fontId="5" fillId="0" borderId="4" xfId="0" applyFont="1" applyBorder="1"/>
    <xf numFmtId="0" fontId="5" fillId="0" borderId="2" xfId="0" applyFont="1" applyBorder="1"/>
    <xf numFmtId="0" fontId="5" fillId="0" borderId="3" xfId="0" applyFont="1" applyBorder="1"/>
    <xf numFmtId="166" fontId="5" fillId="0" borderId="0" xfId="0" applyNumberFormat="1" applyFont="1"/>
    <xf numFmtId="1" fontId="5" fillId="0" borderId="2" xfId="0" applyNumberFormat="1" applyFont="1" applyBorder="1"/>
    <xf numFmtId="1" fontId="5" fillId="0" borderId="3" xfId="0" applyNumberFormat="1" applyFont="1" applyBorder="1"/>
    <xf numFmtId="0" fontId="5" fillId="0" borderId="0" xfId="0" applyFont="1" applyFill="1"/>
    <xf numFmtId="9" fontId="5" fillId="0" borderId="2" xfId="0" applyNumberFormat="1" applyFont="1" applyBorder="1"/>
    <xf numFmtId="9" fontId="5" fillId="0" borderId="3" xfId="0" applyNumberFormat="1" applyFont="1" applyBorder="1"/>
    <xf numFmtId="165" fontId="5" fillId="0" borderId="0" xfId="1" applyNumberFormat="1" applyFont="1"/>
    <xf numFmtId="2" fontId="5" fillId="0" borderId="0" xfId="0" applyNumberFormat="1" applyFont="1"/>
    <xf numFmtId="0" fontId="5" fillId="0" borderId="0" xfId="0" applyFont="1" applyAlignment="1">
      <alignment horizontal="left" indent="2"/>
    </xf>
    <xf numFmtId="0" fontId="5" fillId="0" borderId="1" xfId="0" applyFont="1" applyBorder="1" applyAlignment="1">
      <alignment horizontal="left" indent="2"/>
    </xf>
    <xf numFmtId="0" fontId="5" fillId="0" borderId="1" xfId="0" applyFont="1" applyBorder="1"/>
    <xf numFmtId="165" fontId="5" fillId="0" borderId="0" xfId="0" applyNumberFormat="1" applyFont="1"/>
    <xf numFmtId="0" fontId="5" fillId="0" borderId="27" xfId="0" applyFont="1" applyBorder="1"/>
    <xf numFmtId="0" fontId="5" fillId="0" borderId="21" xfId="0" applyFont="1" applyBorder="1"/>
    <xf numFmtId="0" fontId="5" fillId="0" borderId="0" xfId="0" applyFont="1" applyBorder="1"/>
    <xf numFmtId="0" fontId="5" fillId="0" borderId="24" xfId="0" applyFont="1" applyBorder="1"/>
    <xf numFmtId="0" fontId="5" fillId="0" borderId="0" xfId="0" applyFont="1" applyBorder="1" applyAlignment="1">
      <alignment horizontal="center"/>
    </xf>
    <xf numFmtId="0" fontId="5" fillId="0" borderId="0" xfId="0" applyFont="1" applyFill="1" applyBorder="1" applyAlignment="1">
      <alignment horizontal="center"/>
    </xf>
    <xf numFmtId="3" fontId="5" fillId="0" borderId="0" xfId="0" applyNumberFormat="1" applyFont="1" applyBorder="1"/>
    <xf numFmtId="165" fontId="5" fillId="0" borderId="24" xfId="1" applyNumberFormat="1" applyFont="1" applyBorder="1"/>
    <xf numFmtId="0" fontId="9" fillId="0" borderId="0" xfId="0" applyFont="1"/>
    <xf numFmtId="166" fontId="5" fillId="0" borderId="0" xfId="0" applyNumberFormat="1" applyFont="1" applyFill="1"/>
    <xf numFmtId="0" fontId="5" fillId="0" borderId="0" xfId="0" applyFont="1" applyFill="1" applyBorder="1" applyAlignment="1">
      <alignment horizontal="left"/>
    </xf>
    <xf numFmtId="3" fontId="5" fillId="0" borderId="0" xfId="0" applyNumberFormat="1" applyFont="1"/>
    <xf numFmtId="167" fontId="5" fillId="0" borderId="0" xfId="0" applyNumberFormat="1" applyFont="1"/>
    <xf numFmtId="37" fontId="5" fillId="0" borderId="0" xfId="0" applyNumberFormat="1" applyFont="1"/>
    <xf numFmtId="0" fontId="5" fillId="0" borderId="28" xfId="0" applyFont="1" applyBorder="1"/>
    <xf numFmtId="2" fontId="5" fillId="0" borderId="31" xfId="0" applyNumberFormat="1" applyFont="1" applyBorder="1"/>
    <xf numFmtId="2" fontId="5" fillId="0" borderId="30" xfId="0" applyNumberFormat="1" applyFont="1" applyBorder="1"/>
    <xf numFmtId="0" fontId="5" fillId="0" borderId="0" xfId="0" applyFont="1" applyAlignment="1">
      <alignment horizontal="center" wrapText="1"/>
    </xf>
    <xf numFmtId="0" fontId="5" fillId="0" borderId="0" xfId="0" applyFont="1" applyAlignment="1">
      <alignment horizontal="left" vertical="top" wrapText="1"/>
    </xf>
    <xf numFmtId="0" fontId="5" fillId="0" borderId="0" xfId="0" applyFont="1" applyAlignment="1">
      <alignment horizontal="left"/>
    </xf>
    <xf numFmtId="0" fontId="5" fillId="0" borderId="0" xfId="0" applyFont="1" applyAlignment="1">
      <alignment vertical="top" wrapText="1"/>
    </xf>
    <xf numFmtId="0" fontId="5" fillId="0" borderId="0" xfId="0" applyFont="1" applyAlignment="1">
      <alignment vertical="top"/>
    </xf>
    <xf numFmtId="0" fontId="5" fillId="0" borderId="0" xfId="0" applyFont="1" applyAlignment="1">
      <alignment horizontal="left" indent="1"/>
    </xf>
    <xf numFmtId="164" fontId="5" fillId="0" borderId="0" xfId="0" applyNumberFormat="1" applyFont="1" applyBorder="1"/>
    <xf numFmtId="0" fontId="5" fillId="0" borderId="0" xfId="0" applyFont="1" applyBorder="1" applyAlignment="1">
      <alignment horizontal="left" indent="2"/>
    </xf>
    <xf numFmtId="0" fontId="5" fillId="0" borderId="24" xfId="0" applyFont="1" applyBorder="1" applyAlignment="1">
      <alignment horizontal="left" indent="2"/>
    </xf>
    <xf numFmtId="165" fontId="5" fillId="0" borderId="24" xfId="1" applyNumberFormat="1" applyFont="1" applyBorder="1" applyAlignment="1">
      <alignment horizontal="right"/>
    </xf>
    <xf numFmtId="0" fontId="3" fillId="0" borderId="0" xfId="0" applyFont="1"/>
    <xf numFmtId="168" fontId="5" fillId="0" borderId="0" xfId="0" applyNumberFormat="1" applyFont="1"/>
    <xf numFmtId="2" fontId="5" fillId="0" borderId="0" xfId="0" applyNumberFormat="1" applyFont="1" applyFill="1"/>
    <xf numFmtId="4" fontId="5" fillId="0" borderId="0" xfId="0" applyNumberFormat="1" applyFont="1"/>
    <xf numFmtId="3" fontId="5" fillId="0" borderId="0" xfId="0" applyNumberFormat="1" applyFont="1" applyFill="1"/>
    <xf numFmtId="3" fontId="5" fillId="0" borderId="0" xfId="1" applyNumberFormat="1" applyFont="1" applyFill="1"/>
    <xf numFmtId="0" fontId="9" fillId="0" borderId="0" xfId="0" applyFont="1" applyBorder="1"/>
    <xf numFmtId="0" fontId="9" fillId="0" borderId="0" xfId="0" applyFont="1" applyBorder="1" applyAlignment="1">
      <alignment horizontal="center" wrapText="1"/>
    </xf>
    <xf numFmtId="0" fontId="9" fillId="0" borderId="1" xfId="0" applyFont="1" applyBorder="1"/>
    <xf numFmtId="0" fontId="9" fillId="0" borderId="1" xfId="0" applyFont="1" applyBorder="1" applyAlignment="1">
      <alignment horizontal="center" wrapText="1"/>
    </xf>
    <xf numFmtId="0" fontId="9" fillId="0" borderId="1" xfId="0" applyFont="1" applyBorder="1" applyAlignment="1">
      <alignment horizontal="center"/>
    </xf>
    <xf numFmtId="0" fontId="9" fillId="0" borderId="1" xfId="0" applyFont="1" applyBorder="1" applyAlignment="1">
      <alignment horizontal="left"/>
    </xf>
    <xf numFmtId="0" fontId="9" fillId="0" borderId="32" xfId="0" applyFont="1" applyBorder="1" applyAlignment="1">
      <alignment horizontal="center"/>
    </xf>
    <xf numFmtId="0" fontId="9" fillId="0" borderId="33" xfId="0" applyFont="1" applyBorder="1" applyAlignment="1">
      <alignment horizontal="center"/>
    </xf>
    <xf numFmtId="0" fontId="9" fillId="0" borderId="34" xfId="0" applyFont="1" applyBorder="1"/>
    <xf numFmtId="0" fontId="5" fillId="0" borderId="0" xfId="3" applyFont="1" applyFill="1"/>
    <xf numFmtId="0" fontId="5" fillId="0" borderId="0" xfId="3" applyFont="1" applyFill="1" applyAlignment="1">
      <alignment horizontal="center"/>
    </xf>
    <xf numFmtId="0" fontId="5" fillId="0" borderId="0" xfId="3" applyFont="1" applyFill="1" applyBorder="1" applyAlignment="1">
      <alignment horizontal="center"/>
    </xf>
    <xf numFmtId="0" fontId="5" fillId="0" borderId="0" xfId="3" applyFont="1" applyFill="1" applyBorder="1" applyAlignment="1">
      <alignment horizontal="left"/>
    </xf>
    <xf numFmtId="0" fontId="9" fillId="0" borderId="0" xfId="3" applyFont="1" applyFill="1"/>
    <xf numFmtId="0" fontId="9" fillId="0" borderId="0" xfId="3" applyFont="1" applyFill="1" applyAlignment="1">
      <alignment horizontal="center"/>
    </xf>
    <xf numFmtId="0" fontId="5" fillId="0" borderId="5" xfId="3" applyFont="1" applyFill="1" applyBorder="1"/>
    <xf numFmtId="3" fontId="5" fillId="0" borderId="24" xfId="0" applyNumberFormat="1" applyFont="1" applyBorder="1"/>
    <xf numFmtId="0" fontId="5" fillId="0" borderId="47" xfId="0" applyFont="1" applyBorder="1"/>
    <xf numFmtId="3" fontId="5" fillId="0" borderId="49" xfId="0" applyNumberFormat="1" applyFont="1" applyBorder="1"/>
    <xf numFmtId="0" fontId="5" fillId="0" borderId="48" xfId="0" applyFont="1" applyBorder="1"/>
    <xf numFmtId="37" fontId="5" fillId="0" borderId="1" xfId="1" applyNumberFormat="1" applyFont="1" applyBorder="1" applyAlignment="1">
      <alignment horizontal="right"/>
    </xf>
    <xf numFmtId="0" fontId="5" fillId="0" borderId="0" xfId="68" applyFont="1" applyFill="1" applyBorder="1"/>
    <xf numFmtId="0" fontId="17" fillId="0" borderId="0" xfId="68" applyFont="1" applyFill="1" applyBorder="1"/>
    <xf numFmtId="0" fontId="17" fillId="0" borderId="0" xfId="68" applyFont="1" applyFill="1"/>
    <xf numFmtId="0" fontId="5" fillId="0" borderId="0" xfId="68" applyFont="1"/>
    <xf numFmtId="0" fontId="14" fillId="31" borderId="0" xfId="68" applyFont="1" applyFill="1" applyBorder="1"/>
    <xf numFmtId="3" fontId="14" fillId="4" borderId="0" xfId="68" applyNumberFormat="1" applyFont="1" applyFill="1" applyBorder="1"/>
    <xf numFmtId="0" fontId="5" fillId="0" borderId="50" xfId="68" applyFont="1" applyFill="1" applyBorder="1"/>
    <xf numFmtId="0" fontId="5" fillId="0" borderId="0" xfId="68" applyFont="1" applyBorder="1"/>
    <xf numFmtId="0" fontId="9" fillId="0" borderId="0" xfId="68" applyFont="1" applyFill="1" applyBorder="1"/>
    <xf numFmtId="0" fontId="14" fillId="0" borderId="0" xfId="68" applyFont="1" applyFill="1" applyBorder="1"/>
    <xf numFmtId="0" fontId="5" fillId="0" borderId="0" xfId="68" applyFont="1" applyFill="1"/>
    <xf numFmtId="0" fontId="47" fillId="0" borderId="0" xfId="68" applyFont="1" applyFill="1" applyBorder="1"/>
    <xf numFmtId="0" fontId="14" fillId="0" borderId="0" xfId="68" applyFont="1" applyFill="1" applyBorder="1" applyAlignment="1">
      <alignment wrapText="1"/>
    </xf>
    <xf numFmtId="165" fontId="5" fillId="0" borderId="0" xfId="42" applyNumberFormat="1" applyFont="1"/>
    <xf numFmtId="0" fontId="5" fillId="0" borderId="0" xfId="68" applyFont="1" applyFill="1" applyBorder="1" applyAlignment="1">
      <alignment vertical="center" wrapText="1"/>
    </xf>
    <xf numFmtId="0" fontId="9" fillId="0" borderId="0" xfId="68" applyFont="1"/>
    <xf numFmtId="165" fontId="5" fillId="0" borderId="0" xfId="120" applyNumberFormat="1" applyFont="1" applyFill="1" applyBorder="1"/>
    <xf numFmtId="9" fontId="5" fillId="0" borderId="0" xfId="47" applyNumberFormat="1" applyFont="1" applyFill="1" applyBorder="1"/>
    <xf numFmtId="165" fontId="5" fillId="0" borderId="0" xfId="41" applyNumberFormat="1" applyFont="1" applyFill="1" applyBorder="1"/>
    <xf numFmtId="41" fontId="5" fillId="0" borderId="0" xfId="68" applyNumberFormat="1" applyFont="1" applyFill="1" applyBorder="1"/>
    <xf numFmtId="41" fontId="5" fillId="0" borderId="50" xfId="68" applyNumberFormat="1" applyFont="1" applyFill="1" applyBorder="1"/>
    <xf numFmtId="165" fontId="5" fillId="0" borderId="7" xfId="120" applyNumberFormat="1" applyFont="1" applyFill="1" applyBorder="1"/>
    <xf numFmtId="0" fontId="9" fillId="0" borderId="0" xfId="68" applyFont="1" applyBorder="1"/>
    <xf numFmtId="0" fontId="5" fillId="0" borderId="0" xfId="68" applyFont="1" applyFill="1" applyBorder="1" applyAlignment="1">
      <alignment horizontal="left"/>
    </xf>
    <xf numFmtId="0" fontId="45" fillId="0" borderId="0" xfId="68" applyFont="1" applyFill="1" applyBorder="1"/>
    <xf numFmtId="165" fontId="5" fillId="0" borderId="0" xfId="68" applyNumberFormat="1" applyFont="1" applyFill="1" applyBorder="1"/>
    <xf numFmtId="0" fontId="46" fillId="0" borderId="0" xfId="68" applyFont="1" applyFill="1" applyBorder="1"/>
    <xf numFmtId="3" fontId="5" fillId="0" borderId="0" xfId="47" applyNumberFormat="1" applyFont="1" applyFill="1" applyBorder="1"/>
    <xf numFmtId="3" fontId="5" fillId="0" borderId="0" xfId="120" applyNumberFormat="1" applyFont="1" applyFill="1" applyBorder="1"/>
    <xf numFmtId="3" fontId="5" fillId="0" borderId="0" xfId="68" applyNumberFormat="1" applyFont="1" applyBorder="1"/>
    <xf numFmtId="2" fontId="5" fillId="0" borderId="0" xfId="47" applyNumberFormat="1" applyFont="1" applyFill="1" applyBorder="1"/>
    <xf numFmtId="9" fontId="14" fillId="0" borderId="0" xfId="68" applyNumberFormat="1" applyFont="1" applyFill="1" applyBorder="1"/>
    <xf numFmtId="3" fontId="5" fillId="0" borderId="0" xfId="68" applyNumberFormat="1" applyFont="1" applyFill="1" applyBorder="1"/>
    <xf numFmtId="3" fontId="14" fillId="0" borderId="0" xfId="68" applyNumberFormat="1" applyFont="1" applyFill="1" applyBorder="1"/>
    <xf numFmtId="4" fontId="14" fillId="0" borderId="0" xfId="120" applyNumberFormat="1" applyFont="1" applyFill="1" applyBorder="1"/>
    <xf numFmtId="0" fontId="14" fillId="0" borderId="7" xfId="68" applyFont="1" applyFill="1" applyBorder="1"/>
    <xf numFmtId="0" fontId="46" fillId="0" borderId="54" xfId="68" applyFont="1" applyFill="1" applyBorder="1"/>
    <xf numFmtId="0" fontId="17" fillId="0" borderId="7" xfId="68" applyFont="1" applyFill="1" applyBorder="1"/>
    <xf numFmtId="0" fontId="46" fillId="0" borderId="7" xfId="68" applyFont="1" applyFill="1" applyBorder="1"/>
    <xf numFmtId="0" fontId="14" fillId="0" borderId="0" xfId="68" applyFont="1" applyFill="1" applyBorder="1" applyAlignment="1">
      <alignment horizontal="center"/>
    </xf>
    <xf numFmtId="1" fontId="14" fillId="0" borderId="24" xfId="68" applyNumberFormat="1" applyFont="1" applyFill="1" applyBorder="1" applyAlignment="1">
      <alignment horizontal="center"/>
    </xf>
    <xf numFmtId="0" fontId="14" fillId="0" borderId="52" xfId="68" applyFont="1" applyFill="1" applyBorder="1" applyAlignment="1">
      <alignment horizontal="center"/>
    </xf>
    <xf numFmtId="0" fontId="46" fillId="0" borderId="52" xfId="68" applyFont="1" applyFill="1" applyBorder="1" applyAlignment="1">
      <alignment horizontal="left"/>
    </xf>
    <xf numFmtId="0" fontId="46" fillId="0" borderId="24" xfId="68" applyFont="1" applyFill="1" applyBorder="1" applyAlignment="1">
      <alignment horizontal="left"/>
    </xf>
    <xf numFmtId="0" fontId="9" fillId="0" borderId="52" xfId="68" applyFont="1" applyFill="1" applyBorder="1" applyAlignment="1">
      <alignment horizontal="center"/>
    </xf>
    <xf numFmtId="4" fontId="46" fillId="0" borderId="52" xfId="120" applyNumberFormat="1" applyFont="1" applyFill="1" applyBorder="1" applyAlignment="1">
      <alignment horizontal="right"/>
    </xf>
    <xf numFmtId="0" fontId="9" fillId="0" borderId="24" xfId="68" applyFont="1" applyFill="1" applyBorder="1" applyAlignment="1">
      <alignment horizontal="center"/>
    </xf>
    <xf numFmtId="4" fontId="46" fillId="0" borderId="24" xfId="120" applyNumberFormat="1" applyFont="1" applyFill="1" applyBorder="1" applyAlignment="1">
      <alignment horizontal="right"/>
    </xf>
    <xf numFmtId="0" fontId="46" fillId="0" borderId="24" xfId="68" applyFont="1" applyFill="1" applyBorder="1" applyAlignment="1">
      <alignment horizontal="right"/>
    </xf>
    <xf numFmtId="0" fontId="5" fillId="0" borderId="0" xfId="68" applyFont="1" applyFill="1" applyBorder="1" applyAlignment="1">
      <alignment horizontal="left" indent="1"/>
    </xf>
    <xf numFmtId="3" fontId="5" fillId="0" borderId="0" xfId="42" applyNumberFormat="1" applyFont="1" applyBorder="1"/>
    <xf numFmtId="3" fontId="5" fillId="0" borderId="0" xfId="42" applyNumberFormat="1" applyFont="1" applyBorder="1" applyAlignment="1">
      <alignment horizontal="right"/>
    </xf>
    <xf numFmtId="3" fontId="5" fillId="0" borderId="50" xfId="42" applyNumberFormat="1" applyFont="1" applyBorder="1"/>
    <xf numFmtId="4" fontId="5" fillId="0" borderId="0" xfId="42" applyNumberFormat="1" applyFont="1" applyBorder="1"/>
    <xf numFmtId="0" fontId="5" fillId="0" borderId="50" xfId="68" applyFont="1" applyFill="1" applyBorder="1" applyAlignment="1">
      <alignment horizontal="left" indent="1"/>
    </xf>
    <xf numFmtId="3" fontId="14" fillId="0" borderId="0" xfId="47" applyNumberFormat="1" applyFont="1" applyFill="1" applyBorder="1"/>
    <xf numFmtId="0" fontId="9" fillId="0" borderId="52" xfId="68" applyFont="1" applyFill="1" applyBorder="1"/>
    <xf numFmtId="0" fontId="9" fillId="0" borderId="24" xfId="68" applyFont="1" applyFill="1" applyBorder="1"/>
    <xf numFmtId="0" fontId="5" fillId="0" borderId="0" xfId="0" applyFont="1" applyFill="1" applyBorder="1" applyAlignment="1"/>
    <xf numFmtId="0" fontId="14" fillId="0" borderId="24" xfId="68" applyFont="1" applyFill="1" applyBorder="1" applyAlignment="1">
      <alignment wrapText="1"/>
    </xf>
    <xf numFmtId="0" fontId="46" fillId="0" borderId="24" xfId="68" applyFont="1" applyFill="1" applyBorder="1" applyAlignment="1">
      <alignment horizontal="left" wrapText="1" indent="1"/>
    </xf>
    <xf numFmtId="0" fontId="46" fillId="0" borderId="55" xfId="68" applyFont="1" applyFill="1" applyBorder="1"/>
    <xf numFmtId="0" fontId="5" fillId="0" borderId="24" xfId="68" applyFont="1" applyFill="1" applyBorder="1"/>
    <xf numFmtId="0" fontId="5" fillId="0" borderId="24" xfId="68" applyFont="1" applyBorder="1"/>
    <xf numFmtId="0" fontId="5" fillId="0" borderId="24" xfId="68" applyFont="1" applyBorder="1" applyAlignment="1">
      <alignment horizontal="center"/>
    </xf>
    <xf numFmtId="0" fontId="9" fillId="0" borderId="52" xfId="68" applyFont="1" applyBorder="1" applyAlignment="1">
      <alignment horizontal="center"/>
    </xf>
    <xf numFmtId="0" fontId="9" fillId="0" borderId="24" xfId="68" applyFont="1" applyBorder="1"/>
    <xf numFmtId="0" fontId="9" fillId="0" borderId="24" xfId="68" applyFont="1" applyBorder="1" applyAlignment="1">
      <alignment horizontal="center"/>
    </xf>
    <xf numFmtId="0" fontId="5" fillId="0" borderId="55" xfId="68" applyFont="1" applyFill="1" applyBorder="1"/>
    <xf numFmtId="0" fontId="5" fillId="0" borderId="1" xfId="68" applyFont="1" applyFill="1" applyBorder="1"/>
    <xf numFmtId="0" fontId="14" fillId="0" borderId="1" xfId="68" applyFont="1" applyFill="1" applyBorder="1" applyAlignment="1">
      <alignment wrapText="1"/>
    </xf>
    <xf numFmtId="0" fontId="5" fillId="0" borderId="1" xfId="68" applyFont="1" applyBorder="1"/>
    <xf numFmtId="0" fontId="14" fillId="0" borderId="1" xfId="68" applyFont="1" applyFill="1" applyBorder="1"/>
    <xf numFmtId="0" fontId="5" fillId="0" borderId="55" xfId="68" applyFont="1" applyBorder="1"/>
    <xf numFmtId="0" fontId="5" fillId="0" borderId="52" xfId="68" applyFont="1" applyBorder="1"/>
    <xf numFmtId="4" fontId="5" fillId="0" borderId="0" xfId="68" applyNumberFormat="1" applyFont="1" applyFill="1" applyBorder="1"/>
    <xf numFmtId="4" fontId="5" fillId="0" borderId="0" xfId="68" applyNumberFormat="1" applyFont="1" applyBorder="1"/>
    <xf numFmtId="9" fontId="14" fillId="3" borderId="0" xfId="68" applyNumberFormat="1" applyFont="1" applyFill="1" applyBorder="1"/>
    <xf numFmtId="9" fontId="14" fillId="3" borderId="24" xfId="68" applyNumberFormat="1" applyFont="1" applyFill="1" applyBorder="1"/>
    <xf numFmtId="0" fontId="5" fillId="3" borderId="0" xfId="0" applyFont="1" applyFill="1"/>
    <xf numFmtId="0" fontId="5" fillId="31" borderId="0" xfId="0" applyFont="1" applyFill="1"/>
    <xf numFmtId="9" fontId="5" fillId="31" borderId="0" xfId="2" applyFont="1" applyFill="1"/>
    <xf numFmtId="3" fontId="5" fillId="31" borderId="0" xfId="0" applyNumberFormat="1" applyFont="1" applyFill="1"/>
    <xf numFmtId="2" fontId="5" fillId="31" borderId="24" xfId="0" applyNumberFormat="1" applyFont="1" applyFill="1" applyBorder="1"/>
    <xf numFmtId="2" fontId="5" fillId="4" borderId="0" xfId="0" applyNumberFormat="1" applyFont="1" applyFill="1"/>
    <xf numFmtId="3" fontId="5" fillId="4" borderId="0" xfId="0" applyNumberFormat="1" applyFont="1" applyFill="1"/>
    <xf numFmtId="41" fontId="9" fillId="0" borderId="0" xfId="68" applyNumberFormat="1" applyFont="1" applyFill="1" applyBorder="1"/>
    <xf numFmtId="0" fontId="46" fillId="0" borderId="0" xfId="68" applyFont="1" applyFill="1" applyBorder="1" applyAlignment="1">
      <alignment wrapText="1"/>
    </xf>
    <xf numFmtId="0" fontId="5" fillId="0" borderId="0" xfId="0" applyFont="1" applyAlignment="1">
      <alignment horizontal="left"/>
    </xf>
    <xf numFmtId="17" fontId="9" fillId="0" borderId="0" xfId="0" quotePrefix="1" applyNumberFormat="1" applyFont="1" applyBorder="1"/>
    <xf numFmtId="0" fontId="5" fillId="4" borderId="0" xfId="0" applyFont="1" applyFill="1"/>
    <xf numFmtId="167" fontId="5" fillId="0" borderId="0" xfId="0" applyNumberFormat="1" applyFont="1" applyFill="1"/>
    <xf numFmtId="0" fontId="14" fillId="0" borderId="5" xfId="3" applyFont="1" applyFill="1" applyBorder="1"/>
    <xf numFmtId="3" fontId="5" fillId="0" borderId="50" xfId="68" quotePrefix="1" applyNumberFormat="1" applyFont="1" applyFill="1" applyBorder="1"/>
    <xf numFmtId="0" fontId="14" fillId="0" borderId="0" xfId="68" applyFont="1" applyFill="1"/>
    <xf numFmtId="0" fontId="46" fillId="0" borderId="0" xfId="0" applyFont="1"/>
    <xf numFmtId="0" fontId="14" fillId="0" borderId="0" xfId="0" applyFont="1"/>
    <xf numFmtId="0" fontId="14" fillId="0" borderId="5" xfId="0" applyFont="1" applyBorder="1"/>
    <xf numFmtId="0" fontId="14" fillId="0" borderId="3" xfId="0" applyFont="1" applyBorder="1"/>
    <xf numFmtId="0" fontId="14" fillId="0" borderId="27" xfId="0" applyFont="1" applyBorder="1"/>
    <xf numFmtId="0" fontId="14" fillId="0" borderId="0" xfId="0" applyFont="1" applyBorder="1"/>
    <xf numFmtId="0" fontId="48" fillId="0" borderId="0" xfId="0" applyFont="1"/>
    <xf numFmtId="0" fontId="14" fillId="0" borderId="0" xfId="68" applyFont="1"/>
    <xf numFmtId="165" fontId="14" fillId="0" borderId="0" xfId="42" applyNumberFormat="1" applyFont="1" applyFill="1" applyBorder="1"/>
    <xf numFmtId="9" fontId="14" fillId="0" borderId="0" xfId="47" applyNumberFormat="1" applyFont="1" applyFill="1" applyBorder="1"/>
    <xf numFmtId="165" fontId="14" fillId="0" borderId="0" xfId="41" applyNumberFormat="1" applyFont="1" applyFill="1" applyBorder="1"/>
    <xf numFmtId="165" fontId="14" fillId="0" borderId="7" xfId="120" applyNumberFormat="1" applyFont="1" applyFill="1" applyBorder="1"/>
    <xf numFmtId="0" fontId="46" fillId="0" borderId="0" xfId="68" applyFont="1" applyBorder="1"/>
    <xf numFmtId="3" fontId="14" fillId="0" borderId="0" xfId="42" applyNumberFormat="1" applyFont="1" applyBorder="1"/>
    <xf numFmtId="4" fontId="14" fillId="0" borderId="0" xfId="42" applyNumberFormat="1" applyFont="1" applyBorder="1"/>
    <xf numFmtId="3" fontId="14" fillId="0" borderId="0" xfId="68" applyNumberFormat="1" applyFont="1" applyBorder="1"/>
    <xf numFmtId="0" fontId="14" fillId="0" borderId="59" xfId="68" applyFont="1" applyFill="1" applyBorder="1"/>
    <xf numFmtId="0" fontId="14" fillId="0" borderId="27" xfId="68" applyFont="1" applyFill="1" applyBorder="1"/>
    <xf numFmtId="0" fontId="14" fillId="3" borderId="58" xfId="68" applyFont="1" applyFill="1" applyBorder="1"/>
    <xf numFmtId="0" fontId="14" fillId="3" borderId="56" xfId="68" applyFont="1" applyFill="1" applyBorder="1"/>
    <xf numFmtId="0" fontId="14" fillId="3" borderId="57" xfId="68" applyFont="1" applyFill="1" applyBorder="1"/>
    <xf numFmtId="4" fontId="14" fillId="0" borderId="58" xfId="68" applyNumberFormat="1" applyFont="1" applyFill="1" applyBorder="1"/>
    <xf numFmtId="4" fontId="14" fillId="0" borderId="56" xfId="68" applyNumberFormat="1" applyFont="1" applyFill="1" applyBorder="1"/>
    <xf numFmtId="4" fontId="14" fillId="0" borderId="57" xfId="68" applyNumberFormat="1" applyFont="1" applyFill="1" applyBorder="1"/>
    <xf numFmtId="0" fontId="14" fillId="0" borderId="27" xfId="68" applyNumberFormat="1" applyFont="1" applyFill="1" applyBorder="1"/>
    <xf numFmtId="0" fontId="5" fillId="0" borderId="60" xfId="0" applyFont="1" applyBorder="1"/>
    <xf numFmtId="3" fontId="5" fillId="0" borderId="0" xfId="1" applyNumberFormat="1" applyFont="1" applyFill="1" applyBorder="1"/>
    <xf numFmtId="0" fontId="5" fillId="0" borderId="0" xfId="0" applyFont="1" applyFill="1" applyBorder="1" applyAlignment="1">
      <alignment horizontal="left" indent="2"/>
    </xf>
    <xf numFmtId="0" fontId="2" fillId="0" borderId="0" xfId="0" applyFont="1"/>
    <xf numFmtId="0" fontId="9" fillId="0" borderId="0" xfId="0" applyFont="1" applyBorder="1" applyAlignment="1">
      <alignment horizontal="center" wrapText="1"/>
    </xf>
    <xf numFmtId="4" fontId="14" fillId="0" borderId="61" xfId="68" applyNumberFormat="1" applyFont="1" applyFill="1" applyBorder="1"/>
    <xf numFmtId="167" fontId="5" fillId="31" borderId="24" xfId="2" applyNumberFormat="1" applyFont="1" applyFill="1" applyBorder="1"/>
    <xf numFmtId="0" fontId="9" fillId="0" borderId="7" xfId="68" applyFont="1" applyBorder="1"/>
    <xf numFmtId="0" fontId="5" fillId="0" borderId="0" xfId="0" applyNumberFormat="1" applyFont="1"/>
    <xf numFmtId="0" fontId="5" fillId="0" borderId="62" xfId="0" applyFont="1" applyBorder="1"/>
    <xf numFmtId="0" fontId="5" fillId="0" borderId="59" xfId="0" applyFont="1" applyBorder="1" applyAlignment="1">
      <alignment horizontal="center" wrapText="1"/>
    </xf>
    <xf numFmtId="0" fontId="5" fillId="0" borderId="27" xfId="0" applyFont="1" applyBorder="1" applyAlignment="1">
      <alignment horizontal="center" wrapText="1"/>
    </xf>
    <xf numFmtId="3" fontId="5" fillId="0" borderId="1" xfId="0" applyNumberFormat="1" applyFont="1" applyBorder="1"/>
    <xf numFmtId="0" fontId="9" fillId="0" borderId="7" xfId="68" applyNumberFormat="1" applyFont="1" applyFill="1" applyBorder="1"/>
    <xf numFmtId="0" fontId="14" fillId="0" borderId="7" xfId="68" applyFont="1" applyFill="1" applyBorder="1" applyAlignment="1">
      <alignment horizontal="center"/>
    </xf>
    <xf numFmtId="165" fontId="5" fillId="0" borderId="1" xfId="120" applyNumberFormat="1" applyFont="1" applyFill="1" applyBorder="1"/>
    <xf numFmtId="0" fontId="5" fillId="5" borderId="1" xfId="68" applyFont="1" applyFill="1" applyBorder="1"/>
    <xf numFmtId="0" fontId="5" fillId="0" borderId="0" xfId="0" applyFont="1" applyAlignment="1">
      <alignment horizontal="left" indent="3"/>
    </xf>
    <xf numFmtId="0" fontId="5" fillId="0" borderId="0" xfId="0" applyFont="1" applyBorder="1" applyAlignment="1">
      <alignment horizontal="left" indent="3"/>
    </xf>
    <xf numFmtId="0" fontId="5" fillId="0" borderId="24" xfId="0" applyFont="1" applyBorder="1" applyAlignment="1">
      <alignment horizontal="left" indent="3"/>
    </xf>
    <xf numFmtId="37" fontId="5" fillId="0" borderId="0" xfId="1" applyNumberFormat="1" applyFont="1"/>
    <xf numFmtId="0" fontId="5" fillId="0" borderId="0" xfId="0" applyFont="1" applyFill="1" applyAlignment="1">
      <alignment horizontal="center"/>
    </xf>
    <xf numFmtId="0" fontId="5" fillId="0" borderId="59" xfId="0" applyFont="1" applyBorder="1"/>
    <xf numFmtId="0" fontId="14" fillId="0" borderId="3" xfId="68" applyFont="1" applyFill="1" applyBorder="1"/>
    <xf numFmtId="0" fontId="5" fillId="0" borderId="0" xfId="0" applyFont="1" applyAlignment="1">
      <alignment horizontal="left" vertical="center" indent="3"/>
    </xf>
    <xf numFmtId="37" fontId="5" fillId="0" borderId="24" xfId="1" applyNumberFormat="1" applyFont="1" applyBorder="1"/>
    <xf numFmtId="0" fontId="5" fillId="0" borderId="49" xfId="0" applyFont="1" applyBorder="1"/>
    <xf numFmtId="0" fontId="5" fillId="0" borderId="52" xfId="0" applyFont="1" applyBorder="1"/>
    <xf numFmtId="165" fontId="5" fillId="3" borderId="0" xfId="1" applyNumberFormat="1" applyFont="1" applyFill="1" applyBorder="1"/>
    <xf numFmtId="165" fontId="5" fillId="3" borderId="24" xfId="1" applyNumberFormat="1" applyFont="1" applyFill="1" applyBorder="1"/>
    <xf numFmtId="3" fontId="5" fillId="3" borderId="24" xfId="0" applyNumberFormat="1" applyFont="1" applyFill="1" applyBorder="1"/>
    <xf numFmtId="167" fontId="5" fillId="0" borderId="0" xfId="0" applyNumberFormat="1" applyFont="1" applyBorder="1"/>
    <xf numFmtId="37" fontId="5" fillId="0" borderId="0" xfId="1" applyNumberFormat="1" applyFont="1" applyFill="1" applyBorder="1" applyAlignment="1">
      <alignment horizontal="right"/>
    </xf>
    <xf numFmtId="37" fontId="5" fillId="0" borderId="0" xfId="1" applyNumberFormat="1" applyFont="1" applyFill="1"/>
    <xf numFmtId="0" fontId="14" fillId="0" borderId="51" xfId="68" applyFont="1" applyFill="1" applyBorder="1"/>
    <xf numFmtId="0" fontId="14" fillId="0" borderId="53" xfId="68" applyFont="1" applyFill="1" applyBorder="1"/>
    <xf numFmtId="0" fontId="14" fillId="0" borderId="21" xfId="68" applyFont="1" applyFill="1" applyBorder="1"/>
    <xf numFmtId="0" fontId="14" fillId="0" borderId="22" xfId="68" applyFont="1" applyFill="1" applyBorder="1"/>
    <xf numFmtId="0" fontId="14" fillId="0" borderId="23" xfId="68" applyFont="1" applyFill="1" applyBorder="1"/>
    <xf numFmtId="0" fontId="14" fillId="0" borderId="25" xfId="68" applyFont="1" applyFill="1" applyBorder="1"/>
    <xf numFmtId="0" fontId="50" fillId="0" borderId="0" xfId="0" applyFont="1"/>
    <xf numFmtId="0" fontId="50" fillId="0" borderId="59" xfId="0" applyFont="1" applyBorder="1" applyAlignment="1">
      <alignment horizontal="center"/>
    </xf>
    <xf numFmtId="0" fontId="50" fillId="0" borderId="63" xfId="0" applyFont="1" applyBorder="1" applyAlignment="1">
      <alignment horizontal="centerContinuous"/>
    </xf>
    <xf numFmtId="0" fontId="50" fillId="0" borderId="55" xfId="0" applyFont="1" applyBorder="1" applyAlignment="1">
      <alignment horizontal="centerContinuous"/>
    </xf>
    <xf numFmtId="0" fontId="50" fillId="0" borderId="64" xfId="0" applyFont="1" applyBorder="1" applyAlignment="1">
      <alignment horizontal="centerContinuous"/>
    </xf>
    <xf numFmtId="0" fontId="50" fillId="0" borderId="65" xfId="0" applyFont="1" applyBorder="1"/>
    <xf numFmtId="0" fontId="50" fillId="0" borderId="58" xfId="0" applyFont="1" applyBorder="1"/>
    <xf numFmtId="3" fontId="51" fillId="0" borderId="58" xfId="0" applyNumberFormat="1" applyFont="1" applyBorder="1"/>
    <xf numFmtId="0" fontId="50" fillId="0" borderId="56" xfId="0" applyFont="1" applyBorder="1"/>
    <xf numFmtId="3" fontId="51" fillId="0" borderId="56" xfId="0" applyNumberFormat="1" applyFont="1" applyBorder="1"/>
    <xf numFmtId="0" fontId="50" fillId="0" borderId="57" xfId="0" applyFont="1" applyBorder="1"/>
    <xf numFmtId="3" fontId="51" fillId="0" borderId="57" xfId="0" applyNumberFormat="1" applyFont="1" applyBorder="1"/>
    <xf numFmtId="0" fontId="5" fillId="0" borderId="63" xfId="0" applyFont="1" applyBorder="1"/>
    <xf numFmtId="0" fontId="5" fillId="0" borderId="64" xfId="0" applyFont="1" applyBorder="1" applyAlignment="1">
      <alignment horizontal="right"/>
    </xf>
    <xf numFmtId="3" fontId="49" fillId="0" borderId="0" xfId="0" applyNumberFormat="1" applyFont="1"/>
    <xf numFmtId="0" fontId="5" fillId="0" borderId="66" xfId="0" applyFont="1" applyBorder="1" applyAlignment="1">
      <alignment horizontal="left" indent="3"/>
    </xf>
    <xf numFmtId="0" fontId="5" fillId="0" borderId="66" xfId="0" applyFont="1" applyFill="1" applyBorder="1" applyAlignment="1">
      <alignment horizontal="center"/>
    </xf>
    <xf numFmtId="0" fontId="5" fillId="0" borderId="66" xfId="0" applyFont="1" applyBorder="1"/>
    <xf numFmtId="167" fontId="5" fillId="0" borderId="66" xfId="0" applyNumberFormat="1" applyFont="1" applyFill="1" applyBorder="1"/>
    <xf numFmtId="0" fontId="5" fillId="0" borderId="67" xfId="0" applyFont="1" applyBorder="1"/>
    <xf numFmtId="0" fontId="5" fillId="0" borderId="68" xfId="0" applyFont="1" applyBorder="1" applyAlignment="1">
      <alignment horizontal="left" indent="3"/>
    </xf>
    <xf numFmtId="0" fontId="5" fillId="0" borderId="68" xfId="0" applyFont="1" applyBorder="1"/>
    <xf numFmtId="37" fontId="5" fillId="0" borderId="68" xfId="0" applyNumberFormat="1" applyFont="1" applyBorder="1"/>
    <xf numFmtId="0" fontId="5" fillId="0" borderId="68" xfId="0" applyFont="1" applyBorder="1" applyAlignment="1">
      <alignment horizontal="center"/>
    </xf>
    <xf numFmtId="167" fontId="5" fillId="0" borderId="24" xfId="2" applyNumberFormat="1" applyFont="1" applyFill="1" applyBorder="1"/>
    <xf numFmtId="37" fontId="5" fillId="0" borderId="66" xfId="1" applyNumberFormat="1" applyFont="1" applyFill="1" applyBorder="1"/>
    <xf numFmtId="0" fontId="5" fillId="0" borderId="66" xfId="0" applyFont="1" applyFill="1" applyBorder="1"/>
    <xf numFmtId="37" fontId="5" fillId="0" borderId="68" xfId="0" applyNumberFormat="1" applyFont="1" applyFill="1" applyBorder="1"/>
    <xf numFmtId="0" fontId="5" fillId="0" borderId="68" xfId="0" applyFont="1" applyFill="1" applyBorder="1"/>
    <xf numFmtId="3" fontId="5" fillId="0" borderId="68" xfId="0" applyNumberFormat="1" applyFont="1" applyBorder="1"/>
    <xf numFmtId="0" fontId="5" fillId="0" borderId="100" xfId="0" applyFont="1" applyBorder="1"/>
    <xf numFmtId="167" fontId="5" fillId="0" borderId="100" xfId="0" applyNumberFormat="1" applyFont="1" applyBorder="1"/>
    <xf numFmtId="3" fontId="5" fillId="0" borderId="100" xfId="0" applyNumberFormat="1" applyFont="1" applyBorder="1"/>
    <xf numFmtId="0" fontId="5" fillId="0" borderId="99" xfId="0" applyFont="1" applyBorder="1"/>
    <xf numFmtId="0" fontId="5" fillId="0" borderId="101" xfId="0" applyFont="1" applyBorder="1"/>
    <xf numFmtId="3" fontId="5" fillId="0" borderId="24" xfId="0" applyNumberFormat="1" applyFont="1" applyFill="1" applyBorder="1"/>
    <xf numFmtId="0" fontId="5" fillId="3" borderId="49" xfId="0" applyNumberFormat="1" applyFont="1" applyFill="1" applyBorder="1"/>
    <xf numFmtId="2" fontId="5" fillId="0" borderId="1" xfId="42" applyNumberFormat="1" applyFont="1" applyFill="1" applyBorder="1"/>
    <xf numFmtId="168" fontId="5" fillId="0" borderId="62" xfId="0" applyNumberFormat="1" applyFont="1" applyBorder="1"/>
    <xf numFmtId="176" fontId="5" fillId="0" borderId="62" xfId="0" applyNumberFormat="1" applyFont="1" applyBorder="1"/>
    <xf numFmtId="2" fontId="5" fillId="0" borderId="62" xfId="0" applyNumberFormat="1" applyFont="1" applyBorder="1"/>
    <xf numFmtId="0" fontId="52" fillId="33" borderId="69" xfId="0" applyFont="1" applyFill="1" applyBorder="1" applyAlignment="1">
      <alignment horizontal="left" vertical="top"/>
    </xf>
    <xf numFmtId="0" fontId="52" fillId="33" borderId="72" xfId="0" applyFont="1" applyFill="1" applyBorder="1" applyAlignment="1">
      <alignment horizontal="left" vertical="top"/>
    </xf>
    <xf numFmtId="0" fontId="54" fillId="34" borderId="77" xfId="0" applyFont="1" applyFill="1" applyBorder="1" applyAlignment="1">
      <alignment horizontal="center" vertical="top" wrapText="1"/>
    </xf>
    <xf numFmtId="0" fontId="54" fillId="34" borderId="78" xfId="0" applyFont="1" applyFill="1" applyBorder="1" applyAlignment="1">
      <alignment horizontal="center" vertical="top" wrapText="1"/>
    </xf>
    <xf numFmtId="0" fontId="54" fillId="34" borderId="79" xfId="0" applyFont="1" applyFill="1" applyBorder="1" applyAlignment="1">
      <alignment horizontal="center" vertical="center" wrapText="1"/>
    </xf>
    <xf numFmtId="0" fontId="5" fillId="35" borderId="80" xfId="0" applyFont="1" applyFill="1" applyBorder="1" applyAlignment="1">
      <alignment wrapText="1"/>
    </xf>
    <xf numFmtId="0" fontId="5" fillId="36" borderId="80" xfId="0" applyFont="1" applyFill="1" applyBorder="1" applyAlignment="1">
      <alignment wrapText="1"/>
    </xf>
    <xf numFmtId="0" fontId="5" fillId="0" borderId="80" xfId="0" applyFont="1" applyFill="1" applyBorder="1" applyAlignment="1">
      <alignment wrapText="1"/>
    </xf>
    <xf numFmtId="0" fontId="5" fillId="5" borderId="80" xfId="0" applyFont="1" applyFill="1" applyBorder="1" applyAlignment="1">
      <alignment wrapText="1"/>
    </xf>
    <xf numFmtId="0" fontId="5" fillId="37" borderId="80" xfId="0" applyFont="1" applyFill="1" applyBorder="1" applyAlignment="1">
      <alignment wrapText="1"/>
    </xf>
    <xf numFmtId="0" fontId="5" fillId="38" borderId="80" xfId="0" applyFont="1" applyFill="1" applyBorder="1" applyAlignment="1">
      <alignment wrapText="1"/>
    </xf>
    <xf numFmtId="0" fontId="14" fillId="0" borderId="0" xfId="0" applyFont="1" applyFill="1" applyBorder="1" applyAlignment="1">
      <alignment horizontal="right" wrapText="1"/>
    </xf>
    <xf numFmtId="2" fontId="5" fillId="0" borderId="6" xfId="0" applyNumberFormat="1" applyFont="1" applyBorder="1"/>
    <xf numFmtId="2" fontId="5" fillId="0" borderId="7" xfId="0" applyNumberFormat="1" applyFont="1" applyBorder="1"/>
    <xf numFmtId="2" fontId="55" fillId="0" borderId="7" xfId="0" applyNumberFormat="1" applyFont="1" applyBorder="1"/>
    <xf numFmtId="2" fontId="55" fillId="0" borderId="85" xfId="0" applyNumberFormat="1" applyFont="1" applyBorder="1"/>
    <xf numFmtId="2" fontId="5" fillId="0" borderId="86" xfId="0" applyNumberFormat="1" applyFont="1" applyBorder="1"/>
    <xf numFmtId="2" fontId="5" fillId="0" borderId="87" xfId="0" applyNumberFormat="1" applyFont="1" applyBorder="1"/>
    <xf numFmtId="2" fontId="5" fillId="0" borderId="88" xfId="0" applyNumberFormat="1" applyFont="1" applyBorder="1"/>
    <xf numFmtId="0" fontId="14" fillId="0" borderId="79" xfId="0" applyFont="1" applyBorder="1" applyAlignment="1">
      <alignment horizontal="center"/>
    </xf>
    <xf numFmtId="1" fontId="14" fillId="39" borderId="89" xfId="0" applyNumberFormat="1" applyFont="1" applyFill="1" applyBorder="1" applyAlignment="1">
      <alignment horizontal="center"/>
    </xf>
    <xf numFmtId="1" fontId="14" fillId="0" borderId="80" xfId="0" applyNumberFormat="1" applyFont="1" applyBorder="1" applyAlignment="1">
      <alignment horizontal="center"/>
    </xf>
    <xf numFmtId="1" fontId="5" fillId="0" borderId="90" xfId="0" applyNumberFormat="1" applyFont="1" applyFill="1" applyBorder="1" applyAlignment="1">
      <alignment horizontal="center"/>
    </xf>
    <xf numFmtId="1" fontId="5" fillId="39" borderId="90" xfId="0" applyNumberFormat="1" applyFont="1" applyFill="1" applyBorder="1" applyAlignment="1">
      <alignment horizontal="center"/>
    </xf>
    <xf numFmtId="1" fontId="5" fillId="38" borderId="90" xfId="0" applyNumberFormat="1" applyFont="1" applyFill="1" applyBorder="1" applyAlignment="1">
      <alignment horizontal="center"/>
    </xf>
    <xf numFmtId="0" fontId="14" fillId="0" borderId="91" xfId="0" applyFont="1" applyBorder="1" applyAlignment="1">
      <alignment horizontal="center" vertical="center" wrapText="1"/>
    </xf>
    <xf numFmtId="0" fontId="14" fillId="0" borderId="71" xfId="0" applyFont="1" applyBorder="1" applyAlignment="1">
      <alignment horizontal="center" vertical="center" wrapText="1"/>
    </xf>
    <xf numFmtId="0" fontId="14" fillId="0" borderId="69" xfId="0" applyFont="1" applyBorder="1" applyAlignment="1">
      <alignment horizontal="center" vertical="center" wrapText="1"/>
    </xf>
    <xf numFmtId="0" fontId="14" fillId="39" borderId="80" xfId="0" applyFont="1" applyFill="1" applyBorder="1" applyAlignment="1">
      <alignment horizontal="center" vertical="center" wrapText="1"/>
    </xf>
    <xf numFmtId="0" fontId="14" fillId="0" borderId="80" xfId="0" applyFont="1" applyBorder="1" applyAlignment="1">
      <alignment horizontal="center" vertical="center" wrapText="1"/>
    </xf>
    <xf numFmtId="0" fontId="14" fillId="0" borderId="90" xfId="0" applyFont="1" applyFill="1" applyBorder="1" applyAlignment="1">
      <alignment horizontal="center" vertical="center" wrapText="1"/>
    </xf>
    <xf numFmtId="0" fontId="14" fillId="39" borderId="90" xfId="0" applyFont="1" applyFill="1" applyBorder="1" applyAlignment="1">
      <alignment horizontal="center" vertical="center" wrapText="1"/>
    </xf>
    <xf numFmtId="0" fontId="14" fillId="38" borderId="90" xfId="0" applyFont="1" applyFill="1" applyBorder="1" applyAlignment="1">
      <alignment horizontal="center" vertical="center" wrapText="1"/>
    </xf>
    <xf numFmtId="0" fontId="14" fillId="40" borderId="80" xfId="0" applyFont="1" applyFill="1" applyBorder="1" applyAlignment="1">
      <alignment horizontal="center"/>
    </xf>
    <xf numFmtId="0" fontId="14" fillId="0" borderId="89" xfId="0" applyFont="1" applyBorder="1" applyAlignment="1">
      <alignment horizontal="center"/>
    </xf>
    <xf numFmtId="0" fontId="14" fillId="41" borderId="80" xfId="0" applyFont="1" applyFill="1" applyBorder="1" applyAlignment="1">
      <alignment horizontal="center"/>
    </xf>
    <xf numFmtId="0" fontId="14" fillId="43" borderId="80" xfId="0" applyFont="1" applyFill="1" applyBorder="1" applyAlignment="1">
      <alignment horizontal="center"/>
    </xf>
    <xf numFmtId="1" fontId="14" fillId="43" borderId="90" xfId="0" applyNumberFormat="1" applyFont="1" applyFill="1" applyBorder="1" applyAlignment="1">
      <alignment horizontal="center"/>
    </xf>
    <xf numFmtId="1" fontId="14" fillId="41" borderId="90" xfId="0" applyNumberFormat="1" applyFont="1" applyFill="1" applyBorder="1" applyAlignment="1">
      <alignment horizontal="center"/>
    </xf>
    <xf numFmtId="0" fontId="14" fillId="40" borderId="93" xfId="0" applyFont="1" applyFill="1" applyBorder="1" applyAlignment="1">
      <alignment horizontal="center"/>
    </xf>
    <xf numFmtId="0" fontId="14" fillId="0" borderId="94" xfId="0" applyFont="1" applyBorder="1" applyAlignment="1">
      <alignment horizontal="center"/>
    </xf>
    <xf numFmtId="0" fontId="14" fillId="41" borderId="93" xfId="0" applyFont="1" applyFill="1" applyBorder="1" applyAlignment="1">
      <alignment horizontal="center"/>
    </xf>
    <xf numFmtId="0" fontId="14" fillId="43" borderId="93" xfId="0" applyFont="1" applyFill="1" applyBorder="1" applyAlignment="1">
      <alignment horizontal="center"/>
    </xf>
    <xf numFmtId="1" fontId="14" fillId="43" borderId="95" xfId="0" applyNumberFormat="1" applyFont="1" applyFill="1" applyBorder="1" applyAlignment="1">
      <alignment horizontal="center"/>
    </xf>
    <xf numFmtId="1" fontId="14" fillId="41" borderId="95" xfId="0" applyNumberFormat="1" applyFont="1" applyFill="1" applyBorder="1" applyAlignment="1">
      <alignment horizontal="center"/>
    </xf>
    <xf numFmtId="1" fontId="14" fillId="42" borderId="90" xfId="0" applyNumberFormat="1" applyFont="1" applyFill="1" applyBorder="1" applyAlignment="1">
      <alignment horizontal="center"/>
    </xf>
    <xf numFmtId="1" fontId="14" fillId="42" borderId="95" xfId="0" applyNumberFormat="1" applyFont="1" applyFill="1" applyBorder="1" applyAlignment="1">
      <alignment horizontal="center"/>
    </xf>
    <xf numFmtId="0" fontId="5" fillId="0" borderId="70" xfId="0" applyFont="1" applyBorder="1"/>
    <xf numFmtId="0" fontId="5" fillId="0" borderId="71" xfId="0" applyFont="1" applyBorder="1"/>
    <xf numFmtId="0" fontId="5" fillId="0" borderId="73" xfId="0" applyFont="1" applyBorder="1"/>
    <xf numFmtId="0" fontId="5" fillId="0" borderId="96" xfId="0" applyFont="1" applyBorder="1" applyAlignment="1" applyProtection="1">
      <alignment horizontal="left"/>
      <protection locked="0"/>
    </xf>
    <xf numFmtId="0" fontId="5" fillId="0" borderId="97" xfId="0" applyFont="1" applyBorder="1"/>
    <xf numFmtId="0" fontId="5" fillId="0" borderId="81" xfId="0" applyFont="1" applyBorder="1"/>
    <xf numFmtId="0" fontId="5" fillId="0" borderId="81" xfId="0" applyFont="1" applyBorder="1" applyAlignment="1" applyProtection="1">
      <alignment horizontal="center"/>
      <protection locked="0"/>
    </xf>
    <xf numFmtId="176" fontId="5" fillId="0" borderId="60" xfId="0" applyNumberFormat="1" applyFont="1" applyBorder="1" applyAlignment="1" applyProtection="1">
      <alignment horizontal="center"/>
      <protection locked="0"/>
    </xf>
    <xf numFmtId="0" fontId="9" fillId="5" borderId="81" xfId="0" applyFont="1" applyFill="1" applyBorder="1" applyAlignment="1" applyProtection="1">
      <alignment horizontal="center"/>
      <protection locked="0"/>
    </xf>
    <xf numFmtId="176" fontId="9" fillId="5" borderId="60" xfId="0" applyNumberFormat="1" applyFont="1" applyFill="1" applyBorder="1" applyAlignment="1" applyProtection="1">
      <alignment horizontal="center"/>
      <protection locked="0"/>
    </xf>
    <xf numFmtId="177" fontId="9" fillId="5" borderId="81" xfId="0" applyNumberFormat="1" applyFont="1" applyFill="1" applyBorder="1" applyAlignment="1" applyProtection="1">
      <alignment horizontal="center"/>
      <protection locked="0"/>
    </xf>
    <xf numFmtId="178" fontId="5" fillId="0" borderId="83" xfId="0" applyNumberFormat="1" applyFont="1" applyFill="1" applyBorder="1" applyAlignment="1" applyProtection="1"/>
    <xf numFmtId="176" fontId="5" fillId="37" borderId="84" xfId="0" applyNumberFormat="1" applyFont="1" applyFill="1" applyBorder="1" applyAlignment="1" applyProtection="1"/>
    <xf numFmtId="0" fontId="5" fillId="0" borderId="86" xfId="0" applyFont="1" applyBorder="1"/>
    <xf numFmtId="0" fontId="5" fillId="0" borderId="82" xfId="0" applyFont="1" applyBorder="1"/>
    <xf numFmtId="0" fontId="5" fillId="0" borderId="24" xfId="0" applyFont="1" applyBorder="1" applyAlignment="1">
      <alignment horizontal="center"/>
    </xf>
    <xf numFmtId="0" fontId="5" fillId="0" borderId="47" xfId="0" applyFont="1" applyBorder="1" applyAlignment="1">
      <alignment horizontal="center"/>
    </xf>
    <xf numFmtId="171" fontId="5" fillId="0" borderId="98" xfId="0" applyNumberFormat="1" applyFont="1" applyFill="1" applyBorder="1" applyAlignment="1">
      <alignment horizontal="center"/>
    </xf>
    <xf numFmtId="0" fontId="5" fillId="0" borderId="81" xfId="0" applyFont="1" applyBorder="1" applyAlignment="1">
      <alignment wrapText="1"/>
    </xf>
    <xf numFmtId="0" fontId="9" fillId="5" borderId="81" xfId="0" applyFont="1" applyFill="1" applyBorder="1" applyAlignment="1">
      <alignment wrapText="1"/>
    </xf>
    <xf numFmtId="0" fontId="9" fillId="5" borderId="0" xfId="0" applyFont="1" applyFill="1" applyBorder="1"/>
    <xf numFmtId="0" fontId="9" fillId="5" borderId="60" xfId="0" applyFont="1" applyFill="1" applyBorder="1"/>
    <xf numFmtId="0" fontId="9" fillId="37" borderId="60" xfId="0" applyFont="1" applyFill="1" applyBorder="1"/>
    <xf numFmtId="0" fontId="5" fillId="32" borderId="0" xfId="0" applyFont="1" applyFill="1" applyBorder="1"/>
    <xf numFmtId="0" fontId="5" fillId="0" borderId="83" xfId="0" applyFont="1" applyBorder="1" applyAlignment="1">
      <alignment wrapText="1"/>
    </xf>
    <xf numFmtId="0" fontId="5" fillId="0" borderId="50" xfId="0" applyFont="1" applyBorder="1"/>
    <xf numFmtId="0" fontId="5" fillId="0" borderId="84" xfId="0" applyFont="1" applyBorder="1"/>
    <xf numFmtId="0" fontId="14" fillId="40" borderId="91" xfId="0" applyFont="1" applyFill="1" applyBorder="1" applyAlignment="1">
      <alignment horizontal="left" wrapText="1"/>
    </xf>
    <xf numFmtId="0" fontId="14" fillId="40" borderId="92" xfId="0" applyFont="1" applyFill="1" applyBorder="1" applyAlignment="1">
      <alignment horizontal="left" wrapText="1"/>
    </xf>
    <xf numFmtId="176" fontId="5" fillId="3" borderId="0" xfId="0" applyNumberFormat="1" applyFont="1" applyFill="1"/>
    <xf numFmtId="176" fontId="5" fillId="3" borderId="66" xfId="0" applyNumberFormat="1" applyFont="1" applyFill="1" applyBorder="1"/>
    <xf numFmtId="0" fontId="5" fillId="0" borderId="52" xfId="0" applyFont="1" applyBorder="1" applyAlignment="1">
      <alignment horizontal="left" indent="2"/>
    </xf>
    <xf numFmtId="0" fontId="5" fillId="0" borderId="52" xfId="0" applyFont="1" applyFill="1" applyBorder="1" applyAlignment="1">
      <alignment horizontal="center"/>
    </xf>
    <xf numFmtId="37" fontId="5" fillId="4" borderId="52" xfId="1" applyNumberFormat="1" applyFont="1" applyFill="1" applyBorder="1" applyAlignment="1">
      <alignment horizontal="right"/>
    </xf>
    <xf numFmtId="167" fontId="5" fillId="0" borderId="52" xfId="0" applyNumberFormat="1" applyFont="1" applyBorder="1"/>
    <xf numFmtId="3" fontId="5" fillId="0" borderId="52" xfId="0" applyNumberFormat="1" applyFont="1" applyBorder="1"/>
    <xf numFmtId="0" fontId="5" fillId="0" borderId="100" xfId="0" applyFont="1" applyBorder="1" applyAlignment="1">
      <alignment horizontal="left" indent="2"/>
    </xf>
    <xf numFmtId="0" fontId="5" fillId="0" borderId="100" xfId="0" applyFont="1" applyFill="1" applyBorder="1" applyAlignment="1">
      <alignment horizontal="center"/>
    </xf>
    <xf numFmtId="3" fontId="5" fillId="4" borderId="0" xfId="1" applyNumberFormat="1" applyFont="1" applyFill="1" applyBorder="1" applyAlignment="1">
      <alignment horizontal="right"/>
    </xf>
    <xf numFmtId="0" fontId="5" fillId="0" borderId="100" xfId="1" applyNumberFormat="1" applyFont="1" applyFill="1" applyBorder="1"/>
    <xf numFmtId="176" fontId="5" fillId="3" borderId="0" xfId="0" applyNumberFormat="1" applyFont="1" applyFill="1" applyBorder="1"/>
    <xf numFmtId="176" fontId="5" fillId="3" borderId="24" xfId="0" applyNumberFormat="1" applyFont="1" applyFill="1" applyBorder="1"/>
    <xf numFmtId="3" fontId="5" fillId="0" borderId="0" xfId="0" applyNumberFormat="1" applyFont="1" applyAlignment="1">
      <alignment horizontal="right"/>
    </xf>
    <xf numFmtId="176" fontId="14" fillId="3" borderId="0" xfId="0" applyNumberFormat="1" applyFont="1" applyFill="1"/>
    <xf numFmtId="176" fontId="14" fillId="3" borderId="66" xfId="0" applyNumberFormat="1" applyFont="1" applyFill="1" applyBorder="1"/>
    <xf numFmtId="0" fontId="14" fillId="0" borderId="68" xfId="0" applyFont="1" applyBorder="1" applyAlignment="1">
      <alignment horizontal="center"/>
    </xf>
    <xf numFmtId="0" fontId="14" fillId="0" borderId="0" xfId="0" applyFont="1" applyAlignment="1">
      <alignment horizontal="center"/>
    </xf>
    <xf numFmtId="176" fontId="14" fillId="3" borderId="24" xfId="0" applyNumberFormat="1" applyFont="1" applyFill="1" applyBorder="1"/>
    <xf numFmtId="0" fontId="5" fillId="0" borderId="0" xfId="0" applyFont="1" applyAlignment="1">
      <alignment horizontal="right"/>
    </xf>
    <xf numFmtId="0" fontId="5" fillId="0" borderId="0" xfId="0" applyNumberFormat="1" applyFont="1" applyAlignment="1">
      <alignment horizontal="right"/>
    </xf>
    <xf numFmtId="0" fontId="5" fillId="0" borderId="102" xfId="0" applyFont="1" applyBorder="1"/>
    <xf numFmtId="0" fontId="5" fillId="0" borderId="103" xfId="0" applyFont="1" applyBorder="1"/>
    <xf numFmtId="3" fontId="5" fillId="0" borderId="0" xfId="1" applyNumberFormat="1" applyFont="1" applyFill="1" applyBorder="1" applyAlignment="1">
      <alignment horizontal="right"/>
    </xf>
    <xf numFmtId="175" fontId="5" fillId="4" borderId="0" xfId="1" applyNumberFormat="1" applyFont="1" applyFill="1" applyBorder="1" applyAlignment="1">
      <alignment horizontal="right"/>
    </xf>
    <xf numFmtId="0" fontId="14" fillId="0" borderId="100" xfId="68" applyFont="1" applyBorder="1" applyAlignment="1">
      <alignment horizontal="center"/>
    </xf>
    <xf numFmtId="3" fontId="5" fillId="0" borderId="0" xfId="1" applyNumberFormat="1" applyFont="1" applyBorder="1"/>
    <xf numFmtId="9" fontId="5" fillId="0" borderId="0" xfId="2" applyFont="1" applyFill="1" applyBorder="1"/>
    <xf numFmtId="9" fontId="5" fillId="0" borderId="0" xfId="68" applyNumberFormat="1" applyFont="1" applyFill="1" applyBorder="1"/>
    <xf numFmtId="9" fontId="5" fillId="0" borderId="0" xfId="2" applyNumberFormat="1" applyFont="1" applyFill="1" applyBorder="1"/>
    <xf numFmtId="0" fontId="9" fillId="0" borderId="0" xfId="0" applyFont="1" applyBorder="1" applyAlignment="1">
      <alignment horizontal="center" wrapText="1"/>
    </xf>
    <xf numFmtId="0" fontId="9" fillId="0" borderId="0" xfId="0" applyFont="1" applyBorder="1" applyAlignment="1">
      <alignment horizontal="center"/>
    </xf>
    <xf numFmtId="0" fontId="9" fillId="0" borderId="0" xfId="0" applyFont="1" applyBorder="1" applyAlignment="1">
      <alignment horizontal="left"/>
    </xf>
    <xf numFmtId="0" fontId="9" fillId="0" borderId="0" xfId="0" applyFont="1" applyAlignment="1">
      <alignment horizontal="left" indent="1"/>
    </xf>
    <xf numFmtId="0" fontId="9" fillId="0" borderId="0" xfId="0" applyFont="1" applyFill="1" applyBorder="1" applyAlignment="1">
      <alignment horizontal="left" indent="1"/>
    </xf>
    <xf numFmtId="0" fontId="5" fillId="0" borderId="0" xfId="0" applyFont="1" applyAlignment="1">
      <alignment horizontal="left"/>
    </xf>
    <xf numFmtId="0" fontId="50" fillId="0" borderId="104" xfId="0" applyFont="1" applyBorder="1" applyAlignment="1">
      <alignment horizontal="center"/>
    </xf>
    <xf numFmtId="0" fontId="50" fillId="0" borderId="89" xfId="0" applyFont="1" applyBorder="1" applyAlignment="1">
      <alignment horizontal="centerContinuous"/>
    </xf>
    <xf numFmtId="0" fontId="50" fillId="0" borderId="29" xfId="0" applyFont="1" applyBorder="1" applyAlignment="1">
      <alignment horizontal="centerContinuous"/>
    </xf>
    <xf numFmtId="0" fontId="50" fillId="0" borderId="26" xfId="0" applyFont="1" applyBorder="1" applyAlignment="1">
      <alignment horizontal="centerContinuous"/>
    </xf>
    <xf numFmtId="10" fontId="51" fillId="0" borderId="58" xfId="2" applyNumberFormat="1" applyFont="1" applyBorder="1"/>
    <xf numFmtId="10" fontId="51" fillId="0" borderId="56" xfId="2" applyNumberFormat="1" applyFont="1" applyBorder="1"/>
    <xf numFmtId="10" fontId="51" fillId="0" borderId="57" xfId="2" applyNumberFormat="1" applyFont="1" applyBorder="1"/>
    <xf numFmtId="0" fontId="50" fillId="0" borderId="0" xfId="0" applyFont="1" applyBorder="1"/>
    <xf numFmtId="10" fontId="51" fillId="0" borderId="0" xfId="2" applyNumberFormat="1" applyFont="1" applyBorder="1"/>
    <xf numFmtId="9" fontId="5" fillId="4" borderId="0" xfId="2" applyFont="1" applyFill="1"/>
    <xf numFmtId="0" fontId="5" fillId="0" borderId="105" xfId="68" applyFont="1" applyFill="1" applyBorder="1"/>
    <xf numFmtId="0" fontId="9" fillId="0" borderId="7" xfId="68" applyFont="1" applyFill="1" applyBorder="1"/>
    <xf numFmtId="0" fontId="9" fillId="0" borderId="7" xfId="68" applyFont="1" applyBorder="1" applyAlignment="1">
      <alignment horizontal="center"/>
    </xf>
    <xf numFmtId="0" fontId="5" fillId="0" borderId="105" xfId="68" applyFont="1" applyBorder="1"/>
    <xf numFmtId="0" fontId="46" fillId="0" borderId="0" xfId="68" applyFont="1" applyFill="1" applyBorder="1" applyAlignment="1">
      <alignment horizontal="center"/>
    </xf>
    <xf numFmtId="4" fontId="14" fillId="0" borderId="0" xfId="68" applyNumberFormat="1" applyFont="1" applyFill="1" applyBorder="1"/>
    <xf numFmtId="0" fontId="46" fillId="0" borderId="104" xfId="68" applyFont="1" applyFill="1" applyBorder="1" applyAlignment="1">
      <alignment horizontal="center"/>
    </xf>
    <xf numFmtId="0" fontId="14" fillId="0" borderId="102" xfId="68" applyFont="1" applyBorder="1" applyAlignment="1">
      <alignment horizontal="center"/>
    </xf>
    <xf numFmtId="0" fontId="46" fillId="0" borderId="65" xfId="68" applyFont="1" applyFill="1" applyBorder="1" applyAlignment="1">
      <alignment horizontal="center"/>
    </xf>
    <xf numFmtId="0" fontId="14" fillId="0" borderId="52" xfId="68" applyFont="1" applyFill="1" applyBorder="1"/>
    <xf numFmtId="0" fontId="14" fillId="0" borderId="106" xfId="68" applyNumberFormat="1" applyFont="1" applyFill="1" applyBorder="1"/>
    <xf numFmtId="0" fontId="14" fillId="0" borderId="0" xfId="68" applyNumberFormat="1" applyFont="1" applyFill="1" applyBorder="1"/>
    <xf numFmtId="0" fontId="5" fillId="0" borderId="0" xfId="0" applyFont="1" applyBorder="1" applyAlignment="1">
      <alignment horizontal="left"/>
    </xf>
    <xf numFmtId="0" fontId="5" fillId="0" borderId="0" xfId="0" applyFont="1" applyFill="1" applyBorder="1"/>
    <xf numFmtId="0" fontId="14" fillId="0" borderId="105" xfId="68" applyFont="1" applyFill="1" applyBorder="1"/>
    <xf numFmtId="4" fontId="46" fillId="0" borderId="7" xfId="120" applyNumberFormat="1" applyFont="1" applyFill="1" applyBorder="1" applyAlignment="1">
      <alignment horizontal="right"/>
    </xf>
    <xf numFmtId="0" fontId="14" fillId="0" borderId="7" xfId="68" applyFont="1" applyBorder="1"/>
    <xf numFmtId="0" fontId="14" fillId="0" borderId="0" xfId="68" applyFont="1" applyBorder="1"/>
    <xf numFmtId="0" fontId="14" fillId="0" borderId="100" xfId="68" applyFont="1" applyFill="1" applyBorder="1" applyAlignment="1">
      <alignment wrapText="1"/>
    </xf>
    <xf numFmtId="0" fontId="14" fillId="0" borderId="49" xfId="68" applyFont="1" applyFill="1" applyBorder="1" applyAlignment="1">
      <alignment wrapText="1"/>
    </xf>
    <xf numFmtId="0" fontId="14" fillId="0" borderId="105" xfId="68" applyFont="1" applyBorder="1"/>
    <xf numFmtId="2" fontId="14" fillId="0" borderId="105" xfId="68" applyNumberFormat="1" applyFont="1" applyFill="1" applyBorder="1"/>
    <xf numFmtId="3" fontId="5" fillId="0" borderId="105" xfId="120" applyNumberFormat="1" applyFont="1" applyFill="1" applyBorder="1"/>
    <xf numFmtId="3" fontId="5" fillId="31" borderId="0" xfId="0" applyNumberFormat="1" applyFont="1" applyFill="1" applyAlignment="1">
      <alignment horizontal="right"/>
    </xf>
    <xf numFmtId="0" fontId="5" fillId="31" borderId="0" xfId="0" applyNumberFormat="1" applyFont="1" applyFill="1" applyAlignment="1">
      <alignment horizontal="right"/>
    </xf>
    <xf numFmtId="0" fontId="51" fillId="0" borderId="0" xfId="2" applyNumberFormat="1" applyFont="1" applyBorder="1"/>
    <xf numFmtId="0" fontId="50" fillId="0" borderId="107" xfId="0" applyFont="1" applyBorder="1"/>
    <xf numFmtId="3" fontId="51" fillId="0" borderId="107" xfId="2" applyNumberFormat="1" applyFont="1" applyBorder="1"/>
    <xf numFmtId="3" fontId="51" fillId="0" borderId="56" xfId="2" applyNumberFormat="1" applyFont="1" applyBorder="1"/>
    <xf numFmtId="3" fontId="51" fillId="0" borderId="57" xfId="2" applyNumberFormat="1" applyFont="1" applyBorder="1"/>
    <xf numFmtId="167" fontId="51" fillId="0" borderId="107" xfId="2" applyNumberFormat="1" applyFont="1" applyBorder="1"/>
    <xf numFmtId="167" fontId="51" fillId="0" borderId="56" xfId="2" applyNumberFormat="1" applyFont="1" applyBorder="1"/>
    <xf numFmtId="167" fontId="51" fillId="0" borderId="57" xfId="2" applyNumberFormat="1" applyFont="1" applyBorder="1"/>
    <xf numFmtId="0" fontId="14" fillId="3" borderId="108" xfId="68" applyFont="1" applyFill="1" applyBorder="1"/>
    <xf numFmtId="0" fontId="46" fillId="0" borderId="104" xfId="68" applyFont="1" applyFill="1" applyBorder="1" applyAlignment="1">
      <alignment horizontal="left"/>
    </xf>
    <xf numFmtId="0" fontId="46" fillId="0" borderId="102" xfId="68" applyFont="1" applyBorder="1" applyAlignment="1">
      <alignment horizontal="left"/>
    </xf>
    <xf numFmtId="0" fontId="46" fillId="0" borderId="102" xfId="68" applyFont="1" applyFill="1" applyBorder="1" applyAlignment="1">
      <alignment horizontal="left"/>
    </xf>
    <xf numFmtId="0" fontId="5" fillId="0" borderId="29" xfId="68" applyFont="1" applyBorder="1"/>
    <xf numFmtId="0" fontId="46" fillId="0" borderId="102" xfId="68" applyFont="1" applyBorder="1" applyAlignment="1">
      <alignment horizontal="center"/>
    </xf>
    <xf numFmtId="3" fontId="14" fillId="0" borderId="58" xfId="68" applyNumberFormat="1" applyFont="1" applyFill="1" applyBorder="1"/>
    <xf numFmtId="3" fontId="14" fillId="0" borderId="56" xfId="68" applyNumberFormat="1" applyFont="1" applyFill="1" applyBorder="1"/>
    <xf numFmtId="176" fontId="14" fillId="0" borderId="0" xfId="0" applyNumberFormat="1" applyFont="1" applyBorder="1"/>
    <xf numFmtId="3" fontId="14" fillId="0" borderId="57" xfId="68" applyNumberFormat="1" applyFont="1" applyFill="1" applyBorder="1"/>
    <xf numFmtId="0" fontId="5" fillId="0" borderId="109" xfId="0" applyFont="1" applyFill="1" applyBorder="1"/>
    <xf numFmtId="0" fontId="5" fillId="0" borderId="110" xfId="0" applyFont="1" applyFill="1" applyBorder="1" applyAlignment="1">
      <alignment horizontal="right"/>
    </xf>
    <xf numFmtId="0" fontId="5" fillId="0" borderId="111" xfId="0" applyFont="1" applyFill="1" applyBorder="1"/>
    <xf numFmtId="0" fontId="5" fillId="0" borderId="112" xfId="0" applyFont="1" applyFill="1" applyBorder="1" applyAlignment="1">
      <alignment horizontal="right"/>
    </xf>
    <xf numFmtId="0" fontId="5" fillId="0" borderId="113" xfId="0" applyFont="1" applyFill="1" applyBorder="1"/>
    <xf numFmtId="180" fontId="5" fillId="0" borderId="48" xfId="0" applyNumberFormat="1" applyFont="1" applyFill="1" applyBorder="1" applyAlignment="1">
      <alignment horizontal="right"/>
    </xf>
    <xf numFmtId="0" fontId="5" fillId="0" borderId="0" xfId="0" applyFont="1" applyFill="1" applyBorder="1" applyAlignment="1">
      <alignment horizontal="left" vertical="center" wrapText="1"/>
    </xf>
    <xf numFmtId="180" fontId="5" fillId="0" borderId="0" xfId="0" applyNumberFormat="1" applyFont="1" applyFill="1" applyBorder="1" applyAlignment="1">
      <alignment horizontal="right"/>
    </xf>
    <xf numFmtId="0" fontId="5" fillId="0" borderId="0" xfId="0" applyFont="1" applyFill="1" applyBorder="1" applyAlignment="1">
      <alignment horizontal="left" wrapText="1"/>
    </xf>
    <xf numFmtId="10" fontId="5" fillId="0" borderId="0" xfId="2" applyNumberFormat="1" applyFont="1" applyFill="1" applyBorder="1"/>
    <xf numFmtId="180" fontId="9" fillId="0" borderId="0" xfId="0" quotePrefix="1" applyNumberFormat="1" applyFont="1" applyBorder="1" applyAlignment="1">
      <alignment horizontal="left"/>
    </xf>
    <xf numFmtId="175" fontId="14" fillId="3" borderId="108" xfId="68" applyNumberFormat="1" applyFont="1" applyFill="1" applyBorder="1"/>
    <xf numFmtId="175" fontId="14" fillId="3" borderId="58" xfId="68" applyNumberFormat="1" applyFont="1" applyFill="1" applyBorder="1"/>
    <xf numFmtId="175" fontId="14" fillId="3" borderId="56" xfId="68" applyNumberFormat="1" applyFont="1" applyFill="1" applyBorder="1"/>
    <xf numFmtId="175" fontId="14" fillId="3" borderId="57" xfId="68" applyNumberFormat="1" applyFont="1" applyFill="1" applyBorder="1"/>
    <xf numFmtId="180" fontId="5" fillId="0" borderId="112" xfId="0" applyNumberFormat="1" applyFont="1" applyFill="1" applyBorder="1" applyAlignment="1">
      <alignment horizontal="right"/>
    </xf>
    <xf numFmtId="9" fontId="14" fillId="3" borderId="100" xfId="68" applyNumberFormat="1" applyFont="1" applyFill="1" applyBorder="1"/>
    <xf numFmtId="166" fontId="0" fillId="0" borderId="0" xfId="0" applyNumberFormat="1"/>
    <xf numFmtId="0" fontId="57" fillId="44" borderId="100" xfId="0" applyFont="1" applyFill="1" applyBorder="1" applyAlignment="1">
      <alignment horizontal="center"/>
    </xf>
    <xf numFmtId="6" fontId="57" fillId="44" borderId="100" xfId="0" applyNumberFormat="1" applyFont="1" applyFill="1" applyBorder="1" applyAlignment="1">
      <alignment horizontal="center"/>
    </xf>
    <xf numFmtId="38" fontId="5" fillId="0" borderId="0" xfId="1" applyNumberFormat="1" applyFont="1"/>
    <xf numFmtId="38" fontId="5" fillId="0" borderId="0" xfId="68" applyNumberFormat="1" applyFont="1"/>
    <xf numFmtId="38" fontId="5" fillId="5" borderId="1" xfId="68" applyNumberFormat="1" applyFont="1" applyFill="1" applyBorder="1"/>
    <xf numFmtId="3" fontId="9" fillId="0" borderId="0" xfId="120" applyNumberFormat="1" applyFont="1" applyFill="1" applyBorder="1"/>
    <xf numFmtId="166" fontId="14" fillId="0" borderId="105" xfId="68" applyNumberFormat="1" applyFont="1" applyBorder="1" applyAlignment="1">
      <alignment horizontal="right"/>
    </xf>
    <xf numFmtId="41" fontId="5" fillId="0" borderId="105" xfId="68" applyNumberFormat="1" applyFont="1" applyFill="1" applyBorder="1"/>
    <xf numFmtId="0" fontId="8" fillId="0" borderId="0" xfId="68" applyFont="1" applyFill="1" applyBorder="1"/>
    <xf numFmtId="41" fontId="8" fillId="0" borderId="0" xfId="68" applyNumberFormat="1" applyFont="1" applyFill="1" applyBorder="1"/>
    <xf numFmtId="0" fontId="8" fillId="0" borderId="1" xfId="68" applyFont="1" applyBorder="1"/>
    <xf numFmtId="0" fontId="8" fillId="0" borderId="0" xfId="68" applyFont="1" applyBorder="1"/>
    <xf numFmtId="41" fontId="8" fillId="0" borderId="1" xfId="68" applyNumberFormat="1" applyFont="1" applyFill="1" applyBorder="1"/>
    <xf numFmtId="3" fontId="58" fillId="0" borderId="0" xfId="68" applyNumberFormat="1" applyFont="1" applyFill="1" applyBorder="1"/>
    <xf numFmtId="0" fontId="0" fillId="0" borderId="0" xfId="0" applyAlignment="1">
      <alignment horizontal="center"/>
    </xf>
    <xf numFmtId="0" fontId="0" fillId="0" borderId="0" xfId="0" applyAlignment="1">
      <alignment horizontal="center" wrapText="1"/>
    </xf>
    <xf numFmtId="1" fontId="0" fillId="0" borderId="0" xfId="0" applyNumberFormat="1" applyAlignment="1">
      <alignment horizontal="center"/>
    </xf>
    <xf numFmtId="0" fontId="60" fillId="46" borderId="114" xfId="0" applyFont="1" applyFill="1" applyBorder="1" applyAlignment="1">
      <alignment horizontal="center" wrapText="1"/>
    </xf>
    <xf numFmtId="0" fontId="60" fillId="46" borderId="115" xfId="0" applyFont="1" applyFill="1" applyBorder="1" applyAlignment="1">
      <alignment horizontal="center" wrapText="1"/>
    </xf>
    <xf numFmtId="0" fontId="0" fillId="0" borderId="0" xfId="0" applyFont="1" applyAlignment="1">
      <alignment wrapText="1"/>
    </xf>
    <xf numFmtId="0" fontId="0" fillId="0" borderId="0" xfId="0" applyFont="1" applyAlignment="1">
      <alignment horizontal="right"/>
    </xf>
    <xf numFmtId="0" fontId="0" fillId="0" borderId="0" xfId="0" applyFill="1"/>
    <xf numFmtId="183" fontId="0" fillId="0" borderId="0" xfId="0" applyNumberFormat="1"/>
    <xf numFmtId="166" fontId="0" fillId="0" borderId="0" xfId="0" applyNumberFormat="1" applyBorder="1"/>
    <xf numFmtId="0" fontId="0" fillId="0" borderId="0" xfId="0" applyBorder="1"/>
    <xf numFmtId="3" fontId="0" fillId="0" borderId="0" xfId="0" applyNumberFormat="1" applyBorder="1"/>
    <xf numFmtId="181" fontId="0" fillId="0" borderId="0" xfId="0" applyNumberFormat="1" applyBorder="1"/>
    <xf numFmtId="182" fontId="0" fillId="0" borderId="0" xfId="0" applyNumberFormat="1" applyBorder="1"/>
    <xf numFmtId="0" fontId="0" fillId="0" borderId="0" xfId="0" applyFill="1" applyBorder="1"/>
    <xf numFmtId="184" fontId="0" fillId="0" borderId="0" xfId="0" applyNumberFormat="1" applyBorder="1"/>
    <xf numFmtId="0" fontId="60" fillId="45" borderId="0" xfId="0" applyFont="1" applyFill="1" applyBorder="1" applyAlignment="1">
      <alignment horizontal="center"/>
    </xf>
    <xf numFmtId="1" fontId="60" fillId="45" borderId="0" xfId="0" applyNumberFormat="1" applyFont="1" applyFill="1" applyBorder="1" applyAlignment="1">
      <alignment horizontal="center"/>
    </xf>
    <xf numFmtId="183" fontId="0" fillId="0" borderId="0" xfId="123" applyNumberFormat="1" applyFont="1" applyFill="1" applyBorder="1"/>
    <xf numFmtId="0" fontId="0" fillId="0" borderId="0" xfId="0" applyFill="1" applyBorder="1" applyAlignment="1"/>
    <xf numFmtId="0" fontId="60" fillId="0" borderId="0" xfId="0" applyFont="1" applyFill="1" applyBorder="1" applyAlignment="1">
      <alignment horizontal="center"/>
    </xf>
    <xf numFmtId="0" fontId="61" fillId="0" borderId="0" xfId="68" applyFont="1" applyFill="1" applyBorder="1" applyAlignment="1">
      <alignment horizontal="right" wrapText="1"/>
    </xf>
    <xf numFmtId="0" fontId="0" fillId="0" borderId="0" xfId="0" applyFont="1" applyFill="1" applyBorder="1" applyAlignment="1">
      <alignment horizontal="right"/>
    </xf>
    <xf numFmtId="0" fontId="0" fillId="0" borderId="106" xfId="0" applyFill="1" applyBorder="1" applyAlignment="1"/>
    <xf numFmtId="0" fontId="60" fillId="0" borderId="106" xfId="0" applyFont="1" applyFill="1" applyBorder="1" applyAlignment="1">
      <alignment horizontal="center"/>
    </xf>
    <xf numFmtId="0" fontId="61" fillId="0" borderId="106" xfId="68" applyFont="1" applyFill="1" applyBorder="1" applyAlignment="1">
      <alignment horizontal="right" wrapText="1"/>
    </xf>
    <xf numFmtId="0" fontId="0" fillId="0" borderId="106" xfId="0" applyFont="1" applyFill="1" applyBorder="1" applyAlignment="1">
      <alignment horizontal="right"/>
    </xf>
    <xf numFmtId="183" fontId="0" fillId="0" borderId="106" xfId="123" applyNumberFormat="1" applyFont="1" applyFill="1" applyBorder="1"/>
    <xf numFmtId="0" fontId="0" fillId="0" borderId="0" xfId="0" applyFill="1" applyAlignment="1">
      <alignment horizontal="right"/>
    </xf>
    <xf numFmtId="0" fontId="0" fillId="0" borderId="0" xfId="0" applyFill="1" applyAlignment="1">
      <alignment horizontal="right" wrapText="1"/>
    </xf>
    <xf numFmtId="1" fontId="0" fillId="0" borderId="0" xfId="0" applyNumberFormat="1" applyFill="1" applyAlignment="1">
      <alignment horizontal="right"/>
    </xf>
    <xf numFmtId="2" fontId="0" fillId="0" borderId="0" xfId="0" applyNumberFormat="1" applyAlignment="1">
      <alignment horizontal="right"/>
    </xf>
    <xf numFmtId="182" fontId="14" fillId="0" borderId="0" xfId="68" applyNumberFormat="1" applyFont="1" applyFill="1"/>
    <xf numFmtId="0" fontId="62" fillId="0" borderId="0" xfId="0" applyFont="1"/>
    <xf numFmtId="0" fontId="63" fillId="0" borderId="0" xfId="0" applyFont="1"/>
    <xf numFmtId="0" fontId="0" fillId="0" borderId="0" xfId="0" applyFont="1" applyFill="1"/>
    <xf numFmtId="167" fontId="64" fillId="0" borderId="0" xfId="2" applyNumberFormat="1" applyFont="1" applyFill="1" applyBorder="1"/>
    <xf numFmtId="10" fontId="64" fillId="0" borderId="0" xfId="2" applyNumberFormat="1" applyFont="1" applyFill="1" applyBorder="1"/>
    <xf numFmtId="0" fontId="65" fillId="0" borderId="50" xfId="68" applyFont="1" applyFill="1" applyBorder="1"/>
    <xf numFmtId="0" fontId="65" fillId="0" borderId="0" xfId="68" applyFont="1" applyBorder="1"/>
    <xf numFmtId="0" fontId="65" fillId="0" borderId="0" xfId="68" applyFont="1" applyFill="1" applyBorder="1" applyAlignment="1">
      <alignment horizontal="left"/>
    </xf>
    <xf numFmtId="3" fontId="68" fillId="0" borderId="0" xfId="68" applyNumberFormat="1" applyFont="1" applyBorder="1"/>
    <xf numFmtId="3" fontId="68" fillId="0" borderId="0" xfId="68" applyNumberFormat="1" applyFont="1" applyFill="1" applyBorder="1"/>
    <xf numFmtId="0" fontId="67" fillId="0" borderId="0" xfId="68" applyFont="1" applyFill="1" applyBorder="1"/>
    <xf numFmtId="0" fontId="9" fillId="0" borderId="0" xfId="68" applyFont="1" applyFill="1" applyBorder="1" applyAlignment="1">
      <alignment horizontal="center"/>
    </xf>
    <xf numFmtId="0" fontId="9" fillId="0" borderId="0" xfId="68" applyFont="1" applyBorder="1" applyAlignment="1">
      <alignment horizontal="center"/>
    </xf>
    <xf numFmtId="4" fontId="68" fillId="0" borderId="0" xfId="68" applyNumberFormat="1" applyFont="1" applyFill="1" applyBorder="1"/>
    <xf numFmtId="0" fontId="5" fillId="0" borderId="100" xfId="68" applyFont="1" applyFill="1" applyBorder="1"/>
    <xf numFmtId="4" fontId="5" fillId="0" borderId="55" xfId="120" applyNumberFormat="1" applyFont="1" applyFill="1" applyBorder="1"/>
    <xf numFmtId="4" fontId="5" fillId="0" borderId="52" xfId="120" applyNumberFormat="1" applyFont="1" applyFill="1" applyBorder="1"/>
    <xf numFmtId="4" fontId="5" fillId="0" borderId="0" xfId="120" applyNumberFormat="1" applyFont="1" applyFill="1" applyBorder="1"/>
    <xf numFmtId="4" fontId="5" fillId="0" borderId="100" xfId="120" applyNumberFormat="1" applyFont="1" applyFill="1" applyBorder="1"/>
    <xf numFmtId="0" fontId="9" fillId="0" borderId="55" xfId="68" applyFont="1" applyFill="1" applyBorder="1"/>
    <xf numFmtId="10" fontId="5" fillId="0" borderId="24" xfId="68" applyNumberFormat="1" applyFont="1" applyFill="1" applyBorder="1" applyAlignment="1">
      <alignment horizontal="right"/>
    </xf>
    <xf numFmtId="3" fontId="5" fillId="0" borderId="100" xfId="68" applyNumberFormat="1" applyFont="1" applyFill="1" applyBorder="1"/>
    <xf numFmtId="0" fontId="14" fillId="0" borderId="118" xfId="68" applyFont="1" applyFill="1" applyBorder="1"/>
    <xf numFmtId="0" fontId="14" fillId="0" borderId="119" xfId="68" applyFont="1" applyFill="1" applyBorder="1"/>
    <xf numFmtId="167" fontId="5" fillId="3" borderId="120" xfId="68" applyNumberFormat="1" applyFont="1" applyFill="1" applyBorder="1"/>
    <xf numFmtId="167" fontId="5" fillId="3" borderId="122" xfId="68" applyNumberFormat="1" applyFont="1" applyFill="1" applyBorder="1"/>
    <xf numFmtId="167" fontId="5" fillId="3" borderId="121" xfId="68" applyNumberFormat="1" applyFont="1" applyFill="1" applyBorder="1"/>
    <xf numFmtId="9" fontId="5" fillId="3" borderId="120" xfId="2" applyFont="1" applyFill="1" applyBorder="1"/>
    <xf numFmtId="9" fontId="5" fillId="3" borderId="120" xfId="2" applyFont="1" applyFill="1" applyBorder="1" applyAlignment="1">
      <alignment horizontal="right"/>
    </xf>
    <xf numFmtId="1" fontId="5" fillId="3" borderId="123" xfId="2" applyNumberFormat="1" applyFont="1" applyFill="1" applyBorder="1"/>
    <xf numFmtId="0" fontId="5" fillId="0" borderId="0" xfId="41" applyNumberFormat="1" applyFont="1" applyFill="1" applyBorder="1"/>
    <xf numFmtId="0" fontId="5" fillId="3" borderId="122" xfId="68" applyNumberFormat="1" applyFont="1" applyFill="1" applyBorder="1"/>
    <xf numFmtId="3" fontId="5" fillId="0" borderId="0" xfId="2" applyNumberFormat="1" applyFont="1" applyFill="1" applyBorder="1"/>
    <xf numFmtId="166" fontId="5" fillId="0" borderId="0" xfId="68" applyNumberFormat="1" applyFont="1" applyBorder="1"/>
    <xf numFmtId="9" fontId="5" fillId="0" borderId="0" xfId="68" applyNumberFormat="1" applyFont="1"/>
    <xf numFmtId="9" fontId="5" fillId="0" borderId="0" xfId="68" applyNumberFormat="1" applyFont="1" applyBorder="1"/>
    <xf numFmtId="9" fontId="5" fillId="0" borderId="100" xfId="68" applyNumberFormat="1" applyFont="1" applyBorder="1"/>
    <xf numFmtId="4" fontId="9" fillId="0" borderId="52" xfId="120" applyNumberFormat="1" applyFont="1" applyFill="1" applyBorder="1" applyAlignment="1">
      <alignment horizontal="center"/>
    </xf>
    <xf numFmtId="4" fontId="9" fillId="0" borderId="24" xfId="120" applyNumberFormat="1" applyFont="1" applyFill="1" applyBorder="1" applyAlignment="1">
      <alignment horizontal="center"/>
    </xf>
    <xf numFmtId="3" fontId="5" fillId="0" borderId="49" xfId="120" applyNumberFormat="1" applyFont="1" applyFill="1" applyBorder="1"/>
    <xf numFmtId="0" fontId="5" fillId="0" borderId="52" xfId="68" applyFont="1" applyFill="1" applyBorder="1" applyAlignment="1">
      <alignment horizontal="center"/>
    </xf>
    <xf numFmtId="1" fontId="5" fillId="0" borderId="24" xfId="68" applyNumberFormat="1" applyFont="1" applyFill="1" applyBorder="1" applyAlignment="1">
      <alignment horizontal="center"/>
    </xf>
    <xf numFmtId="0" fontId="9" fillId="0" borderId="52" xfId="68" applyFont="1" applyFill="1" applyBorder="1" applyAlignment="1">
      <alignment horizontal="left"/>
    </xf>
    <xf numFmtId="0" fontId="9" fillId="0" borderId="24" xfId="68" applyFont="1" applyFill="1" applyBorder="1" applyAlignment="1">
      <alignment horizontal="left"/>
    </xf>
    <xf numFmtId="0" fontId="5" fillId="0" borderId="0" xfId="68" applyFont="1" applyFill="1" applyBorder="1" applyAlignment="1">
      <alignment horizontal="left" wrapText="1" indent="2"/>
    </xf>
    <xf numFmtId="3" fontId="5" fillId="0" borderId="50" xfId="120" applyNumberFormat="1" applyFont="1" applyFill="1" applyBorder="1"/>
    <xf numFmtId="166" fontId="5" fillId="0" borderId="105" xfId="68" applyNumberFormat="1" applyFont="1" applyBorder="1" applyAlignment="1">
      <alignment horizontal="right"/>
    </xf>
    <xf numFmtId="0" fontId="66" fillId="0" borderId="0" xfId="68" applyFont="1" applyBorder="1"/>
    <xf numFmtId="4" fontId="65" fillId="0" borderId="0" xfId="1" applyNumberFormat="1" applyFont="1" applyBorder="1"/>
    <xf numFmtId="3" fontId="65" fillId="0" borderId="0" xfId="1" applyNumberFormat="1" applyFont="1" applyBorder="1"/>
    <xf numFmtId="179" fontId="65" fillId="0" borderId="0" xfId="68" applyNumberFormat="1" applyFont="1" applyBorder="1"/>
    <xf numFmtId="3" fontId="9" fillId="5" borderId="1" xfId="120" applyNumberFormat="1" applyFont="1" applyFill="1" applyBorder="1"/>
    <xf numFmtId="0" fontId="0" fillId="0" borderId="83" xfId="0" applyFont="1" applyBorder="1"/>
    <xf numFmtId="166" fontId="0" fillId="0" borderId="105" xfId="0" applyNumberFormat="1" applyFont="1" applyBorder="1"/>
    <xf numFmtId="2" fontId="0" fillId="0" borderId="105" xfId="0" applyNumberFormat="1" applyFont="1" applyBorder="1"/>
    <xf numFmtId="0" fontId="0" fillId="0" borderId="105" xfId="0" applyFont="1" applyBorder="1"/>
    <xf numFmtId="175" fontId="0" fillId="0" borderId="105" xfId="0" applyNumberFormat="1" applyFont="1" applyBorder="1"/>
    <xf numFmtId="3" fontId="0" fillId="0" borderId="105" xfId="0" applyNumberFormat="1" applyFont="1" applyBorder="1"/>
    <xf numFmtId="181" fontId="0" fillId="0" borderId="105" xfId="0" applyNumberFormat="1" applyFont="1" applyBorder="1"/>
    <xf numFmtId="184" fontId="0" fillId="0" borderId="105" xfId="0" applyNumberFormat="1" applyFont="1" applyBorder="1"/>
    <xf numFmtId="182" fontId="0" fillId="0" borderId="105" xfId="0" applyNumberFormat="1" applyFont="1" applyBorder="1"/>
    <xf numFmtId="182" fontId="0" fillId="0" borderId="117" xfId="0" applyNumberFormat="1" applyFont="1" applyBorder="1"/>
    <xf numFmtId="0" fontId="14" fillId="31" borderId="122" xfId="68" applyFont="1" applyFill="1" applyBorder="1"/>
    <xf numFmtId="0" fontId="5" fillId="3" borderId="122" xfId="68" applyNumberFormat="1" applyFont="1" applyFill="1" applyBorder="1" applyAlignment="1">
      <alignment horizontal="right"/>
    </xf>
    <xf numFmtId="3" fontId="5" fillId="3" borderId="122" xfId="68" applyNumberFormat="1" applyFont="1" applyFill="1" applyBorder="1" applyAlignment="1">
      <alignment horizontal="right"/>
    </xf>
    <xf numFmtId="9" fontId="5" fillId="3" borderId="122" xfId="68" applyNumberFormat="1" applyFont="1" applyFill="1" applyBorder="1"/>
    <xf numFmtId="9" fontId="5" fillId="3" borderId="127" xfId="68" applyNumberFormat="1" applyFont="1" applyFill="1" applyBorder="1"/>
    <xf numFmtId="9" fontId="5" fillId="3" borderId="130" xfId="68" applyNumberFormat="1" applyFont="1" applyFill="1" applyBorder="1"/>
    <xf numFmtId="0" fontId="60" fillId="46" borderId="53" xfId="0" applyFont="1" applyFill="1" applyBorder="1" applyAlignment="1">
      <alignment horizontal="center" wrapText="1"/>
    </xf>
    <xf numFmtId="0" fontId="14" fillId="0" borderId="0" xfId="68" applyFont="1" applyFill="1" applyBorder="1" applyAlignment="1">
      <alignment horizontal="center" wrapText="1"/>
    </xf>
    <xf numFmtId="166" fontId="0" fillId="47" borderId="124" xfId="0" applyNumberFormat="1" applyFill="1" applyBorder="1"/>
    <xf numFmtId="3" fontId="0" fillId="47" borderId="124" xfId="0" applyNumberFormat="1" applyFill="1" applyBorder="1"/>
    <xf numFmtId="166" fontId="0" fillId="47" borderId="122" xfId="0" applyNumberFormat="1" applyFill="1" applyBorder="1"/>
    <xf numFmtId="0" fontId="0" fillId="47" borderId="122" xfId="0" applyFill="1" applyBorder="1"/>
    <xf numFmtId="3" fontId="0" fillId="47" borderId="122" xfId="0" applyNumberFormat="1" applyFill="1" applyBorder="1"/>
    <xf numFmtId="184" fontId="0" fillId="47" borderId="124" xfId="0" applyNumberFormat="1" applyFill="1" applyBorder="1"/>
    <xf numFmtId="181" fontId="0" fillId="47" borderId="122" xfId="0" applyNumberFormat="1" applyFill="1" applyBorder="1"/>
    <xf numFmtId="184" fontId="0" fillId="47" borderId="122" xfId="0" applyNumberFormat="1" applyFill="1" applyBorder="1"/>
    <xf numFmtId="182" fontId="0" fillId="47" borderId="122" xfId="0" applyNumberFormat="1" applyFill="1" applyBorder="1"/>
    <xf numFmtId="0" fontId="8" fillId="0" borderId="0" xfId="3" applyFont="1" applyFill="1"/>
    <xf numFmtId="0" fontId="8" fillId="0" borderId="0" xfId="0" applyFont="1" applyFill="1"/>
    <xf numFmtId="0" fontId="57" fillId="45" borderId="0" xfId="0" applyFont="1" applyFill="1" applyBorder="1" applyAlignment="1">
      <alignment horizontal="left" wrapText="1"/>
    </xf>
    <xf numFmtId="0" fontId="57" fillId="46" borderId="106" xfId="0" applyFont="1" applyFill="1" applyBorder="1" applyAlignment="1">
      <alignment horizontal="left" wrapText="1"/>
    </xf>
    <xf numFmtId="0" fontId="57" fillId="46" borderId="0" xfId="0" applyFont="1" applyFill="1" applyBorder="1" applyAlignment="1">
      <alignment horizontal="left" wrapText="1"/>
    </xf>
    <xf numFmtId="0" fontId="61" fillId="46" borderId="0" xfId="68" applyFont="1" applyFill="1" applyBorder="1" applyAlignment="1">
      <alignment horizontal="left" wrapText="1"/>
    </xf>
    <xf numFmtId="0" fontId="57" fillId="46" borderId="22" xfId="0" applyFont="1" applyFill="1" applyBorder="1" applyAlignment="1">
      <alignment horizontal="left" wrapText="1"/>
    </xf>
    <xf numFmtId="0" fontId="0" fillId="46" borderId="23" xfId="0" applyFont="1" applyFill="1" applyBorder="1" applyAlignment="1">
      <alignment horizontal="center"/>
    </xf>
    <xf numFmtId="0" fontId="0" fillId="45" borderId="63" xfId="0" applyFill="1" applyBorder="1" applyAlignment="1">
      <alignment horizontal="right"/>
    </xf>
    <xf numFmtId="0" fontId="0" fillId="45" borderId="116" xfId="0" applyFill="1" applyBorder="1" applyAlignment="1">
      <alignment horizontal="right"/>
    </xf>
    <xf numFmtId="0" fontId="5" fillId="45" borderId="116" xfId="0" applyFont="1" applyFill="1" applyBorder="1" applyAlignment="1">
      <alignment horizontal="right"/>
    </xf>
    <xf numFmtId="0" fontId="0" fillId="45" borderId="116" xfId="0" applyFill="1" applyBorder="1" applyAlignment="1">
      <alignment horizontal="right" wrapText="1"/>
    </xf>
    <xf numFmtId="0" fontId="0" fillId="45" borderId="64" xfId="0" applyFill="1" applyBorder="1" applyAlignment="1">
      <alignment horizontal="right"/>
    </xf>
    <xf numFmtId="166" fontId="0" fillId="45" borderId="116" xfId="0" applyNumberFormat="1" applyFill="1" applyBorder="1" applyAlignment="1">
      <alignment horizontal="right"/>
    </xf>
    <xf numFmtId="175" fontId="0" fillId="45" borderId="116" xfId="123" applyNumberFormat="1" applyFont="1" applyFill="1" applyBorder="1" applyAlignment="1">
      <alignment horizontal="right"/>
    </xf>
    <xf numFmtId="3" fontId="0" fillId="45" borderId="116" xfId="123" applyNumberFormat="1" applyFont="1" applyFill="1" applyBorder="1" applyAlignment="1">
      <alignment horizontal="right"/>
    </xf>
    <xf numFmtId="184" fontId="0" fillId="45" borderId="116" xfId="123" applyNumberFormat="1" applyFont="1" applyFill="1" applyBorder="1" applyAlignment="1">
      <alignment horizontal="right"/>
    </xf>
    <xf numFmtId="183" fontId="0" fillId="45" borderId="116" xfId="123" applyNumberFormat="1" applyFont="1" applyFill="1" applyBorder="1" applyAlignment="1">
      <alignment horizontal="right"/>
    </xf>
    <xf numFmtId="0" fontId="57" fillId="45" borderId="96" xfId="0" applyFont="1" applyFill="1" applyBorder="1" applyAlignment="1">
      <alignment horizontal="left" wrapText="1"/>
    </xf>
    <xf numFmtId="0" fontId="57" fillId="45" borderId="7" xfId="0" applyFont="1" applyFill="1" applyBorder="1" applyAlignment="1">
      <alignment horizontal="left" wrapText="1"/>
    </xf>
    <xf numFmtId="0" fontId="57" fillId="45" borderId="97" xfId="0" applyFont="1" applyFill="1" applyBorder="1" applyAlignment="1">
      <alignment horizontal="left" wrapText="1"/>
    </xf>
    <xf numFmtId="0" fontId="0" fillId="44" borderId="82" xfId="0" applyFont="1" applyFill="1" applyBorder="1" applyAlignment="1">
      <alignment horizontal="center"/>
    </xf>
    <xf numFmtId="0" fontId="46" fillId="0" borderId="102" xfId="68" applyFont="1" applyFill="1" applyBorder="1" applyAlignment="1">
      <alignment horizontal="center"/>
    </xf>
    <xf numFmtId="4" fontId="5" fillId="47" borderId="126" xfId="120" applyNumberFormat="1" applyFont="1" applyFill="1" applyBorder="1"/>
    <xf numFmtId="3" fontId="5" fillId="47" borderId="126" xfId="68" applyNumberFormat="1" applyFont="1" applyFill="1" applyBorder="1"/>
    <xf numFmtId="175" fontId="5" fillId="47" borderId="126" xfId="68" applyNumberFormat="1" applyFont="1" applyFill="1" applyBorder="1"/>
    <xf numFmtId="2" fontId="5" fillId="47" borderId="128" xfId="68" applyNumberFormat="1" applyFont="1" applyFill="1" applyBorder="1"/>
    <xf numFmtId="3" fontId="14" fillId="47" borderId="129" xfId="68" applyNumberFormat="1" applyFont="1" applyFill="1" applyBorder="1"/>
    <xf numFmtId="2" fontId="5" fillId="47" borderId="122" xfId="68" applyNumberFormat="1" applyFont="1" applyFill="1" applyBorder="1"/>
    <xf numFmtId="9" fontId="5" fillId="47" borderId="122" xfId="2" applyFont="1" applyFill="1" applyBorder="1"/>
    <xf numFmtId="3" fontId="5" fillId="47" borderId="122" xfId="68" applyNumberFormat="1" applyFont="1" applyFill="1" applyBorder="1"/>
    <xf numFmtId="175" fontId="5" fillId="47" borderId="122" xfId="68" applyNumberFormat="1" applyFont="1" applyFill="1" applyBorder="1"/>
    <xf numFmtId="3" fontId="5" fillId="47" borderId="122" xfId="0" applyNumberFormat="1" applyFont="1" applyFill="1" applyBorder="1"/>
    <xf numFmtId="166" fontId="5" fillId="47" borderId="122" xfId="0" applyNumberFormat="1" applyFont="1" applyFill="1" applyBorder="1"/>
    <xf numFmtId="3" fontId="5" fillId="47" borderId="127" xfId="120" applyNumberFormat="1" applyFont="1" applyFill="1" applyBorder="1"/>
    <xf numFmtId="3" fontId="5" fillId="47" borderId="122" xfId="120" applyNumberFormat="1" applyFont="1" applyFill="1" applyBorder="1"/>
    <xf numFmtId="3" fontId="5" fillId="47" borderId="130" xfId="120" applyNumberFormat="1" applyFont="1" applyFill="1" applyBorder="1"/>
    <xf numFmtId="3" fontId="5" fillId="47" borderId="131" xfId="120" applyNumberFormat="1" applyFont="1" applyFill="1" applyBorder="1"/>
    <xf numFmtId="166" fontId="0" fillId="47" borderId="128" xfId="0" applyNumberFormat="1" applyFill="1" applyBorder="1"/>
    <xf numFmtId="0" fontId="0" fillId="47" borderId="128" xfId="0" applyFill="1" applyBorder="1"/>
    <xf numFmtId="181" fontId="0" fillId="47" borderId="128" xfId="0" applyNumberFormat="1" applyFill="1" applyBorder="1"/>
    <xf numFmtId="184" fontId="0" fillId="47" borderId="132" xfId="0" applyNumberFormat="1" applyFill="1" applyBorder="1"/>
    <xf numFmtId="182" fontId="0" fillId="47" borderId="132" xfId="0" applyNumberFormat="1" applyFill="1" applyBorder="1"/>
    <xf numFmtId="182" fontId="0" fillId="47" borderId="128" xfId="0" applyNumberFormat="1" applyFill="1" applyBorder="1"/>
    <xf numFmtId="0" fontId="57" fillId="46" borderId="100" xfId="0" applyFont="1" applyFill="1" applyBorder="1" applyAlignment="1">
      <alignment horizontal="center"/>
    </xf>
    <xf numFmtId="0" fontId="57" fillId="46" borderId="100" xfId="0" applyFont="1" applyFill="1" applyBorder="1" applyAlignment="1">
      <alignment horizontal="center" wrapText="1"/>
    </xf>
    <xf numFmtId="0" fontId="57" fillId="46" borderId="133" xfId="0" applyFont="1" applyFill="1" applyBorder="1" applyAlignment="1">
      <alignment horizontal="center"/>
    </xf>
    <xf numFmtId="0" fontId="57" fillId="44" borderId="99" xfId="0" applyFont="1" applyFill="1" applyBorder="1" applyAlignment="1">
      <alignment horizontal="center"/>
    </xf>
    <xf numFmtId="0" fontId="5" fillId="47" borderId="122" xfId="68" applyFont="1" applyFill="1" applyBorder="1"/>
    <xf numFmtId="0" fontId="0" fillId="31" borderId="128" xfId="0" applyFill="1" applyBorder="1"/>
    <xf numFmtId="0" fontId="0" fillId="31" borderId="125" xfId="0" applyFill="1" applyBorder="1"/>
    <xf numFmtId="0" fontId="0" fillId="31" borderId="125" xfId="0" applyFill="1" applyBorder="1" applyAlignment="1">
      <alignment horizontal="right"/>
    </xf>
    <xf numFmtId="2" fontId="0" fillId="31" borderId="125" xfId="0" applyNumberFormat="1" applyFill="1" applyBorder="1" applyAlignment="1">
      <alignment horizontal="right"/>
    </xf>
    <xf numFmtId="0" fontId="0" fillId="31" borderId="125" xfId="0" applyFill="1" applyBorder="1" applyAlignment="1">
      <alignment horizontal="right" wrapText="1"/>
    </xf>
    <xf numFmtId="1" fontId="0" fillId="31" borderId="125" xfId="0" applyNumberFormat="1" applyFill="1" applyBorder="1" applyAlignment="1">
      <alignment horizontal="right"/>
    </xf>
    <xf numFmtId="0" fontId="0" fillId="31" borderId="122" xfId="0" applyFill="1" applyBorder="1"/>
    <xf numFmtId="0" fontId="0" fillId="31" borderId="122" xfId="0" applyFill="1" applyBorder="1" applyAlignment="1">
      <alignment horizontal="right"/>
    </xf>
    <xf numFmtId="2" fontId="0" fillId="31" borderId="122" xfId="0" applyNumberFormat="1" applyFill="1" applyBorder="1" applyAlignment="1">
      <alignment horizontal="right"/>
    </xf>
    <xf numFmtId="0" fontId="0" fillId="31" borderId="122" xfId="0" applyFill="1" applyBorder="1" applyAlignment="1">
      <alignment horizontal="right" wrapText="1"/>
    </xf>
    <xf numFmtId="1" fontId="0" fillId="31" borderId="122" xfId="0" applyNumberFormat="1" applyFill="1" applyBorder="1" applyAlignment="1">
      <alignment horizontal="right"/>
    </xf>
    <xf numFmtId="166" fontId="0" fillId="31" borderId="122" xfId="0" applyNumberFormat="1" applyFill="1" applyBorder="1"/>
    <xf numFmtId="0" fontId="56" fillId="0" borderId="14" xfId="8" applyFont="1" applyFill="1" applyBorder="1" applyAlignment="1" applyProtection="1">
      <alignment horizontal="center"/>
    </xf>
    <xf numFmtId="0" fontId="56" fillId="0" borderId="29" xfId="8" applyFont="1" applyFill="1" applyBorder="1" applyAlignment="1" applyProtection="1">
      <alignment horizontal="center"/>
    </xf>
    <xf numFmtId="0" fontId="56" fillId="0" borderId="26" xfId="8" applyFont="1" applyFill="1" applyBorder="1" applyAlignment="1" applyProtection="1">
      <alignment horizontal="center"/>
    </xf>
    <xf numFmtId="0" fontId="5" fillId="0" borderId="0" xfId="3" applyFont="1" applyFill="1" applyAlignment="1">
      <alignment horizontal="center"/>
    </xf>
    <xf numFmtId="0" fontId="5" fillId="2" borderId="0" xfId="3" applyFont="1" applyFill="1" applyAlignment="1">
      <alignment horizontal="center"/>
    </xf>
    <xf numFmtId="0" fontId="5" fillId="0" borderId="5" xfId="3" applyFont="1" applyFill="1" applyBorder="1" applyAlignment="1">
      <alignment horizontal="left" wrapText="1"/>
    </xf>
    <xf numFmtId="0" fontId="5" fillId="0" borderId="14" xfId="3" applyFont="1" applyFill="1" applyBorder="1" applyAlignment="1">
      <alignment horizontal="left" wrapText="1"/>
    </xf>
    <xf numFmtId="0" fontId="5" fillId="0" borderId="29" xfId="3" applyFont="1" applyFill="1" applyBorder="1" applyAlignment="1">
      <alignment horizontal="left" wrapText="1"/>
    </xf>
    <xf numFmtId="0" fontId="5" fillId="0" borderId="26" xfId="3" applyFont="1" applyFill="1" applyBorder="1" applyAlignment="1">
      <alignment horizontal="left" wrapText="1"/>
    </xf>
    <xf numFmtId="0" fontId="5" fillId="0" borderId="0" xfId="3" applyFont="1" applyFill="1" applyAlignment="1">
      <alignment horizontal="left"/>
    </xf>
    <xf numFmtId="0" fontId="5" fillId="0" borderId="0" xfId="3" applyFont="1" applyAlignment="1">
      <alignment horizontal="left"/>
    </xf>
    <xf numFmtId="0" fontId="9" fillId="0" borderId="0" xfId="3" applyFont="1" applyFill="1" applyAlignment="1">
      <alignment horizontal="left"/>
    </xf>
    <xf numFmtId="0" fontId="9" fillId="2" borderId="0" xfId="3" applyFont="1" applyFill="1" applyAlignment="1">
      <alignment horizontal="left"/>
    </xf>
    <xf numFmtId="0" fontId="14" fillId="0" borderId="5" xfId="4" applyFont="1" applyFill="1" applyBorder="1" applyAlignment="1">
      <alignment horizontal="left"/>
    </xf>
    <xf numFmtId="0" fontId="14" fillId="2" borderId="5" xfId="4" applyFont="1" applyFill="1" applyBorder="1" applyAlignment="1">
      <alignment horizontal="left"/>
    </xf>
    <xf numFmtId="0" fontId="14" fillId="0" borderId="26" xfId="4" applyFont="1" applyFill="1" applyBorder="1" applyAlignment="1">
      <alignment horizontal="center"/>
    </xf>
    <xf numFmtId="0" fontId="14" fillId="2" borderId="5" xfId="4" applyFont="1" applyFill="1" applyBorder="1" applyAlignment="1">
      <alignment horizontal="center"/>
    </xf>
    <xf numFmtId="0" fontId="5" fillId="0" borderId="5" xfId="3" applyFont="1" applyFill="1" applyBorder="1" applyAlignment="1">
      <alignment horizontal="left"/>
    </xf>
    <xf numFmtId="0" fontId="5" fillId="2" borderId="5" xfId="3" applyFont="1" applyFill="1" applyBorder="1" applyAlignment="1">
      <alignment horizontal="left"/>
    </xf>
    <xf numFmtId="0" fontId="15" fillId="0" borderId="5" xfId="3" applyFont="1" applyFill="1" applyBorder="1" applyAlignment="1">
      <alignment horizontal="center"/>
    </xf>
    <xf numFmtId="0" fontId="15" fillId="2" borderId="5" xfId="3" applyFont="1" applyFill="1" applyBorder="1" applyAlignment="1">
      <alignment horizontal="center"/>
    </xf>
    <xf numFmtId="0" fontId="5" fillId="0" borderId="5" xfId="5" applyFont="1" applyFill="1" applyBorder="1" applyAlignment="1">
      <alignment horizontal="left"/>
    </xf>
    <xf numFmtId="0" fontId="5" fillId="2" borderId="5" xfId="5" applyFont="1" applyFill="1" applyBorder="1" applyAlignment="1">
      <alignment horizontal="left"/>
    </xf>
    <xf numFmtId="165" fontId="5" fillId="47" borderId="26" xfId="7" applyNumberFormat="1" applyFont="1" applyFill="1" applyBorder="1" applyAlignment="1">
      <alignment horizontal="center" wrapText="1"/>
    </xf>
    <xf numFmtId="165" fontId="5" fillId="47" borderId="5" xfId="7" applyNumberFormat="1" applyFont="1" applyFill="1" applyBorder="1" applyAlignment="1">
      <alignment horizontal="center" wrapText="1"/>
    </xf>
    <xf numFmtId="0" fontId="12" fillId="0" borderId="0" xfId="4" applyFont="1" applyFill="1" applyAlignment="1">
      <alignment horizontal="center"/>
    </xf>
    <xf numFmtId="0" fontId="12" fillId="2" borderId="0" xfId="4" applyFont="1" applyFill="1" applyAlignment="1">
      <alignment horizontal="center"/>
    </xf>
    <xf numFmtId="0" fontId="9" fillId="0" borderId="25" xfId="5" applyFont="1" applyFill="1" applyBorder="1" applyAlignment="1">
      <alignment horizontal="left"/>
    </xf>
    <xf numFmtId="0" fontId="9" fillId="2" borderId="23" xfId="5" applyFont="1" applyFill="1" applyBorder="1" applyAlignment="1">
      <alignment horizontal="left"/>
    </xf>
    <xf numFmtId="9" fontId="5" fillId="3" borderId="26" xfId="6" applyFont="1" applyFill="1" applyBorder="1" applyAlignment="1">
      <alignment horizontal="center"/>
    </xf>
    <xf numFmtId="9" fontId="5" fillId="3" borderId="5" xfId="6" applyFont="1" applyFill="1" applyBorder="1" applyAlignment="1">
      <alignment horizontal="center"/>
    </xf>
    <xf numFmtId="0" fontId="8" fillId="0" borderId="89" xfId="0" applyFont="1" applyFill="1" applyBorder="1" applyAlignment="1">
      <alignment horizontal="left"/>
    </xf>
    <xf numFmtId="0" fontId="8" fillId="2" borderId="29" xfId="0" applyFont="1" applyFill="1" applyBorder="1" applyAlignment="1">
      <alignment horizontal="left"/>
    </xf>
    <xf numFmtId="0" fontId="8" fillId="2" borderId="26" xfId="0" applyFont="1" applyFill="1" applyBorder="1" applyAlignment="1">
      <alignment horizontal="left"/>
    </xf>
    <xf numFmtId="0" fontId="5" fillId="0" borderId="89" xfId="0" applyFont="1" applyFill="1" applyBorder="1" applyAlignment="1">
      <alignment horizontal="left" vertical="center" wrapText="1"/>
    </xf>
    <xf numFmtId="0" fontId="5" fillId="0" borderId="29" xfId="0" applyFont="1" applyFill="1" applyBorder="1" applyAlignment="1">
      <alignment horizontal="left" vertical="center" wrapText="1"/>
    </xf>
    <xf numFmtId="0" fontId="5" fillId="0" borderId="26" xfId="0" applyFont="1" applyFill="1" applyBorder="1" applyAlignment="1">
      <alignment horizontal="left" vertical="center" wrapText="1"/>
    </xf>
    <xf numFmtId="0" fontId="5" fillId="0" borderId="116" xfId="0" applyFont="1" applyFill="1" applyBorder="1" applyAlignment="1">
      <alignment horizontal="left" vertical="center" wrapText="1"/>
    </xf>
    <xf numFmtId="0" fontId="5" fillId="0" borderId="64" xfId="0" applyFont="1" applyFill="1" applyBorder="1" applyAlignment="1">
      <alignment horizontal="left" vertical="center" wrapText="1"/>
    </xf>
    <xf numFmtId="0" fontId="5" fillId="0" borderId="114" xfId="0" applyFont="1" applyFill="1" applyBorder="1" applyAlignment="1">
      <alignment horizontal="left" vertical="center" wrapText="1"/>
    </xf>
    <xf numFmtId="0" fontId="5" fillId="0" borderId="115" xfId="0" applyFont="1" applyFill="1" applyBorder="1" applyAlignment="1">
      <alignment horizontal="left" vertical="center" wrapText="1"/>
    </xf>
    <xf numFmtId="0" fontId="5" fillId="0" borderId="53" xfId="0" applyFont="1" applyFill="1" applyBorder="1" applyAlignment="1">
      <alignment horizontal="left" vertical="center" wrapText="1"/>
    </xf>
    <xf numFmtId="0" fontId="5" fillId="0" borderId="106" xfId="0" applyFont="1" applyFill="1" applyBorder="1" applyAlignment="1">
      <alignment horizontal="left" vertical="center" wrapText="1"/>
    </xf>
    <xf numFmtId="0" fontId="5" fillId="0" borderId="0" xfId="0" applyFont="1" applyFill="1" applyBorder="1" applyAlignment="1">
      <alignment horizontal="left" vertical="center" wrapText="1"/>
    </xf>
    <xf numFmtId="0" fontId="5" fillId="0" borderId="134" xfId="0" applyFont="1" applyFill="1" applyBorder="1" applyAlignment="1">
      <alignment horizontal="left" vertical="center" wrapText="1"/>
    </xf>
    <xf numFmtId="0" fontId="5" fillId="0" borderId="23" xfId="0" applyFont="1" applyFill="1" applyBorder="1" applyAlignment="1">
      <alignment horizontal="left" vertical="center" wrapText="1"/>
    </xf>
    <xf numFmtId="0" fontId="5" fillId="0" borderId="100" xfId="0" applyFont="1" applyFill="1" applyBorder="1" applyAlignment="1">
      <alignment horizontal="left" vertical="center" wrapText="1"/>
    </xf>
    <xf numFmtId="0" fontId="5" fillId="0" borderId="133" xfId="0" applyFont="1" applyFill="1" applyBorder="1" applyAlignment="1">
      <alignment horizontal="left" vertical="center" wrapText="1"/>
    </xf>
    <xf numFmtId="0" fontId="8" fillId="0" borderId="80" xfId="0" applyFont="1" applyFill="1" applyBorder="1" applyAlignment="1">
      <alignment horizontal="left" vertical="center"/>
    </xf>
    <xf numFmtId="0" fontId="0" fillId="46" borderId="114" xfId="0" applyFill="1" applyBorder="1" applyAlignment="1">
      <alignment horizontal="center" wrapText="1"/>
    </xf>
    <xf numFmtId="0" fontId="0" fillId="46" borderId="115" xfId="0" applyFill="1" applyBorder="1" applyAlignment="1">
      <alignment horizontal="center" wrapText="1"/>
    </xf>
    <xf numFmtId="0" fontId="0" fillId="46" borderId="53" xfId="0" applyFill="1" applyBorder="1" applyAlignment="1">
      <alignment horizontal="center" wrapText="1"/>
    </xf>
    <xf numFmtId="0" fontId="0" fillId="45" borderId="116" xfId="0" applyFill="1" applyBorder="1" applyAlignment="1">
      <alignment horizontal="center"/>
    </xf>
    <xf numFmtId="0" fontId="5" fillId="0" borderId="0" xfId="68" applyFont="1" applyFill="1" applyBorder="1" applyAlignment="1">
      <alignment horizontal="center" vertical="center" wrapText="1"/>
    </xf>
    <xf numFmtId="3" fontId="5" fillId="0" borderId="0" xfId="68" applyNumberFormat="1" applyFont="1" applyFill="1" applyBorder="1" applyAlignment="1">
      <alignment horizontal="center" vertical="center" wrapText="1"/>
    </xf>
    <xf numFmtId="0" fontId="5" fillId="0" borderId="0" xfId="0" applyFont="1" applyAlignment="1">
      <alignment horizontal="left" wrapText="1" indent="1"/>
    </xf>
    <xf numFmtId="0" fontId="9" fillId="0" borderId="0" xfId="0" applyFont="1" applyAlignment="1">
      <alignment horizontal="left" wrapText="1"/>
    </xf>
    <xf numFmtId="0" fontId="5" fillId="0" borderId="0" xfId="0" applyFont="1" applyAlignment="1">
      <alignment horizontal="left" wrapText="1"/>
    </xf>
    <xf numFmtId="0" fontId="9" fillId="0" borderId="0" xfId="0" applyFont="1" applyBorder="1" applyAlignment="1">
      <alignment horizontal="center" wrapText="1"/>
    </xf>
    <xf numFmtId="0" fontId="9" fillId="0" borderId="2" xfId="0" applyFont="1" applyBorder="1" applyAlignment="1">
      <alignment horizontal="center"/>
    </xf>
    <xf numFmtId="0" fontId="9" fillId="0" borderId="3" xfId="0" applyFont="1" applyBorder="1" applyAlignment="1">
      <alignment horizontal="center"/>
    </xf>
    <xf numFmtId="0" fontId="9" fillId="0" borderId="4" xfId="0" applyFont="1" applyBorder="1" applyAlignment="1">
      <alignment horizontal="center"/>
    </xf>
    <xf numFmtId="0" fontId="5" fillId="0" borderId="0" xfId="0" applyFont="1" applyAlignment="1">
      <alignment horizontal="left" vertical="top" wrapText="1"/>
    </xf>
    <xf numFmtId="0" fontId="5" fillId="0" borderId="0" xfId="0" applyFont="1" applyAlignment="1">
      <alignment horizontal="left"/>
    </xf>
    <xf numFmtId="0" fontId="52" fillId="33" borderId="74" xfId="0" applyFont="1" applyFill="1" applyBorder="1" applyAlignment="1">
      <alignment horizontal="left" vertical="top" wrapText="1"/>
    </xf>
    <xf numFmtId="0" fontId="52" fillId="33" borderId="75" xfId="0" applyFont="1" applyFill="1" applyBorder="1" applyAlignment="1">
      <alignment horizontal="left" vertical="top" wrapText="1"/>
    </xf>
    <xf numFmtId="0" fontId="52" fillId="33" borderId="76" xfId="0" applyFont="1" applyFill="1" applyBorder="1" applyAlignment="1">
      <alignment horizontal="left" vertical="top"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5" fillId="0" borderId="15" xfId="0" applyFont="1" applyBorder="1" applyAlignment="1">
      <alignment horizontal="center"/>
    </xf>
    <xf numFmtId="0" fontId="5" fillId="0" borderId="16" xfId="0" applyFont="1" applyBorder="1" applyAlignment="1">
      <alignment horizontal="center"/>
    </xf>
    <xf numFmtId="0" fontId="5" fillId="0" borderId="19" xfId="0" applyFont="1" applyBorder="1" applyAlignment="1">
      <alignment horizontal="center" wrapText="1"/>
    </xf>
    <xf numFmtId="0" fontId="5" fillId="0" borderId="20" xfId="0" applyFont="1" applyBorder="1" applyAlignment="1">
      <alignment horizontal="center" wrapText="1"/>
    </xf>
    <xf numFmtId="0" fontId="5" fillId="0" borderId="5" xfId="0" applyFont="1" applyBorder="1" applyAlignment="1">
      <alignment horizontal="center"/>
    </xf>
    <xf numFmtId="0" fontId="5" fillId="0" borderId="10"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14" xfId="0" applyFont="1" applyBorder="1" applyAlignment="1">
      <alignment horizontal="center" wrapText="1"/>
    </xf>
  </cellXfs>
  <cellStyles count="124">
    <cellStyle name="20% - Accent1 2" xfId="9"/>
    <cellStyle name="20% - Accent2 2" xfId="10"/>
    <cellStyle name="20% - Accent3 2" xfId="11"/>
    <cellStyle name="20% - Accent4 2" xfId="12"/>
    <cellStyle name="20% - Accent5 2" xfId="13"/>
    <cellStyle name="20% - Accent6 2" xfId="14"/>
    <cellStyle name="40% - Accent1 2" xfId="15"/>
    <cellStyle name="40% - Accent2 2" xfId="16"/>
    <cellStyle name="40% - Accent3 2" xfId="17"/>
    <cellStyle name="40% - Accent4 2" xfId="18"/>
    <cellStyle name="40% - Accent5 2" xfId="19"/>
    <cellStyle name="40% - Accent6 2" xfId="20"/>
    <cellStyle name="60% - Accent1 2" xfId="21"/>
    <cellStyle name="60% - Accent2 2" xfId="22"/>
    <cellStyle name="60% - Accent3 2" xfId="23"/>
    <cellStyle name="60% - Accent4 2" xfId="24"/>
    <cellStyle name="60% - Accent5 2" xfId="25"/>
    <cellStyle name="60% - Accent6 2" xfId="26"/>
    <cellStyle name="Accent1 2" xfId="27"/>
    <cellStyle name="Accent2 2" xfId="28"/>
    <cellStyle name="Accent3 2" xfId="29"/>
    <cellStyle name="Accent4 2" xfId="30"/>
    <cellStyle name="Accent5 2" xfId="31"/>
    <cellStyle name="Accent6 2" xfId="32"/>
    <cellStyle name="Bad 2" xfId="33"/>
    <cellStyle name="Calculation 2" xfId="34"/>
    <cellStyle name="Check Cell 2" xfId="35"/>
    <cellStyle name="Comma" xfId="1" builtinId="3"/>
    <cellStyle name="Comma 2" xfId="36"/>
    <cellStyle name="Comma 3" xfId="7"/>
    <cellStyle name="Comma 4" xfId="37"/>
    <cellStyle name="Comma 5" xfId="38"/>
    <cellStyle name="Comma 5 2" xfId="39"/>
    <cellStyle name="Comma 6" xfId="40"/>
    <cellStyle name="Comma 6 2" xfId="41"/>
    <cellStyle name="Comma 7" xfId="42"/>
    <cellStyle name="Comma 8" xfId="120"/>
    <cellStyle name="ContentsHyperlink" xfId="43"/>
    <cellStyle name="Currency" xfId="123" builtinId="4"/>
    <cellStyle name="Currency 2" xfId="44"/>
    <cellStyle name="Currency 3" xfId="45"/>
    <cellStyle name="Currency 4" xfId="46"/>
    <cellStyle name="Currency 4 2" xfId="47"/>
    <cellStyle name="Currency 5" xfId="122"/>
    <cellStyle name="DateTime" xfId="48"/>
    <cellStyle name="Euro" xfId="49"/>
    <cellStyle name="Explanatory Text 2" xfId="50"/>
    <cellStyle name="Good 2" xfId="51"/>
    <cellStyle name="Heading 1 2" xfId="52"/>
    <cellStyle name="Heading 2 2" xfId="53"/>
    <cellStyle name="Heading 3 2" xfId="54"/>
    <cellStyle name="Heading 4 2" xfId="55"/>
    <cellStyle name="Hyperlink" xfId="8" builtinId="8"/>
    <cellStyle name="Hyperlink 2" xfId="56"/>
    <cellStyle name="Hyperlink 2 2" xfId="57"/>
    <cellStyle name="Hyperlink 2 3" xfId="58"/>
    <cellStyle name="Hyperlink 3" xfId="59"/>
    <cellStyle name="Input 2" xfId="60"/>
    <cellStyle name="Linked Cell 2" xfId="61"/>
    <cellStyle name="Neutral 2" xfId="62"/>
    <cellStyle name="Normal" xfId="0" builtinId="0"/>
    <cellStyle name="Normal 10" xfId="63"/>
    <cellStyle name="Normal 10 2" xfId="64"/>
    <cellStyle name="Normal 10 3" xfId="65"/>
    <cellStyle name="Normal 11" xfId="66"/>
    <cellStyle name="Normal 12" xfId="4"/>
    <cellStyle name="Normal 13" xfId="67"/>
    <cellStyle name="Normal 13 2" xfId="68"/>
    <cellStyle name="Normal 14" xfId="69"/>
    <cellStyle name="Normal 15" xfId="70"/>
    <cellStyle name="Normal 2" xfId="3"/>
    <cellStyle name="Normal 2 2" xfId="71"/>
    <cellStyle name="Normal 2 3" xfId="72"/>
    <cellStyle name="Normal 2 4" xfId="73"/>
    <cellStyle name="Normal 3" xfId="74"/>
    <cellStyle name="Normal 3 2" xfId="75"/>
    <cellStyle name="Normal 3 3" xfId="76"/>
    <cellStyle name="Normal 4" xfId="77"/>
    <cellStyle name="Normal 4 2" xfId="78"/>
    <cellStyle name="Normal 5" xfId="79"/>
    <cellStyle name="Normal 5 2" xfId="80"/>
    <cellStyle name="Normal 5 3" xfId="81"/>
    <cellStyle name="Normal 6" xfId="82"/>
    <cellStyle name="Normal 6 2" xfId="83"/>
    <cellStyle name="Normal 6 3" xfId="84"/>
    <cellStyle name="Normal 6 3 2" xfId="85"/>
    <cellStyle name="Normal 7" xfId="5"/>
    <cellStyle name="Normal 8" xfId="86"/>
    <cellStyle name="Normal 8 2" xfId="87"/>
    <cellStyle name="Normal 8 3" xfId="88"/>
    <cellStyle name="Normal 8 3 2" xfId="89"/>
    <cellStyle name="Normal 9" xfId="90"/>
    <cellStyle name="Normal 9 2" xfId="91"/>
    <cellStyle name="Normal 9 3" xfId="92"/>
    <cellStyle name="Note 2" xfId="93"/>
    <cellStyle name="Output 2" xfId="94"/>
    <cellStyle name="Percent" xfId="2" builtinId="5"/>
    <cellStyle name="Percent 2" xfId="95"/>
    <cellStyle name="Percent 3" xfId="6"/>
    <cellStyle name="Percent 4" xfId="96"/>
    <cellStyle name="Percent 5" xfId="97"/>
    <cellStyle name="Percent 6" xfId="121"/>
    <cellStyle name="Standard_Bsp-Datenaustausch_S&amp;U" xfId="98"/>
    <cellStyle name="Style 21" xfId="99"/>
    <cellStyle name="Style 22" xfId="100"/>
    <cellStyle name="Style 23" xfId="101"/>
    <cellStyle name="Style 24" xfId="102"/>
    <cellStyle name="Style 25" xfId="103"/>
    <cellStyle name="Style 26" xfId="104"/>
    <cellStyle name="Style 27" xfId="105"/>
    <cellStyle name="Style 28" xfId="106"/>
    <cellStyle name="Style 29" xfId="107"/>
    <cellStyle name="Style 30" xfId="108"/>
    <cellStyle name="Style 31" xfId="109"/>
    <cellStyle name="Style 32" xfId="110"/>
    <cellStyle name="Style 33" xfId="111"/>
    <cellStyle name="Style 34" xfId="112"/>
    <cellStyle name="Style 35" xfId="113"/>
    <cellStyle name="Style 36" xfId="114"/>
    <cellStyle name="text" xfId="115"/>
    <cellStyle name="Title 2" xfId="116"/>
    <cellStyle name="Total 2" xfId="117"/>
    <cellStyle name="Warning Text 2" xfId="118"/>
    <cellStyle name="wissenschaft-Eingabe" xfId="11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baseline="0"/>
              <a:t>Capital Cost for 12 inch Pipeline (2011$/mi) </a:t>
            </a:r>
          </a:p>
        </c:rich>
      </c:tx>
      <c:layout/>
      <c:overlay val="0"/>
    </c:title>
    <c:autoTitleDeleted val="0"/>
    <c:plotArea>
      <c:layout/>
      <c:scatterChart>
        <c:scatterStyle val="lineMarker"/>
        <c:varyColors val="0"/>
        <c:ser>
          <c:idx val="0"/>
          <c:order val="0"/>
          <c:tx>
            <c:v>Parker</c:v>
          </c:tx>
          <c:xVal>
            <c:numRef>
              <c:f>'Pipe Cap plot1'!$B$10:$F$10</c:f>
              <c:numCache>
                <c:formatCode>General</c:formatCode>
                <c:ptCount val="5"/>
                <c:pt idx="0">
                  <c:v>50</c:v>
                </c:pt>
                <c:pt idx="1">
                  <c:v>100</c:v>
                </c:pt>
                <c:pt idx="2">
                  <c:v>200</c:v>
                </c:pt>
                <c:pt idx="3">
                  <c:v>300</c:v>
                </c:pt>
                <c:pt idx="4">
                  <c:v>500</c:v>
                </c:pt>
              </c:numCache>
            </c:numRef>
          </c:xVal>
          <c:yVal>
            <c:numRef>
              <c:f>'Pipe Cap plot1'!$B$11:$F$11</c:f>
              <c:numCache>
                <c:formatCode>#,##0</c:formatCode>
                <c:ptCount val="5"/>
                <c:pt idx="0">
                  <c:v>886000</c:v>
                </c:pt>
                <c:pt idx="1">
                  <c:v>881000</c:v>
                </c:pt>
                <c:pt idx="2">
                  <c:v>875000</c:v>
                </c:pt>
                <c:pt idx="3">
                  <c:v>876666.66666666663</c:v>
                </c:pt>
                <c:pt idx="4">
                  <c:v>876000</c:v>
                </c:pt>
              </c:numCache>
            </c:numRef>
          </c:yVal>
          <c:smooth val="0"/>
          <c:extLst xmlns:c16r2="http://schemas.microsoft.com/office/drawing/2015/06/chart">
            <c:ext xmlns:c16="http://schemas.microsoft.com/office/drawing/2014/chart" uri="{C3380CC4-5D6E-409C-BE32-E72D297353CC}">
              <c16:uniqueId val="{00000000-DDC9-E540-A4CB-0DA5D2845E1D}"/>
            </c:ext>
          </c:extLst>
        </c:ser>
        <c:ser>
          <c:idx val="1"/>
          <c:order val="1"/>
          <c:tx>
            <c:v>McCoy</c:v>
          </c:tx>
          <c:xVal>
            <c:numRef>
              <c:f>'Pipe Cap plot1'!$I$10:$M$10</c:f>
              <c:numCache>
                <c:formatCode>General</c:formatCode>
                <c:ptCount val="5"/>
                <c:pt idx="0">
                  <c:v>50</c:v>
                </c:pt>
                <c:pt idx="1">
                  <c:v>100</c:v>
                </c:pt>
                <c:pt idx="2">
                  <c:v>200</c:v>
                </c:pt>
                <c:pt idx="3">
                  <c:v>300</c:v>
                </c:pt>
                <c:pt idx="4">
                  <c:v>500</c:v>
                </c:pt>
              </c:numCache>
            </c:numRef>
          </c:xVal>
          <c:yVal>
            <c:numRef>
              <c:f>'Pipe Cap plot1'!$I$11:$M$11</c:f>
              <c:numCache>
                <c:formatCode>#,##0</c:formatCode>
                <c:ptCount val="5"/>
                <c:pt idx="0">
                  <c:v>602000</c:v>
                </c:pt>
                <c:pt idx="1">
                  <c:v>541000</c:v>
                </c:pt>
                <c:pt idx="2">
                  <c:v>488500</c:v>
                </c:pt>
                <c:pt idx="3">
                  <c:v>460000</c:v>
                </c:pt>
                <c:pt idx="4">
                  <c:v>428000</c:v>
                </c:pt>
              </c:numCache>
            </c:numRef>
          </c:yVal>
          <c:smooth val="0"/>
          <c:extLst xmlns:c16r2="http://schemas.microsoft.com/office/drawing/2015/06/chart">
            <c:ext xmlns:c16="http://schemas.microsoft.com/office/drawing/2014/chart" uri="{C3380CC4-5D6E-409C-BE32-E72D297353CC}">
              <c16:uniqueId val="{00000001-DDC9-E540-A4CB-0DA5D2845E1D}"/>
            </c:ext>
          </c:extLst>
        </c:ser>
        <c:ser>
          <c:idx val="2"/>
          <c:order val="2"/>
          <c:tx>
            <c:v>Rui et al.</c:v>
          </c:tx>
          <c:xVal>
            <c:numRef>
              <c:f>'Pipe Cap plot1'!$P$10:$T$10</c:f>
              <c:numCache>
                <c:formatCode>General</c:formatCode>
                <c:ptCount val="5"/>
                <c:pt idx="0">
                  <c:v>50</c:v>
                </c:pt>
                <c:pt idx="1">
                  <c:v>100</c:v>
                </c:pt>
                <c:pt idx="2">
                  <c:v>200</c:v>
                </c:pt>
                <c:pt idx="3">
                  <c:v>300</c:v>
                </c:pt>
                <c:pt idx="4">
                  <c:v>500</c:v>
                </c:pt>
              </c:numCache>
            </c:numRef>
          </c:xVal>
          <c:yVal>
            <c:numRef>
              <c:f>'Pipe Cap plot1'!$P$11:$T$11</c:f>
              <c:numCache>
                <c:formatCode>#,##0</c:formatCode>
                <c:ptCount val="5"/>
                <c:pt idx="0">
                  <c:v>466000</c:v>
                </c:pt>
                <c:pt idx="1">
                  <c:v>420000</c:v>
                </c:pt>
                <c:pt idx="2">
                  <c:v>380000</c:v>
                </c:pt>
                <c:pt idx="3">
                  <c:v>360000</c:v>
                </c:pt>
                <c:pt idx="4">
                  <c:v>334000</c:v>
                </c:pt>
              </c:numCache>
            </c:numRef>
          </c:yVal>
          <c:smooth val="0"/>
          <c:extLst xmlns:c16r2="http://schemas.microsoft.com/office/drawing/2015/06/chart">
            <c:ext xmlns:c16="http://schemas.microsoft.com/office/drawing/2014/chart" uri="{C3380CC4-5D6E-409C-BE32-E72D297353CC}">
              <c16:uniqueId val="{00000002-DDC9-E540-A4CB-0DA5D2845E1D}"/>
            </c:ext>
          </c:extLst>
        </c:ser>
        <c:dLbls>
          <c:showLegendKey val="0"/>
          <c:showVal val="0"/>
          <c:showCatName val="0"/>
          <c:showSerName val="0"/>
          <c:showPercent val="0"/>
          <c:showBubbleSize val="0"/>
        </c:dLbls>
        <c:axId val="399122368"/>
        <c:axId val="399122912"/>
      </c:scatterChart>
      <c:valAx>
        <c:axId val="399122368"/>
        <c:scaling>
          <c:orientation val="minMax"/>
        </c:scaling>
        <c:delete val="0"/>
        <c:axPos val="b"/>
        <c:title>
          <c:tx>
            <c:rich>
              <a:bodyPr/>
              <a:lstStyle/>
              <a:p>
                <a:pPr>
                  <a:defRPr/>
                </a:pPr>
                <a:r>
                  <a:rPr lang="en-US"/>
                  <a:t>Pipeline Length (miles)</a:t>
                </a:r>
              </a:p>
            </c:rich>
          </c:tx>
          <c:layout/>
          <c:overlay val="0"/>
        </c:title>
        <c:numFmt formatCode="General" sourceLinked="1"/>
        <c:majorTickMark val="out"/>
        <c:minorTickMark val="none"/>
        <c:tickLblPos val="nextTo"/>
        <c:crossAx val="399122912"/>
        <c:crosses val="autoZero"/>
        <c:crossBetween val="midCat"/>
      </c:valAx>
      <c:valAx>
        <c:axId val="399122912"/>
        <c:scaling>
          <c:orientation val="minMax"/>
          <c:min val="0"/>
        </c:scaling>
        <c:delete val="0"/>
        <c:axPos val="l"/>
        <c:majorGridlines/>
        <c:title>
          <c:tx>
            <c:rich>
              <a:bodyPr rot="0" vert="horz"/>
              <a:lstStyle/>
              <a:p>
                <a:pPr>
                  <a:defRPr/>
                </a:pPr>
                <a:r>
                  <a:rPr lang="en-US"/>
                  <a:t>$/mi</a:t>
                </a:r>
              </a:p>
            </c:rich>
          </c:tx>
          <c:layout/>
          <c:overlay val="0"/>
        </c:title>
        <c:numFmt formatCode="#,##0" sourceLinked="1"/>
        <c:majorTickMark val="out"/>
        <c:minorTickMark val="none"/>
        <c:tickLblPos val="nextTo"/>
        <c:crossAx val="399122368"/>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baseline="0"/>
              <a:t>Capital Cost for 16 inch Pipeline (2011$/mi) </a:t>
            </a:r>
          </a:p>
        </c:rich>
      </c:tx>
      <c:layout/>
      <c:overlay val="0"/>
    </c:title>
    <c:autoTitleDeleted val="0"/>
    <c:plotArea>
      <c:layout/>
      <c:scatterChart>
        <c:scatterStyle val="lineMarker"/>
        <c:varyColors val="0"/>
        <c:ser>
          <c:idx val="0"/>
          <c:order val="0"/>
          <c:tx>
            <c:v>Parker</c:v>
          </c:tx>
          <c:xVal>
            <c:numRef>
              <c:f>'Pipe Cap plot1'!$B$10:$F$10</c:f>
              <c:numCache>
                <c:formatCode>General</c:formatCode>
                <c:ptCount val="5"/>
                <c:pt idx="0">
                  <c:v>50</c:v>
                </c:pt>
                <c:pt idx="1">
                  <c:v>100</c:v>
                </c:pt>
                <c:pt idx="2">
                  <c:v>200</c:v>
                </c:pt>
                <c:pt idx="3">
                  <c:v>300</c:v>
                </c:pt>
                <c:pt idx="4">
                  <c:v>500</c:v>
                </c:pt>
              </c:numCache>
            </c:numRef>
          </c:xVal>
          <c:yVal>
            <c:numRef>
              <c:f>'Pipe Cap plot1'!$B$12:$F$12</c:f>
              <c:numCache>
                <c:formatCode>#,##0</c:formatCode>
                <c:ptCount val="5"/>
                <c:pt idx="0">
                  <c:v>1116000</c:v>
                </c:pt>
                <c:pt idx="1">
                  <c:v>1110000</c:v>
                </c:pt>
                <c:pt idx="2">
                  <c:v>1105000</c:v>
                </c:pt>
                <c:pt idx="3">
                  <c:v>1106666.6666666667</c:v>
                </c:pt>
                <c:pt idx="4">
                  <c:v>1104000</c:v>
                </c:pt>
              </c:numCache>
            </c:numRef>
          </c:yVal>
          <c:smooth val="0"/>
          <c:extLst xmlns:c16r2="http://schemas.microsoft.com/office/drawing/2015/06/chart">
            <c:ext xmlns:c16="http://schemas.microsoft.com/office/drawing/2014/chart" uri="{C3380CC4-5D6E-409C-BE32-E72D297353CC}">
              <c16:uniqueId val="{00000000-7FF0-594F-8169-A21BAF87B6DF}"/>
            </c:ext>
          </c:extLst>
        </c:ser>
        <c:ser>
          <c:idx val="1"/>
          <c:order val="1"/>
          <c:tx>
            <c:v>McCoy</c:v>
          </c:tx>
          <c:xVal>
            <c:numRef>
              <c:f>'Pipe Cap plot1'!$I$10:$M$10</c:f>
              <c:numCache>
                <c:formatCode>General</c:formatCode>
                <c:ptCount val="5"/>
                <c:pt idx="0">
                  <c:v>50</c:v>
                </c:pt>
                <c:pt idx="1">
                  <c:v>100</c:v>
                </c:pt>
                <c:pt idx="2">
                  <c:v>200</c:v>
                </c:pt>
                <c:pt idx="3">
                  <c:v>300</c:v>
                </c:pt>
                <c:pt idx="4">
                  <c:v>500</c:v>
                </c:pt>
              </c:numCache>
            </c:numRef>
          </c:xVal>
          <c:yVal>
            <c:numRef>
              <c:f>'Pipe Cap plot1'!$I$12:$M$12</c:f>
              <c:numCache>
                <c:formatCode>#,##0</c:formatCode>
                <c:ptCount val="5"/>
                <c:pt idx="0">
                  <c:v>794000</c:v>
                </c:pt>
                <c:pt idx="1">
                  <c:v>715000</c:v>
                </c:pt>
                <c:pt idx="2">
                  <c:v>645000</c:v>
                </c:pt>
                <c:pt idx="3">
                  <c:v>606666.66666666663</c:v>
                </c:pt>
                <c:pt idx="4">
                  <c:v>564000</c:v>
                </c:pt>
              </c:numCache>
            </c:numRef>
          </c:yVal>
          <c:smooth val="0"/>
          <c:extLst xmlns:c16r2="http://schemas.microsoft.com/office/drawing/2015/06/chart">
            <c:ext xmlns:c16="http://schemas.microsoft.com/office/drawing/2014/chart" uri="{C3380CC4-5D6E-409C-BE32-E72D297353CC}">
              <c16:uniqueId val="{00000001-7FF0-594F-8169-A21BAF87B6DF}"/>
            </c:ext>
          </c:extLst>
        </c:ser>
        <c:ser>
          <c:idx val="2"/>
          <c:order val="2"/>
          <c:tx>
            <c:v>Rui et al.</c:v>
          </c:tx>
          <c:xVal>
            <c:numRef>
              <c:f>'Pipe Cap plot1'!$P$10:$T$10</c:f>
              <c:numCache>
                <c:formatCode>General</c:formatCode>
                <c:ptCount val="5"/>
                <c:pt idx="0">
                  <c:v>50</c:v>
                </c:pt>
                <c:pt idx="1">
                  <c:v>100</c:v>
                </c:pt>
                <c:pt idx="2">
                  <c:v>200</c:v>
                </c:pt>
                <c:pt idx="3">
                  <c:v>300</c:v>
                </c:pt>
                <c:pt idx="4">
                  <c:v>500</c:v>
                </c:pt>
              </c:numCache>
            </c:numRef>
          </c:xVal>
          <c:yVal>
            <c:numRef>
              <c:f>'Pipe Cap plot1'!$P$12:$T$12</c:f>
              <c:numCache>
                <c:formatCode>#,##0</c:formatCode>
                <c:ptCount val="5"/>
                <c:pt idx="0">
                  <c:v>614000</c:v>
                </c:pt>
                <c:pt idx="1">
                  <c:v>551000</c:v>
                </c:pt>
                <c:pt idx="2">
                  <c:v>496500</c:v>
                </c:pt>
                <c:pt idx="3">
                  <c:v>466666.66666666669</c:v>
                </c:pt>
                <c:pt idx="4">
                  <c:v>434000</c:v>
                </c:pt>
              </c:numCache>
            </c:numRef>
          </c:yVal>
          <c:smooth val="0"/>
          <c:extLst xmlns:c16r2="http://schemas.microsoft.com/office/drawing/2015/06/chart">
            <c:ext xmlns:c16="http://schemas.microsoft.com/office/drawing/2014/chart" uri="{C3380CC4-5D6E-409C-BE32-E72D297353CC}">
              <c16:uniqueId val="{00000002-7FF0-594F-8169-A21BAF87B6DF}"/>
            </c:ext>
          </c:extLst>
        </c:ser>
        <c:dLbls>
          <c:showLegendKey val="0"/>
          <c:showVal val="0"/>
          <c:showCatName val="0"/>
          <c:showSerName val="0"/>
          <c:showPercent val="0"/>
          <c:showBubbleSize val="0"/>
        </c:dLbls>
        <c:axId val="399115296"/>
        <c:axId val="399115840"/>
      </c:scatterChart>
      <c:valAx>
        <c:axId val="399115296"/>
        <c:scaling>
          <c:orientation val="minMax"/>
        </c:scaling>
        <c:delete val="0"/>
        <c:axPos val="b"/>
        <c:title>
          <c:tx>
            <c:rich>
              <a:bodyPr/>
              <a:lstStyle/>
              <a:p>
                <a:pPr>
                  <a:defRPr/>
                </a:pPr>
                <a:r>
                  <a:rPr lang="en-US"/>
                  <a:t>Pipeline Length (miles)</a:t>
                </a:r>
              </a:p>
            </c:rich>
          </c:tx>
          <c:layout/>
          <c:overlay val="0"/>
        </c:title>
        <c:numFmt formatCode="General" sourceLinked="1"/>
        <c:majorTickMark val="out"/>
        <c:minorTickMark val="none"/>
        <c:tickLblPos val="nextTo"/>
        <c:crossAx val="399115840"/>
        <c:crosses val="autoZero"/>
        <c:crossBetween val="midCat"/>
      </c:valAx>
      <c:valAx>
        <c:axId val="399115840"/>
        <c:scaling>
          <c:orientation val="minMax"/>
          <c:min val="0"/>
        </c:scaling>
        <c:delete val="0"/>
        <c:axPos val="l"/>
        <c:majorGridlines/>
        <c:title>
          <c:tx>
            <c:rich>
              <a:bodyPr rot="0" vert="horz"/>
              <a:lstStyle/>
              <a:p>
                <a:pPr>
                  <a:defRPr/>
                </a:pPr>
                <a:r>
                  <a:rPr lang="en-US"/>
                  <a:t>$/mi</a:t>
                </a:r>
              </a:p>
            </c:rich>
          </c:tx>
          <c:layout/>
          <c:overlay val="0"/>
        </c:title>
        <c:numFmt formatCode="#,##0" sourceLinked="1"/>
        <c:majorTickMark val="out"/>
        <c:minorTickMark val="none"/>
        <c:tickLblPos val="nextTo"/>
        <c:crossAx val="399115296"/>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baseline="0"/>
              <a:t>Capital Cost for 20 inch Pipeline (2011$/mi) </a:t>
            </a:r>
          </a:p>
        </c:rich>
      </c:tx>
      <c:layout/>
      <c:overlay val="0"/>
    </c:title>
    <c:autoTitleDeleted val="0"/>
    <c:plotArea>
      <c:layout/>
      <c:scatterChart>
        <c:scatterStyle val="lineMarker"/>
        <c:varyColors val="0"/>
        <c:ser>
          <c:idx val="0"/>
          <c:order val="0"/>
          <c:tx>
            <c:v>Parker</c:v>
          </c:tx>
          <c:xVal>
            <c:numRef>
              <c:f>'Pipe Cap plot1'!$B$10:$F$10</c:f>
              <c:numCache>
                <c:formatCode>General</c:formatCode>
                <c:ptCount val="5"/>
                <c:pt idx="0">
                  <c:v>50</c:v>
                </c:pt>
                <c:pt idx="1">
                  <c:v>100</c:v>
                </c:pt>
                <c:pt idx="2">
                  <c:v>200</c:v>
                </c:pt>
                <c:pt idx="3">
                  <c:v>300</c:v>
                </c:pt>
                <c:pt idx="4">
                  <c:v>500</c:v>
                </c:pt>
              </c:numCache>
            </c:numRef>
          </c:xVal>
          <c:yVal>
            <c:numRef>
              <c:f>'Pipe Cap plot1'!$B$13:$F$13</c:f>
              <c:numCache>
                <c:formatCode>#,##0</c:formatCode>
                <c:ptCount val="5"/>
                <c:pt idx="0">
                  <c:v>1390000</c:v>
                </c:pt>
                <c:pt idx="1">
                  <c:v>1380000</c:v>
                </c:pt>
                <c:pt idx="2">
                  <c:v>1380000</c:v>
                </c:pt>
                <c:pt idx="3">
                  <c:v>1380000</c:v>
                </c:pt>
                <c:pt idx="4">
                  <c:v>1378000</c:v>
                </c:pt>
              </c:numCache>
            </c:numRef>
          </c:yVal>
          <c:smooth val="0"/>
          <c:extLst xmlns:c16r2="http://schemas.microsoft.com/office/drawing/2015/06/chart">
            <c:ext xmlns:c16="http://schemas.microsoft.com/office/drawing/2014/chart" uri="{C3380CC4-5D6E-409C-BE32-E72D297353CC}">
              <c16:uniqueId val="{00000000-E5BD-2343-8DD4-3C0AF0148BEA}"/>
            </c:ext>
          </c:extLst>
        </c:ser>
        <c:ser>
          <c:idx val="1"/>
          <c:order val="1"/>
          <c:tx>
            <c:v>McCoy</c:v>
          </c:tx>
          <c:xVal>
            <c:numRef>
              <c:f>'Pipe Cap plot1'!$I$10:$M$10</c:f>
              <c:numCache>
                <c:formatCode>General</c:formatCode>
                <c:ptCount val="5"/>
                <c:pt idx="0">
                  <c:v>50</c:v>
                </c:pt>
                <c:pt idx="1">
                  <c:v>100</c:v>
                </c:pt>
                <c:pt idx="2">
                  <c:v>200</c:v>
                </c:pt>
                <c:pt idx="3">
                  <c:v>300</c:v>
                </c:pt>
                <c:pt idx="4">
                  <c:v>500</c:v>
                </c:pt>
              </c:numCache>
            </c:numRef>
          </c:xVal>
          <c:yVal>
            <c:numRef>
              <c:f>'Pipe Cap plot1'!$I$13:$M$13</c:f>
              <c:numCache>
                <c:formatCode>#,##0</c:formatCode>
                <c:ptCount val="5"/>
                <c:pt idx="0">
                  <c:v>992000</c:v>
                </c:pt>
                <c:pt idx="1">
                  <c:v>892000</c:v>
                </c:pt>
                <c:pt idx="2">
                  <c:v>805000</c:v>
                </c:pt>
                <c:pt idx="3">
                  <c:v>756666.66666666663</c:v>
                </c:pt>
                <c:pt idx="4">
                  <c:v>704000</c:v>
                </c:pt>
              </c:numCache>
            </c:numRef>
          </c:yVal>
          <c:smooth val="0"/>
          <c:extLst xmlns:c16r2="http://schemas.microsoft.com/office/drawing/2015/06/chart">
            <c:ext xmlns:c16="http://schemas.microsoft.com/office/drawing/2014/chart" uri="{C3380CC4-5D6E-409C-BE32-E72D297353CC}">
              <c16:uniqueId val="{00000001-E5BD-2343-8DD4-3C0AF0148BEA}"/>
            </c:ext>
          </c:extLst>
        </c:ser>
        <c:ser>
          <c:idx val="2"/>
          <c:order val="2"/>
          <c:tx>
            <c:v>Rui et al.</c:v>
          </c:tx>
          <c:xVal>
            <c:numRef>
              <c:f>'Pipe Cap plot1'!$P$10:$T$10</c:f>
              <c:numCache>
                <c:formatCode>General</c:formatCode>
                <c:ptCount val="5"/>
                <c:pt idx="0">
                  <c:v>50</c:v>
                </c:pt>
                <c:pt idx="1">
                  <c:v>100</c:v>
                </c:pt>
                <c:pt idx="2">
                  <c:v>200</c:v>
                </c:pt>
                <c:pt idx="3">
                  <c:v>300</c:v>
                </c:pt>
                <c:pt idx="4">
                  <c:v>500</c:v>
                </c:pt>
              </c:numCache>
            </c:numRef>
          </c:xVal>
          <c:yVal>
            <c:numRef>
              <c:f>'Pipe Cap plot1'!$P$13:$T$13</c:f>
              <c:numCache>
                <c:formatCode>#,##0</c:formatCode>
                <c:ptCount val="5"/>
                <c:pt idx="0">
                  <c:v>762000</c:v>
                </c:pt>
                <c:pt idx="1">
                  <c:v>684000</c:v>
                </c:pt>
                <c:pt idx="2">
                  <c:v>615000</c:v>
                </c:pt>
                <c:pt idx="3">
                  <c:v>580000</c:v>
                </c:pt>
                <c:pt idx="4">
                  <c:v>538000</c:v>
                </c:pt>
              </c:numCache>
            </c:numRef>
          </c:yVal>
          <c:smooth val="0"/>
          <c:extLst xmlns:c16r2="http://schemas.microsoft.com/office/drawing/2015/06/chart">
            <c:ext xmlns:c16="http://schemas.microsoft.com/office/drawing/2014/chart" uri="{C3380CC4-5D6E-409C-BE32-E72D297353CC}">
              <c16:uniqueId val="{00000002-E5BD-2343-8DD4-3C0AF0148BEA}"/>
            </c:ext>
          </c:extLst>
        </c:ser>
        <c:dLbls>
          <c:showLegendKey val="0"/>
          <c:showVal val="0"/>
          <c:showCatName val="0"/>
          <c:showSerName val="0"/>
          <c:showPercent val="0"/>
          <c:showBubbleSize val="0"/>
        </c:dLbls>
        <c:axId val="399125088"/>
        <c:axId val="399117472"/>
      </c:scatterChart>
      <c:valAx>
        <c:axId val="399125088"/>
        <c:scaling>
          <c:orientation val="minMax"/>
        </c:scaling>
        <c:delete val="0"/>
        <c:axPos val="b"/>
        <c:title>
          <c:tx>
            <c:rich>
              <a:bodyPr/>
              <a:lstStyle/>
              <a:p>
                <a:pPr>
                  <a:defRPr/>
                </a:pPr>
                <a:r>
                  <a:rPr lang="en-US"/>
                  <a:t>Pipeline Length (miles)</a:t>
                </a:r>
              </a:p>
            </c:rich>
          </c:tx>
          <c:layout/>
          <c:overlay val="0"/>
        </c:title>
        <c:numFmt formatCode="General" sourceLinked="1"/>
        <c:majorTickMark val="out"/>
        <c:minorTickMark val="none"/>
        <c:tickLblPos val="nextTo"/>
        <c:crossAx val="399117472"/>
        <c:crosses val="autoZero"/>
        <c:crossBetween val="midCat"/>
      </c:valAx>
      <c:valAx>
        <c:axId val="399117472"/>
        <c:scaling>
          <c:orientation val="minMax"/>
          <c:min val="0"/>
        </c:scaling>
        <c:delete val="0"/>
        <c:axPos val="l"/>
        <c:majorGridlines/>
        <c:title>
          <c:tx>
            <c:rich>
              <a:bodyPr rot="0" vert="horz"/>
              <a:lstStyle/>
              <a:p>
                <a:pPr>
                  <a:defRPr/>
                </a:pPr>
                <a:r>
                  <a:rPr lang="en-US"/>
                  <a:t>$/mi</a:t>
                </a:r>
              </a:p>
            </c:rich>
          </c:tx>
          <c:layout/>
          <c:overlay val="0"/>
        </c:title>
        <c:numFmt formatCode="#,##0" sourceLinked="1"/>
        <c:majorTickMark val="out"/>
        <c:minorTickMark val="none"/>
        <c:tickLblPos val="nextTo"/>
        <c:crossAx val="399125088"/>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baseline="0"/>
              <a:t>Capital Cost for 24 inch Pipeline (2011$/mi) </a:t>
            </a:r>
          </a:p>
        </c:rich>
      </c:tx>
      <c:layout/>
      <c:overlay val="0"/>
    </c:title>
    <c:autoTitleDeleted val="0"/>
    <c:plotArea>
      <c:layout/>
      <c:scatterChart>
        <c:scatterStyle val="lineMarker"/>
        <c:varyColors val="0"/>
        <c:ser>
          <c:idx val="0"/>
          <c:order val="0"/>
          <c:tx>
            <c:v>Parker</c:v>
          </c:tx>
          <c:xVal>
            <c:numRef>
              <c:f>'Pipe Cap plot1'!$B$10:$F$10</c:f>
              <c:numCache>
                <c:formatCode>General</c:formatCode>
                <c:ptCount val="5"/>
                <c:pt idx="0">
                  <c:v>50</c:v>
                </c:pt>
                <c:pt idx="1">
                  <c:v>100</c:v>
                </c:pt>
                <c:pt idx="2">
                  <c:v>200</c:v>
                </c:pt>
                <c:pt idx="3">
                  <c:v>300</c:v>
                </c:pt>
                <c:pt idx="4">
                  <c:v>500</c:v>
                </c:pt>
              </c:numCache>
            </c:numRef>
          </c:xVal>
          <c:yVal>
            <c:numRef>
              <c:f>'Pipe Cap plot1'!$B$14:$F$14</c:f>
              <c:numCache>
                <c:formatCode>#,##0</c:formatCode>
                <c:ptCount val="5"/>
                <c:pt idx="0">
                  <c:v>1706000</c:v>
                </c:pt>
                <c:pt idx="1">
                  <c:v>1700000</c:v>
                </c:pt>
                <c:pt idx="2">
                  <c:v>1695000</c:v>
                </c:pt>
                <c:pt idx="3">
                  <c:v>1693333.3333333333</c:v>
                </c:pt>
                <c:pt idx="4">
                  <c:v>1694000</c:v>
                </c:pt>
              </c:numCache>
            </c:numRef>
          </c:yVal>
          <c:smooth val="0"/>
          <c:extLst xmlns:c16r2="http://schemas.microsoft.com/office/drawing/2015/06/chart">
            <c:ext xmlns:c16="http://schemas.microsoft.com/office/drawing/2014/chart" uri="{C3380CC4-5D6E-409C-BE32-E72D297353CC}">
              <c16:uniqueId val="{00000000-6EB7-6E4B-99F2-9C810F9D770E}"/>
            </c:ext>
          </c:extLst>
        </c:ser>
        <c:ser>
          <c:idx val="1"/>
          <c:order val="1"/>
          <c:tx>
            <c:v>McCoy</c:v>
          </c:tx>
          <c:xVal>
            <c:numRef>
              <c:f>'Pipe Cap plot1'!$I$10:$M$10</c:f>
              <c:numCache>
                <c:formatCode>General</c:formatCode>
                <c:ptCount val="5"/>
                <c:pt idx="0">
                  <c:v>50</c:v>
                </c:pt>
                <c:pt idx="1">
                  <c:v>100</c:v>
                </c:pt>
                <c:pt idx="2">
                  <c:v>200</c:v>
                </c:pt>
                <c:pt idx="3">
                  <c:v>300</c:v>
                </c:pt>
                <c:pt idx="4">
                  <c:v>500</c:v>
                </c:pt>
              </c:numCache>
            </c:numRef>
          </c:xVal>
          <c:yVal>
            <c:numRef>
              <c:f>'Pipe Cap plot1'!$I$14:$M$14</c:f>
              <c:numCache>
                <c:formatCode>#,##0</c:formatCode>
                <c:ptCount val="5"/>
                <c:pt idx="0">
                  <c:v>1194000</c:v>
                </c:pt>
                <c:pt idx="1">
                  <c:v>1070000</c:v>
                </c:pt>
                <c:pt idx="2">
                  <c:v>965000</c:v>
                </c:pt>
                <c:pt idx="3">
                  <c:v>910000</c:v>
                </c:pt>
                <c:pt idx="4">
                  <c:v>846000</c:v>
                </c:pt>
              </c:numCache>
            </c:numRef>
          </c:yVal>
          <c:smooth val="0"/>
          <c:extLst xmlns:c16r2="http://schemas.microsoft.com/office/drawing/2015/06/chart">
            <c:ext xmlns:c16="http://schemas.microsoft.com/office/drawing/2014/chart" uri="{C3380CC4-5D6E-409C-BE32-E72D297353CC}">
              <c16:uniqueId val="{00000001-6EB7-6E4B-99F2-9C810F9D770E}"/>
            </c:ext>
          </c:extLst>
        </c:ser>
        <c:ser>
          <c:idx val="2"/>
          <c:order val="2"/>
          <c:tx>
            <c:v>Rui et al.</c:v>
          </c:tx>
          <c:xVal>
            <c:numRef>
              <c:f>'Pipe Cap plot1'!$P$10:$T$10</c:f>
              <c:numCache>
                <c:formatCode>General</c:formatCode>
                <c:ptCount val="5"/>
                <c:pt idx="0">
                  <c:v>50</c:v>
                </c:pt>
                <c:pt idx="1">
                  <c:v>100</c:v>
                </c:pt>
                <c:pt idx="2">
                  <c:v>200</c:v>
                </c:pt>
                <c:pt idx="3">
                  <c:v>300</c:v>
                </c:pt>
                <c:pt idx="4">
                  <c:v>500</c:v>
                </c:pt>
              </c:numCache>
            </c:numRef>
          </c:xVal>
          <c:yVal>
            <c:numRef>
              <c:f>'Pipe Cap plot1'!$P$14:$T$14</c:f>
              <c:numCache>
                <c:formatCode>#,##0</c:formatCode>
                <c:ptCount val="5"/>
                <c:pt idx="0">
                  <c:v>914000</c:v>
                </c:pt>
                <c:pt idx="1">
                  <c:v>819000</c:v>
                </c:pt>
                <c:pt idx="2">
                  <c:v>735000</c:v>
                </c:pt>
                <c:pt idx="3">
                  <c:v>693333.33333333337</c:v>
                </c:pt>
                <c:pt idx="4">
                  <c:v>642000</c:v>
                </c:pt>
              </c:numCache>
            </c:numRef>
          </c:yVal>
          <c:smooth val="0"/>
          <c:extLst xmlns:c16r2="http://schemas.microsoft.com/office/drawing/2015/06/chart">
            <c:ext xmlns:c16="http://schemas.microsoft.com/office/drawing/2014/chart" uri="{C3380CC4-5D6E-409C-BE32-E72D297353CC}">
              <c16:uniqueId val="{00000002-6EB7-6E4B-99F2-9C810F9D770E}"/>
            </c:ext>
          </c:extLst>
        </c:ser>
        <c:dLbls>
          <c:showLegendKey val="0"/>
          <c:showVal val="0"/>
          <c:showCatName val="0"/>
          <c:showSerName val="0"/>
          <c:showPercent val="0"/>
          <c:showBubbleSize val="0"/>
        </c:dLbls>
        <c:axId val="399116384"/>
        <c:axId val="399114752"/>
      </c:scatterChart>
      <c:valAx>
        <c:axId val="399116384"/>
        <c:scaling>
          <c:orientation val="minMax"/>
        </c:scaling>
        <c:delete val="0"/>
        <c:axPos val="b"/>
        <c:title>
          <c:tx>
            <c:rich>
              <a:bodyPr/>
              <a:lstStyle/>
              <a:p>
                <a:pPr>
                  <a:defRPr/>
                </a:pPr>
                <a:r>
                  <a:rPr lang="en-US"/>
                  <a:t>Pipeline Length (miles)</a:t>
                </a:r>
              </a:p>
            </c:rich>
          </c:tx>
          <c:layout/>
          <c:overlay val="0"/>
        </c:title>
        <c:numFmt formatCode="General" sourceLinked="1"/>
        <c:majorTickMark val="out"/>
        <c:minorTickMark val="none"/>
        <c:tickLblPos val="nextTo"/>
        <c:crossAx val="399114752"/>
        <c:crosses val="autoZero"/>
        <c:crossBetween val="midCat"/>
      </c:valAx>
      <c:valAx>
        <c:axId val="399114752"/>
        <c:scaling>
          <c:orientation val="minMax"/>
          <c:min val="0"/>
        </c:scaling>
        <c:delete val="0"/>
        <c:axPos val="l"/>
        <c:majorGridlines/>
        <c:title>
          <c:tx>
            <c:rich>
              <a:bodyPr rot="0" vert="horz"/>
              <a:lstStyle/>
              <a:p>
                <a:pPr>
                  <a:defRPr/>
                </a:pPr>
                <a:r>
                  <a:rPr lang="en-US"/>
                  <a:t>$/mi</a:t>
                </a:r>
              </a:p>
            </c:rich>
          </c:tx>
          <c:layout/>
          <c:overlay val="0"/>
        </c:title>
        <c:numFmt formatCode="#,##0" sourceLinked="1"/>
        <c:majorTickMark val="out"/>
        <c:minorTickMark val="none"/>
        <c:tickLblPos val="nextTo"/>
        <c:crossAx val="399116384"/>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baseline="0"/>
              <a:t>Capital Cost for 30 inch Pipeline (2011$/mi) </a:t>
            </a:r>
          </a:p>
        </c:rich>
      </c:tx>
      <c:layout/>
      <c:overlay val="0"/>
    </c:title>
    <c:autoTitleDeleted val="0"/>
    <c:plotArea>
      <c:layout/>
      <c:scatterChart>
        <c:scatterStyle val="lineMarker"/>
        <c:varyColors val="0"/>
        <c:ser>
          <c:idx val="0"/>
          <c:order val="0"/>
          <c:tx>
            <c:v>Parker</c:v>
          </c:tx>
          <c:xVal>
            <c:numRef>
              <c:f>'Pipe Cap plot1'!$B$10:$F$10</c:f>
              <c:numCache>
                <c:formatCode>General</c:formatCode>
                <c:ptCount val="5"/>
                <c:pt idx="0">
                  <c:v>50</c:v>
                </c:pt>
                <c:pt idx="1">
                  <c:v>100</c:v>
                </c:pt>
                <c:pt idx="2">
                  <c:v>200</c:v>
                </c:pt>
                <c:pt idx="3">
                  <c:v>300</c:v>
                </c:pt>
                <c:pt idx="4">
                  <c:v>500</c:v>
                </c:pt>
              </c:numCache>
            </c:numRef>
          </c:xVal>
          <c:yVal>
            <c:numRef>
              <c:f>'Pipe Cap plot1'!$B$15:$F$15</c:f>
              <c:numCache>
                <c:formatCode>#,##0</c:formatCode>
                <c:ptCount val="5"/>
                <c:pt idx="0">
                  <c:v>2260000</c:v>
                </c:pt>
                <c:pt idx="1">
                  <c:v>2250000</c:v>
                </c:pt>
                <c:pt idx="2">
                  <c:v>2250000</c:v>
                </c:pt>
                <c:pt idx="3">
                  <c:v>2250000</c:v>
                </c:pt>
                <c:pt idx="4">
                  <c:v>2240000</c:v>
                </c:pt>
              </c:numCache>
            </c:numRef>
          </c:yVal>
          <c:smooth val="0"/>
          <c:extLst xmlns:c16r2="http://schemas.microsoft.com/office/drawing/2015/06/chart">
            <c:ext xmlns:c16="http://schemas.microsoft.com/office/drawing/2014/chart" uri="{C3380CC4-5D6E-409C-BE32-E72D297353CC}">
              <c16:uniqueId val="{00000000-010B-944C-9271-4F513CB725E1}"/>
            </c:ext>
          </c:extLst>
        </c:ser>
        <c:ser>
          <c:idx val="1"/>
          <c:order val="1"/>
          <c:tx>
            <c:v>McCoy</c:v>
          </c:tx>
          <c:xVal>
            <c:numRef>
              <c:f>'Pipe Cap plot1'!$I$10:$M$10</c:f>
              <c:numCache>
                <c:formatCode>General</c:formatCode>
                <c:ptCount val="5"/>
                <c:pt idx="0">
                  <c:v>50</c:v>
                </c:pt>
                <c:pt idx="1">
                  <c:v>100</c:v>
                </c:pt>
                <c:pt idx="2">
                  <c:v>200</c:v>
                </c:pt>
                <c:pt idx="3">
                  <c:v>300</c:v>
                </c:pt>
                <c:pt idx="4">
                  <c:v>500</c:v>
                </c:pt>
              </c:numCache>
            </c:numRef>
          </c:xVal>
          <c:yVal>
            <c:numRef>
              <c:f>'Pipe Cap plot1'!$I$15:$M$15</c:f>
              <c:numCache>
                <c:formatCode>#,##0</c:formatCode>
                <c:ptCount val="5"/>
                <c:pt idx="0">
                  <c:v>1504000</c:v>
                </c:pt>
                <c:pt idx="1">
                  <c:v>1350000</c:v>
                </c:pt>
                <c:pt idx="2">
                  <c:v>1220000</c:v>
                </c:pt>
                <c:pt idx="3">
                  <c:v>1150000</c:v>
                </c:pt>
                <c:pt idx="4">
                  <c:v>1068000</c:v>
                </c:pt>
              </c:numCache>
            </c:numRef>
          </c:yVal>
          <c:smooth val="0"/>
          <c:extLst xmlns:c16r2="http://schemas.microsoft.com/office/drawing/2015/06/chart">
            <c:ext xmlns:c16="http://schemas.microsoft.com/office/drawing/2014/chart" uri="{C3380CC4-5D6E-409C-BE32-E72D297353CC}">
              <c16:uniqueId val="{00000001-010B-944C-9271-4F513CB725E1}"/>
            </c:ext>
          </c:extLst>
        </c:ser>
        <c:ser>
          <c:idx val="2"/>
          <c:order val="2"/>
          <c:tx>
            <c:v>Rui et al.</c:v>
          </c:tx>
          <c:xVal>
            <c:numRef>
              <c:f>'Pipe Cap plot1'!$P$10:$T$10</c:f>
              <c:numCache>
                <c:formatCode>General</c:formatCode>
                <c:ptCount val="5"/>
                <c:pt idx="0">
                  <c:v>50</c:v>
                </c:pt>
                <c:pt idx="1">
                  <c:v>100</c:v>
                </c:pt>
                <c:pt idx="2">
                  <c:v>200</c:v>
                </c:pt>
                <c:pt idx="3">
                  <c:v>300</c:v>
                </c:pt>
                <c:pt idx="4">
                  <c:v>500</c:v>
                </c:pt>
              </c:numCache>
            </c:numRef>
          </c:xVal>
          <c:yVal>
            <c:numRef>
              <c:f>'Pipe Cap plot1'!$P$15:$T$15</c:f>
              <c:numCache>
                <c:formatCode>#,##0</c:formatCode>
                <c:ptCount val="5"/>
                <c:pt idx="0">
                  <c:v>1148000</c:v>
                </c:pt>
                <c:pt idx="1">
                  <c:v>1030000</c:v>
                </c:pt>
                <c:pt idx="2">
                  <c:v>920000</c:v>
                </c:pt>
                <c:pt idx="3">
                  <c:v>866666.66666666663</c:v>
                </c:pt>
                <c:pt idx="4">
                  <c:v>802000</c:v>
                </c:pt>
              </c:numCache>
            </c:numRef>
          </c:yVal>
          <c:smooth val="0"/>
          <c:extLst xmlns:c16r2="http://schemas.microsoft.com/office/drawing/2015/06/chart">
            <c:ext xmlns:c16="http://schemas.microsoft.com/office/drawing/2014/chart" uri="{C3380CC4-5D6E-409C-BE32-E72D297353CC}">
              <c16:uniqueId val="{00000002-010B-944C-9271-4F513CB725E1}"/>
            </c:ext>
          </c:extLst>
        </c:ser>
        <c:dLbls>
          <c:showLegendKey val="0"/>
          <c:showVal val="0"/>
          <c:showCatName val="0"/>
          <c:showSerName val="0"/>
          <c:showPercent val="0"/>
          <c:showBubbleSize val="0"/>
        </c:dLbls>
        <c:axId val="399128352"/>
        <c:axId val="399118016"/>
      </c:scatterChart>
      <c:valAx>
        <c:axId val="399128352"/>
        <c:scaling>
          <c:orientation val="minMax"/>
        </c:scaling>
        <c:delete val="0"/>
        <c:axPos val="b"/>
        <c:title>
          <c:tx>
            <c:rich>
              <a:bodyPr/>
              <a:lstStyle/>
              <a:p>
                <a:pPr>
                  <a:defRPr/>
                </a:pPr>
                <a:r>
                  <a:rPr lang="en-US"/>
                  <a:t>Pipeline Length (miles)</a:t>
                </a:r>
              </a:p>
            </c:rich>
          </c:tx>
          <c:layout/>
          <c:overlay val="0"/>
        </c:title>
        <c:numFmt formatCode="General" sourceLinked="1"/>
        <c:majorTickMark val="out"/>
        <c:minorTickMark val="none"/>
        <c:tickLblPos val="nextTo"/>
        <c:crossAx val="399118016"/>
        <c:crosses val="autoZero"/>
        <c:crossBetween val="midCat"/>
      </c:valAx>
      <c:valAx>
        <c:axId val="399118016"/>
        <c:scaling>
          <c:orientation val="minMax"/>
          <c:min val="0"/>
        </c:scaling>
        <c:delete val="0"/>
        <c:axPos val="l"/>
        <c:majorGridlines/>
        <c:title>
          <c:tx>
            <c:rich>
              <a:bodyPr rot="0" vert="horz"/>
              <a:lstStyle/>
              <a:p>
                <a:pPr>
                  <a:defRPr/>
                </a:pPr>
                <a:r>
                  <a:rPr lang="en-US"/>
                  <a:t>$/mi</a:t>
                </a:r>
              </a:p>
            </c:rich>
          </c:tx>
          <c:layout/>
          <c:overlay val="0"/>
        </c:title>
        <c:numFmt formatCode="#,##0" sourceLinked="1"/>
        <c:majorTickMark val="out"/>
        <c:minorTickMark val="none"/>
        <c:tickLblPos val="nextTo"/>
        <c:crossAx val="399128352"/>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baseline="0"/>
              <a:t>Capital Cost for 42 inch Pipeline (2011$/mi) </a:t>
            </a:r>
          </a:p>
        </c:rich>
      </c:tx>
      <c:layout/>
      <c:overlay val="0"/>
    </c:title>
    <c:autoTitleDeleted val="0"/>
    <c:plotArea>
      <c:layout/>
      <c:scatterChart>
        <c:scatterStyle val="lineMarker"/>
        <c:varyColors val="0"/>
        <c:ser>
          <c:idx val="0"/>
          <c:order val="0"/>
          <c:tx>
            <c:v>Parker</c:v>
          </c:tx>
          <c:xVal>
            <c:numRef>
              <c:f>'Pipe Cap plot1'!$B$10:$F$10</c:f>
              <c:numCache>
                <c:formatCode>General</c:formatCode>
                <c:ptCount val="5"/>
                <c:pt idx="0">
                  <c:v>50</c:v>
                </c:pt>
                <c:pt idx="1">
                  <c:v>100</c:v>
                </c:pt>
                <c:pt idx="2">
                  <c:v>200</c:v>
                </c:pt>
                <c:pt idx="3">
                  <c:v>300</c:v>
                </c:pt>
                <c:pt idx="4">
                  <c:v>500</c:v>
                </c:pt>
              </c:numCache>
            </c:numRef>
          </c:xVal>
          <c:yVal>
            <c:numRef>
              <c:f>'Pipe Cap plot1'!$B$16:$F$16</c:f>
              <c:numCache>
                <c:formatCode>#,##0</c:formatCode>
                <c:ptCount val="5"/>
                <c:pt idx="0">
                  <c:v>3660000</c:v>
                </c:pt>
                <c:pt idx="1">
                  <c:v>3660000</c:v>
                </c:pt>
                <c:pt idx="2">
                  <c:v>3655000</c:v>
                </c:pt>
                <c:pt idx="3">
                  <c:v>3666666.6666666665</c:v>
                </c:pt>
                <c:pt idx="4">
                  <c:v>3660000</c:v>
                </c:pt>
              </c:numCache>
            </c:numRef>
          </c:yVal>
          <c:smooth val="0"/>
          <c:extLst xmlns:c16r2="http://schemas.microsoft.com/office/drawing/2015/06/chart">
            <c:ext xmlns:c16="http://schemas.microsoft.com/office/drawing/2014/chart" uri="{C3380CC4-5D6E-409C-BE32-E72D297353CC}">
              <c16:uniqueId val="{00000000-7B19-B345-BDF3-ED8C6346D7FF}"/>
            </c:ext>
          </c:extLst>
        </c:ser>
        <c:ser>
          <c:idx val="1"/>
          <c:order val="1"/>
          <c:tx>
            <c:v>McCoy</c:v>
          </c:tx>
          <c:xVal>
            <c:numRef>
              <c:f>'Pipe Cap plot1'!$I$10:$M$10</c:f>
              <c:numCache>
                <c:formatCode>General</c:formatCode>
                <c:ptCount val="5"/>
                <c:pt idx="0">
                  <c:v>50</c:v>
                </c:pt>
                <c:pt idx="1">
                  <c:v>100</c:v>
                </c:pt>
                <c:pt idx="2">
                  <c:v>200</c:v>
                </c:pt>
                <c:pt idx="3">
                  <c:v>300</c:v>
                </c:pt>
                <c:pt idx="4">
                  <c:v>500</c:v>
                </c:pt>
              </c:numCache>
            </c:numRef>
          </c:xVal>
          <c:yVal>
            <c:numRef>
              <c:f>'Pipe Cap plot1'!$I$16:$M$16</c:f>
              <c:numCache>
                <c:formatCode>#,##0</c:formatCode>
                <c:ptCount val="5"/>
                <c:pt idx="0">
                  <c:v>2160000</c:v>
                </c:pt>
                <c:pt idx="1">
                  <c:v>1940000</c:v>
                </c:pt>
                <c:pt idx="2">
                  <c:v>1755000</c:v>
                </c:pt>
                <c:pt idx="3">
                  <c:v>1656666.6666666667</c:v>
                </c:pt>
                <c:pt idx="4">
                  <c:v>1538000</c:v>
                </c:pt>
              </c:numCache>
            </c:numRef>
          </c:yVal>
          <c:smooth val="0"/>
          <c:extLst xmlns:c16r2="http://schemas.microsoft.com/office/drawing/2015/06/chart">
            <c:ext xmlns:c16="http://schemas.microsoft.com/office/drawing/2014/chart" uri="{C3380CC4-5D6E-409C-BE32-E72D297353CC}">
              <c16:uniqueId val="{00000001-7B19-B345-BDF3-ED8C6346D7FF}"/>
            </c:ext>
          </c:extLst>
        </c:ser>
        <c:ser>
          <c:idx val="2"/>
          <c:order val="2"/>
          <c:tx>
            <c:v>Rui et al.</c:v>
          </c:tx>
          <c:xVal>
            <c:numRef>
              <c:f>'Pipe Cap plot1'!$P$10:$T$10</c:f>
              <c:numCache>
                <c:formatCode>General</c:formatCode>
                <c:ptCount val="5"/>
                <c:pt idx="0">
                  <c:v>50</c:v>
                </c:pt>
                <c:pt idx="1">
                  <c:v>100</c:v>
                </c:pt>
                <c:pt idx="2">
                  <c:v>200</c:v>
                </c:pt>
                <c:pt idx="3">
                  <c:v>300</c:v>
                </c:pt>
                <c:pt idx="4">
                  <c:v>500</c:v>
                </c:pt>
              </c:numCache>
            </c:numRef>
          </c:xVal>
          <c:yVal>
            <c:numRef>
              <c:f>'Pipe Cap plot1'!$P$16:$T$16</c:f>
              <c:numCache>
                <c:formatCode>#,##0</c:formatCode>
                <c:ptCount val="5"/>
                <c:pt idx="0">
                  <c:v>1632000</c:v>
                </c:pt>
                <c:pt idx="1">
                  <c:v>1460000</c:v>
                </c:pt>
                <c:pt idx="2">
                  <c:v>1310000</c:v>
                </c:pt>
                <c:pt idx="3">
                  <c:v>1230000</c:v>
                </c:pt>
                <c:pt idx="4">
                  <c:v>1136000</c:v>
                </c:pt>
              </c:numCache>
            </c:numRef>
          </c:yVal>
          <c:smooth val="0"/>
          <c:extLst xmlns:c16r2="http://schemas.microsoft.com/office/drawing/2015/06/chart">
            <c:ext xmlns:c16="http://schemas.microsoft.com/office/drawing/2014/chart" uri="{C3380CC4-5D6E-409C-BE32-E72D297353CC}">
              <c16:uniqueId val="{00000002-7B19-B345-BDF3-ED8C6346D7FF}"/>
            </c:ext>
          </c:extLst>
        </c:ser>
        <c:dLbls>
          <c:showLegendKey val="0"/>
          <c:showVal val="0"/>
          <c:showCatName val="0"/>
          <c:showSerName val="0"/>
          <c:showPercent val="0"/>
          <c:showBubbleSize val="0"/>
        </c:dLbls>
        <c:axId val="399120736"/>
        <c:axId val="399125632"/>
      </c:scatterChart>
      <c:valAx>
        <c:axId val="399120736"/>
        <c:scaling>
          <c:orientation val="minMax"/>
        </c:scaling>
        <c:delete val="0"/>
        <c:axPos val="b"/>
        <c:title>
          <c:tx>
            <c:rich>
              <a:bodyPr/>
              <a:lstStyle/>
              <a:p>
                <a:pPr>
                  <a:defRPr/>
                </a:pPr>
                <a:r>
                  <a:rPr lang="en-US"/>
                  <a:t>Pipeline Length (miles)</a:t>
                </a:r>
              </a:p>
            </c:rich>
          </c:tx>
          <c:layout/>
          <c:overlay val="0"/>
        </c:title>
        <c:numFmt formatCode="General" sourceLinked="1"/>
        <c:majorTickMark val="out"/>
        <c:minorTickMark val="none"/>
        <c:tickLblPos val="nextTo"/>
        <c:crossAx val="399125632"/>
        <c:crosses val="autoZero"/>
        <c:crossBetween val="midCat"/>
      </c:valAx>
      <c:valAx>
        <c:axId val="399125632"/>
        <c:scaling>
          <c:orientation val="minMax"/>
          <c:min val="0"/>
        </c:scaling>
        <c:delete val="0"/>
        <c:axPos val="l"/>
        <c:majorGridlines/>
        <c:title>
          <c:tx>
            <c:rich>
              <a:bodyPr rot="0" vert="horz"/>
              <a:lstStyle/>
              <a:p>
                <a:pPr>
                  <a:defRPr/>
                </a:pPr>
                <a:r>
                  <a:rPr lang="en-US"/>
                  <a:t>$/mi</a:t>
                </a:r>
              </a:p>
            </c:rich>
          </c:tx>
          <c:layout/>
          <c:overlay val="0"/>
        </c:title>
        <c:numFmt formatCode="#,##0" sourceLinked="1"/>
        <c:majorTickMark val="out"/>
        <c:minorTickMark val="none"/>
        <c:tickLblPos val="nextTo"/>
        <c:crossAx val="399120736"/>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Parker Eq.</a:t>
            </a:r>
          </a:p>
        </c:rich>
      </c:tx>
      <c:layout/>
      <c:overlay val="0"/>
    </c:title>
    <c:autoTitleDeleted val="0"/>
    <c:plotArea>
      <c:layout/>
      <c:barChart>
        <c:barDir val="col"/>
        <c:grouping val="stacked"/>
        <c:varyColors val="0"/>
        <c:ser>
          <c:idx val="0"/>
          <c:order val="0"/>
          <c:tx>
            <c:v>Matls</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plot1'!$B$122:$F$122</c:f>
              <c:numCache>
                <c:formatCode>#,##0</c:formatCode>
                <c:ptCount val="5"/>
                <c:pt idx="0">
                  <c:v>168000</c:v>
                </c:pt>
                <c:pt idx="1">
                  <c:v>167000</c:v>
                </c:pt>
                <c:pt idx="2">
                  <c:v>167000</c:v>
                </c:pt>
                <c:pt idx="3">
                  <c:v>166666.66666666666</c:v>
                </c:pt>
                <c:pt idx="4">
                  <c:v>166600</c:v>
                </c:pt>
              </c:numCache>
            </c:numRef>
          </c:val>
          <c:extLst xmlns:c16r2="http://schemas.microsoft.com/office/drawing/2015/06/chart">
            <c:ext xmlns:c16="http://schemas.microsoft.com/office/drawing/2014/chart" uri="{C3380CC4-5D6E-409C-BE32-E72D297353CC}">
              <c16:uniqueId val="{00000000-0A64-394A-8D54-5AC61EFDECC5}"/>
            </c:ext>
          </c:extLst>
        </c:ser>
        <c:ser>
          <c:idx val="1"/>
          <c:order val="1"/>
          <c:tx>
            <c:v>Labor</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plot1'!$B$123:$F$123</c:f>
              <c:numCache>
                <c:formatCode>#,##0</c:formatCode>
                <c:ptCount val="5"/>
                <c:pt idx="0">
                  <c:v>498000</c:v>
                </c:pt>
                <c:pt idx="1">
                  <c:v>495000</c:v>
                </c:pt>
                <c:pt idx="2">
                  <c:v>493500</c:v>
                </c:pt>
                <c:pt idx="3">
                  <c:v>493333.33333333331</c:v>
                </c:pt>
                <c:pt idx="4">
                  <c:v>492000</c:v>
                </c:pt>
              </c:numCache>
            </c:numRef>
          </c:val>
          <c:extLst xmlns:c16r2="http://schemas.microsoft.com/office/drawing/2015/06/chart">
            <c:ext xmlns:c16="http://schemas.microsoft.com/office/drawing/2014/chart" uri="{C3380CC4-5D6E-409C-BE32-E72D297353CC}">
              <c16:uniqueId val="{00000001-0A64-394A-8D54-5AC61EFDECC5}"/>
            </c:ext>
          </c:extLst>
        </c:ser>
        <c:ser>
          <c:idx val="2"/>
          <c:order val="2"/>
          <c:tx>
            <c:v>ROW</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plot1'!$B$124:$F$124</c:f>
              <c:numCache>
                <c:formatCode>#,##0</c:formatCode>
                <c:ptCount val="5"/>
                <c:pt idx="0">
                  <c:v>48200</c:v>
                </c:pt>
                <c:pt idx="1">
                  <c:v>47600</c:v>
                </c:pt>
                <c:pt idx="2">
                  <c:v>47350</c:v>
                </c:pt>
                <c:pt idx="3">
                  <c:v>47333.333333333336</c:v>
                </c:pt>
                <c:pt idx="4">
                  <c:v>47200</c:v>
                </c:pt>
              </c:numCache>
            </c:numRef>
          </c:val>
          <c:extLst xmlns:c16r2="http://schemas.microsoft.com/office/drawing/2015/06/chart">
            <c:ext xmlns:c16="http://schemas.microsoft.com/office/drawing/2014/chart" uri="{C3380CC4-5D6E-409C-BE32-E72D297353CC}">
              <c16:uniqueId val="{00000002-0A64-394A-8D54-5AC61EFDECC5}"/>
            </c:ext>
          </c:extLst>
        </c:ser>
        <c:ser>
          <c:idx val="3"/>
          <c:order val="3"/>
          <c:tx>
            <c:v>Misc</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plot1'!$B$125:$F$125</c:f>
              <c:numCache>
                <c:formatCode>#,##0</c:formatCode>
                <c:ptCount val="5"/>
                <c:pt idx="0">
                  <c:v>172000</c:v>
                </c:pt>
                <c:pt idx="1">
                  <c:v>171000</c:v>
                </c:pt>
                <c:pt idx="2">
                  <c:v>170000</c:v>
                </c:pt>
                <c:pt idx="3">
                  <c:v>169666.66666666666</c:v>
                </c:pt>
                <c:pt idx="4">
                  <c:v>169400</c:v>
                </c:pt>
              </c:numCache>
            </c:numRef>
          </c:val>
          <c:extLst xmlns:c16r2="http://schemas.microsoft.com/office/drawing/2015/06/chart">
            <c:ext xmlns:c16="http://schemas.microsoft.com/office/drawing/2014/chart" uri="{C3380CC4-5D6E-409C-BE32-E72D297353CC}">
              <c16:uniqueId val="{00000003-0A64-394A-8D54-5AC61EFDECC5}"/>
            </c:ext>
          </c:extLst>
        </c:ser>
        <c:dLbls>
          <c:showLegendKey val="0"/>
          <c:showVal val="0"/>
          <c:showCatName val="0"/>
          <c:showSerName val="0"/>
          <c:showPercent val="0"/>
          <c:showBubbleSize val="0"/>
        </c:dLbls>
        <c:gapWidth val="150"/>
        <c:overlap val="100"/>
        <c:axId val="399118560"/>
        <c:axId val="399119104"/>
      </c:barChart>
      <c:catAx>
        <c:axId val="399118560"/>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399119104"/>
        <c:crosses val="autoZero"/>
        <c:auto val="0"/>
        <c:lblAlgn val="ctr"/>
        <c:lblOffset val="100"/>
        <c:noMultiLvlLbl val="0"/>
      </c:catAx>
      <c:valAx>
        <c:axId val="399119104"/>
        <c:scaling>
          <c:orientation val="minMax"/>
        </c:scaling>
        <c:delete val="0"/>
        <c:axPos val="l"/>
        <c:majorGridlines/>
        <c:numFmt formatCode="#,##0" sourceLinked="1"/>
        <c:majorTickMark val="out"/>
        <c:minorTickMark val="none"/>
        <c:tickLblPos val="nextTo"/>
        <c:crossAx val="399118560"/>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McCoy &amp; Rubin Eq.</a:t>
            </a:r>
          </a:p>
        </c:rich>
      </c:tx>
      <c:layout>
        <c:manualLayout>
          <c:xMode val="edge"/>
          <c:yMode val="edge"/>
          <c:x val="0.33634961234320809"/>
          <c:y val="3.2407407407407406E-2"/>
        </c:manualLayout>
      </c:layout>
      <c:overlay val="0"/>
    </c:title>
    <c:autoTitleDeleted val="0"/>
    <c:plotArea>
      <c:layout/>
      <c:barChart>
        <c:barDir val="col"/>
        <c:grouping val="stacked"/>
        <c:varyColors val="0"/>
        <c:ser>
          <c:idx val="0"/>
          <c:order val="0"/>
          <c:tx>
            <c:v>Matls</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plot1'!$I$122:$M$122</c:f>
              <c:numCache>
                <c:formatCode>#,##0</c:formatCode>
                <c:ptCount val="5"/>
                <c:pt idx="0">
                  <c:v>92000</c:v>
                </c:pt>
                <c:pt idx="1">
                  <c:v>85900</c:v>
                </c:pt>
                <c:pt idx="2">
                  <c:v>80000</c:v>
                </c:pt>
                <c:pt idx="3">
                  <c:v>77000</c:v>
                </c:pt>
                <c:pt idx="4">
                  <c:v>73200</c:v>
                </c:pt>
              </c:numCache>
            </c:numRef>
          </c:val>
          <c:extLst xmlns:c16r2="http://schemas.microsoft.com/office/drawing/2015/06/chart">
            <c:ext xmlns:c16="http://schemas.microsoft.com/office/drawing/2014/chart" uri="{C3380CC4-5D6E-409C-BE32-E72D297353CC}">
              <c16:uniqueId val="{00000000-8FA1-C24B-AF92-7CED0B641C63}"/>
            </c:ext>
          </c:extLst>
        </c:ser>
        <c:ser>
          <c:idx val="1"/>
          <c:order val="1"/>
          <c:tx>
            <c:v>Labor</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plot1'!$I$123:$M$123</c:f>
              <c:numCache>
                <c:formatCode>#,##0</c:formatCode>
                <c:ptCount val="5"/>
                <c:pt idx="0">
                  <c:v>304000</c:v>
                </c:pt>
                <c:pt idx="1">
                  <c:v>269000</c:v>
                </c:pt>
                <c:pt idx="2">
                  <c:v>237000</c:v>
                </c:pt>
                <c:pt idx="3">
                  <c:v>220333.33333333334</c:v>
                </c:pt>
                <c:pt idx="4">
                  <c:v>200000</c:v>
                </c:pt>
              </c:numCache>
            </c:numRef>
          </c:val>
          <c:extLst xmlns:c16r2="http://schemas.microsoft.com/office/drawing/2015/06/chart">
            <c:ext xmlns:c16="http://schemas.microsoft.com/office/drawing/2014/chart" uri="{C3380CC4-5D6E-409C-BE32-E72D297353CC}">
              <c16:uniqueId val="{00000001-8FA1-C24B-AF92-7CED0B641C63}"/>
            </c:ext>
          </c:extLst>
        </c:ser>
        <c:ser>
          <c:idx val="2"/>
          <c:order val="2"/>
          <c:tx>
            <c:v>ROW</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plot1'!$I$124:$M$124</c:f>
              <c:numCache>
                <c:formatCode>#,##0</c:formatCode>
                <c:ptCount val="5"/>
                <c:pt idx="0">
                  <c:v>57000</c:v>
                </c:pt>
                <c:pt idx="1">
                  <c:v>58900</c:v>
                </c:pt>
                <c:pt idx="2">
                  <c:v>61000</c:v>
                </c:pt>
                <c:pt idx="3">
                  <c:v>62000</c:v>
                </c:pt>
                <c:pt idx="4">
                  <c:v>63800</c:v>
                </c:pt>
              </c:numCache>
            </c:numRef>
          </c:val>
          <c:extLst xmlns:c16r2="http://schemas.microsoft.com/office/drawing/2015/06/chart">
            <c:ext xmlns:c16="http://schemas.microsoft.com/office/drawing/2014/chart" uri="{C3380CC4-5D6E-409C-BE32-E72D297353CC}">
              <c16:uniqueId val="{00000002-8FA1-C24B-AF92-7CED0B641C63}"/>
            </c:ext>
          </c:extLst>
        </c:ser>
        <c:ser>
          <c:idx val="3"/>
          <c:order val="3"/>
          <c:tx>
            <c:v>Misc</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plot1'!$I$125:$M$125</c:f>
              <c:numCache>
                <c:formatCode>#,##0</c:formatCode>
                <c:ptCount val="5"/>
                <c:pt idx="0">
                  <c:v>148800</c:v>
                </c:pt>
                <c:pt idx="1">
                  <c:v>128000</c:v>
                </c:pt>
                <c:pt idx="2">
                  <c:v>110000</c:v>
                </c:pt>
                <c:pt idx="3">
                  <c:v>101000</c:v>
                </c:pt>
                <c:pt idx="4">
                  <c:v>90200</c:v>
                </c:pt>
              </c:numCache>
            </c:numRef>
          </c:val>
          <c:extLst xmlns:c16r2="http://schemas.microsoft.com/office/drawing/2015/06/chart">
            <c:ext xmlns:c16="http://schemas.microsoft.com/office/drawing/2014/chart" uri="{C3380CC4-5D6E-409C-BE32-E72D297353CC}">
              <c16:uniqueId val="{00000003-8FA1-C24B-AF92-7CED0B641C63}"/>
            </c:ext>
          </c:extLst>
        </c:ser>
        <c:dLbls>
          <c:showLegendKey val="0"/>
          <c:showVal val="0"/>
          <c:showCatName val="0"/>
          <c:showSerName val="0"/>
          <c:showPercent val="0"/>
          <c:showBubbleSize val="0"/>
        </c:dLbls>
        <c:gapWidth val="150"/>
        <c:overlap val="100"/>
        <c:axId val="399119648"/>
        <c:axId val="399121280"/>
      </c:barChart>
      <c:catAx>
        <c:axId val="399119648"/>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399121280"/>
        <c:crosses val="autoZero"/>
        <c:auto val="0"/>
        <c:lblAlgn val="ctr"/>
        <c:lblOffset val="100"/>
        <c:noMultiLvlLbl val="0"/>
      </c:catAx>
      <c:valAx>
        <c:axId val="399121280"/>
        <c:scaling>
          <c:orientation val="minMax"/>
        </c:scaling>
        <c:delete val="0"/>
        <c:axPos val="l"/>
        <c:majorGridlines/>
        <c:numFmt formatCode="#,##0" sourceLinked="1"/>
        <c:majorTickMark val="out"/>
        <c:minorTickMark val="none"/>
        <c:tickLblPos val="nextTo"/>
        <c:crossAx val="399119648"/>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Rui et al. Eq. </a:t>
            </a:r>
          </a:p>
        </c:rich>
      </c:tx>
      <c:layout/>
      <c:overlay val="0"/>
    </c:title>
    <c:autoTitleDeleted val="0"/>
    <c:plotArea>
      <c:layout/>
      <c:barChart>
        <c:barDir val="col"/>
        <c:grouping val="stacked"/>
        <c:varyColors val="0"/>
        <c:ser>
          <c:idx val="0"/>
          <c:order val="0"/>
          <c:tx>
            <c:v>Matls</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plot1'!$P$122:$T$122</c:f>
              <c:numCache>
                <c:formatCode>#,##0</c:formatCode>
                <c:ptCount val="5"/>
                <c:pt idx="0">
                  <c:v>88000</c:v>
                </c:pt>
                <c:pt idx="1">
                  <c:v>80600</c:v>
                </c:pt>
                <c:pt idx="2">
                  <c:v>74000</c:v>
                </c:pt>
                <c:pt idx="3">
                  <c:v>70000</c:v>
                </c:pt>
                <c:pt idx="4">
                  <c:v>65600</c:v>
                </c:pt>
              </c:numCache>
            </c:numRef>
          </c:val>
          <c:extLst xmlns:c16r2="http://schemas.microsoft.com/office/drawing/2015/06/chart">
            <c:ext xmlns:c16="http://schemas.microsoft.com/office/drawing/2014/chart" uri="{C3380CC4-5D6E-409C-BE32-E72D297353CC}">
              <c16:uniqueId val="{00000000-CE08-4F42-A298-33DBD931A12C}"/>
            </c:ext>
          </c:extLst>
        </c:ser>
        <c:ser>
          <c:idx val="1"/>
          <c:order val="1"/>
          <c:tx>
            <c:v>Labor</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plot1'!$P$123:$T$123</c:f>
              <c:numCache>
                <c:formatCode>#,##0</c:formatCode>
                <c:ptCount val="5"/>
                <c:pt idx="0">
                  <c:v>191400</c:v>
                </c:pt>
                <c:pt idx="1">
                  <c:v>167000</c:v>
                </c:pt>
                <c:pt idx="2">
                  <c:v>146500</c:v>
                </c:pt>
                <c:pt idx="3">
                  <c:v>135666.66666666666</c:v>
                </c:pt>
                <c:pt idx="4">
                  <c:v>123000</c:v>
                </c:pt>
              </c:numCache>
            </c:numRef>
          </c:val>
          <c:extLst xmlns:c16r2="http://schemas.microsoft.com/office/drawing/2015/06/chart">
            <c:ext xmlns:c16="http://schemas.microsoft.com/office/drawing/2014/chart" uri="{C3380CC4-5D6E-409C-BE32-E72D297353CC}">
              <c16:uniqueId val="{00000001-CE08-4F42-A298-33DBD931A12C}"/>
            </c:ext>
          </c:extLst>
        </c:ser>
        <c:ser>
          <c:idx val="2"/>
          <c:order val="2"/>
          <c:tx>
            <c:v>ROW</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plot1'!$P$124:$T$124</c:f>
              <c:numCache>
                <c:formatCode>#,##0</c:formatCode>
                <c:ptCount val="5"/>
                <c:pt idx="0">
                  <c:v>75600</c:v>
                </c:pt>
                <c:pt idx="1">
                  <c:v>77000</c:v>
                </c:pt>
                <c:pt idx="2">
                  <c:v>78500</c:v>
                </c:pt>
                <c:pt idx="3">
                  <c:v>79333.333333333328</c:v>
                </c:pt>
                <c:pt idx="4">
                  <c:v>80400</c:v>
                </c:pt>
              </c:numCache>
            </c:numRef>
          </c:val>
          <c:extLst xmlns:c16r2="http://schemas.microsoft.com/office/drawing/2015/06/chart">
            <c:ext xmlns:c16="http://schemas.microsoft.com/office/drawing/2014/chart" uri="{C3380CC4-5D6E-409C-BE32-E72D297353CC}">
              <c16:uniqueId val="{00000002-CE08-4F42-A298-33DBD931A12C}"/>
            </c:ext>
          </c:extLst>
        </c:ser>
        <c:ser>
          <c:idx val="3"/>
          <c:order val="3"/>
          <c:tx>
            <c:v>Misc</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plot1'!$P$125:$T$125</c:f>
              <c:numCache>
                <c:formatCode>#,##0</c:formatCode>
                <c:ptCount val="5"/>
                <c:pt idx="0">
                  <c:v>112000</c:v>
                </c:pt>
                <c:pt idx="1">
                  <c:v>95200</c:v>
                </c:pt>
                <c:pt idx="2">
                  <c:v>81000</c:v>
                </c:pt>
                <c:pt idx="3">
                  <c:v>73666.666666666672</c:v>
                </c:pt>
                <c:pt idx="4">
                  <c:v>65200</c:v>
                </c:pt>
              </c:numCache>
            </c:numRef>
          </c:val>
          <c:extLst xmlns:c16r2="http://schemas.microsoft.com/office/drawing/2015/06/chart">
            <c:ext xmlns:c16="http://schemas.microsoft.com/office/drawing/2014/chart" uri="{C3380CC4-5D6E-409C-BE32-E72D297353CC}">
              <c16:uniqueId val="{00000003-CE08-4F42-A298-33DBD931A12C}"/>
            </c:ext>
          </c:extLst>
        </c:ser>
        <c:dLbls>
          <c:showLegendKey val="0"/>
          <c:showVal val="0"/>
          <c:showCatName val="0"/>
          <c:showSerName val="0"/>
          <c:showPercent val="0"/>
          <c:showBubbleSize val="0"/>
        </c:dLbls>
        <c:gapWidth val="150"/>
        <c:overlap val="100"/>
        <c:axId val="399121824"/>
        <c:axId val="399120192"/>
      </c:barChart>
      <c:catAx>
        <c:axId val="399121824"/>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399120192"/>
        <c:crosses val="autoZero"/>
        <c:auto val="0"/>
        <c:lblAlgn val="ctr"/>
        <c:lblOffset val="100"/>
        <c:noMultiLvlLbl val="0"/>
      </c:catAx>
      <c:valAx>
        <c:axId val="399120192"/>
        <c:scaling>
          <c:orientation val="minMax"/>
        </c:scaling>
        <c:delete val="0"/>
        <c:axPos val="l"/>
        <c:majorGridlines/>
        <c:numFmt formatCode="#,##0" sourceLinked="1"/>
        <c:majorTickMark val="out"/>
        <c:minorTickMark val="none"/>
        <c:tickLblPos val="nextTo"/>
        <c:crossAx val="399121824"/>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Parker Eq.</a:t>
            </a:r>
          </a:p>
        </c:rich>
      </c:tx>
      <c:layout/>
      <c:overlay val="0"/>
    </c:title>
    <c:autoTitleDeleted val="0"/>
    <c:plotArea>
      <c:layout/>
      <c:barChart>
        <c:barDir val="col"/>
        <c:grouping val="stacked"/>
        <c:varyColors val="0"/>
        <c:ser>
          <c:idx val="0"/>
          <c:order val="0"/>
          <c:tx>
            <c:v>Matls</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plot1'!$B$158:$F$158</c:f>
              <c:numCache>
                <c:formatCode>#,##0</c:formatCode>
                <c:ptCount val="5"/>
                <c:pt idx="0">
                  <c:v>350000</c:v>
                </c:pt>
                <c:pt idx="1">
                  <c:v>348000</c:v>
                </c:pt>
                <c:pt idx="2">
                  <c:v>348000</c:v>
                </c:pt>
                <c:pt idx="3">
                  <c:v>346666.66666666669</c:v>
                </c:pt>
                <c:pt idx="4">
                  <c:v>348000</c:v>
                </c:pt>
              </c:numCache>
            </c:numRef>
          </c:val>
          <c:extLst xmlns:c16r2="http://schemas.microsoft.com/office/drawing/2015/06/chart">
            <c:ext xmlns:c16="http://schemas.microsoft.com/office/drawing/2014/chart" uri="{C3380CC4-5D6E-409C-BE32-E72D297353CC}">
              <c16:uniqueId val="{00000000-6741-854B-8EE9-995F66B24FB1}"/>
            </c:ext>
          </c:extLst>
        </c:ser>
        <c:ser>
          <c:idx val="1"/>
          <c:order val="1"/>
          <c:tx>
            <c:v>Labor</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plot1'!$B$159:$F$159</c:f>
              <c:numCache>
                <c:formatCode>#,##0</c:formatCode>
                <c:ptCount val="5"/>
                <c:pt idx="0">
                  <c:v>708000</c:v>
                </c:pt>
                <c:pt idx="1">
                  <c:v>705000</c:v>
                </c:pt>
                <c:pt idx="2">
                  <c:v>705000</c:v>
                </c:pt>
                <c:pt idx="3">
                  <c:v>703333.33333333337</c:v>
                </c:pt>
                <c:pt idx="4">
                  <c:v>702000</c:v>
                </c:pt>
              </c:numCache>
            </c:numRef>
          </c:val>
          <c:extLst xmlns:c16r2="http://schemas.microsoft.com/office/drawing/2015/06/chart">
            <c:ext xmlns:c16="http://schemas.microsoft.com/office/drawing/2014/chart" uri="{C3380CC4-5D6E-409C-BE32-E72D297353CC}">
              <c16:uniqueId val="{00000001-6741-854B-8EE9-995F66B24FB1}"/>
            </c:ext>
          </c:extLst>
        </c:ser>
        <c:ser>
          <c:idx val="2"/>
          <c:order val="2"/>
          <c:tx>
            <c:v>ROW</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plot1'!$B$160:$F$160</c:f>
              <c:numCache>
                <c:formatCode>#,##0</c:formatCode>
                <c:ptCount val="5"/>
                <c:pt idx="0">
                  <c:v>54000</c:v>
                </c:pt>
                <c:pt idx="1">
                  <c:v>53500</c:v>
                </c:pt>
                <c:pt idx="2">
                  <c:v>53500</c:v>
                </c:pt>
                <c:pt idx="3">
                  <c:v>53333.333333333336</c:v>
                </c:pt>
                <c:pt idx="4">
                  <c:v>53200</c:v>
                </c:pt>
              </c:numCache>
            </c:numRef>
          </c:val>
          <c:extLst xmlns:c16r2="http://schemas.microsoft.com/office/drawing/2015/06/chart">
            <c:ext xmlns:c16="http://schemas.microsoft.com/office/drawing/2014/chart" uri="{C3380CC4-5D6E-409C-BE32-E72D297353CC}">
              <c16:uniqueId val="{00000002-6741-854B-8EE9-995F66B24FB1}"/>
            </c:ext>
          </c:extLst>
        </c:ser>
        <c:ser>
          <c:idx val="3"/>
          <c:order val="3"/>
          <c:tx>
            <c:v>Misc</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plot1'!$B$161:$F$161</c:f>
              <c:numCache>
                <c:formatCode>#,##0</c:formatCode>
                <c:ptCount val="5"/>
                <c:pt idx="0">
                  <c:v>278000</c:v>
                </c:pt>
                <c:pt idx="1">
                  <c:v>276000</c:v>
                </c:pt>
                <c:pt idx="2">
                  <c:v>275000</c:v>
                </c:pt>
                <c:pt idx="3">
                  <c:v>274666.66666666669</c:v>
                </c:pt>
                <c:pt idx="4">
                  <c:v>274000</c:v>
                </c:pt>
              </c:numCache>
            </c:numRef>
          </c:val>
          <c:extLst xmlns:c16r2="http://schemas.microsoft.com/office/drawing/2015/06/chart">
            <c:ext xmlns:c16="http://schemas.microsoft.com/office/drawing/2014/chart" uri="{C3380CC4-5D6E-409C-BE32-E72D297353CC}">
              <c16:uniqueId val="{00000003-6741-854B-8EE9-995F66B24FB1}"/>
            </c:ext>
          </c:extLst>
        </c:ser>
        <c:dLbls>
          <c:showLegendKey val="0"/>
          <c:showVal val="0"/>
          <c:showCatName val="0"/>
          <c:showSerName val="0"/>
          <c:showPercent val="0"/>
          <c:showBubbleSize val="0"/>
        </c:dLbls>
        <c:gapWidth val="150"/>
        <c:overlap val="100"/>
        <c:axId val="399124000"/>
        <c:axId val="399124544"/>
      </c:barChart>
      <c:catAx>
        <c:axId val="399124000"/>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399124544"/>
        <c:crosses val="autoZero"/>
        <c:auto val="0"/>
        <c:lblAlgn val="ctr"/>
        <c:lblOffset val="100"/>
        <c:noMultiLvlLbl val="0"/>
      </c:catAx>
      <c:valAx>
        <c:axId val="399124544"/>
        <c:scaling>
          <c:orientation val="minMax"/>
        </c:scaling>
        <c:delete val="0"/>
        <c:axPos val="l"/>
        <c:majorGridlines/>
        <c:numFmt formatCode="#,##0" sourceLinked="1"/>
        <c:majorTickMark val="out"/>
        <c:minorTickMark val="none"/>
        <c:tickLblPos val="nextTo"/>
        <c:crossAx val="399124000"/>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McCoy &amp; Rubin Eq.</a:t>
            </a:r>
          </a:p>
        </c:rich>
      </c:tx>
      <c:layout>
        <c:manualLayout>
          <c:xMode val="edge"/>
          <c:yMode val="edge"/>
          <c:x val="0.33634961234320809"/>
          <c:y val="3.2407407407407406E-2"/>
        </c:manualLayout>
      </c:layout>
      <c:overlay val="0"/>
    </c:title>
    <c:autoTitleDeleted val="0"/>
    <c:plotArea>
      <c:layout/>
      <c:barChart>
        <c:barDir val="col"/>
        <c:grouping val="stacked"/>
        <c:varyColors val="0"/>
        <c:ser>
          <c:idx val="0"/>
          <c:order val="0"/>
          <c:tx>
            <c:v>Matls</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plot1'!$I$158:$M$158</c:f>
              <c:numCache>
                <c:formatCode>#,##0</c:formatCode>
                <c:ptCount val="5"/>
                <c:pt idx="0">
                  <c:v>208000</c:v>
                </c:pt>
                <c:pt idx="1">
                  <c:v>194000</c:v>
                </c:pt>
                <c:pt idx="2">
                  <c:v>181000</c:v>
                </c:pt>
                <c:pt idx="3">
                  <c:v>173666.66666666666</c:v>
                </c:pt>
                <c:pt idx="4">
                  <c:v>165000</c:v>
                </c:pt>
              </c:numCache>
            </c:numRef>
          </c:val>
          <c:extLst xmlns:c16r2="http://schemas.microsoft.com/office/drawing/2015/06/chart">
            <c:ext xmlns:c16="http://schemas.microsoft.com/office/drawing/2014/chart" uri="{C3380CC4-5D6E-409C-BE32-E72D297353CC}">
              <c16:uniqueId val="{00000000-E558-ED4F-8B53-A787CADCE49B}"/>
            </c:ext>
          </c:extLst>
        </c:ser>
        <c:ser>
          <c:idx val="1"/>
          <c:order val="1"/>
          <c:tx>
            <c:v>Labor</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plot1'!$I$159:$M$159</c:f>
              <c:numCache>
                <c:formatCode>#,##0</c:formatCode>
                <c:ptCount val="5"/>
                <c:pt idx="0">
                  <c:v>492000</c:v>
                </c:pt>
                <c:pt idx="1">
                  <c:v>434000</c:v>
                </c:pt>
                <c:pt idx="2">
                  <c:v>383000</c:v>
                </c:pt>
                <c:pt idx="3">
                  <c:v>356666.66666666669</c:v>
                </c:pt>
                <c:pt idx="4">
                  <c:v>324000</c:v>
                </c:pt>
              </c:numCache>
            </c:numRef>
          </c:val>
          <c:extLst xmlns:c16r2="http://schemas.microsoft.com/office/drawing/2015/06/chart">
            <c:ext xmlns:c16="http://schemas.microsoft.com/office/drawing/2014/chart" uri="{C3380CC4-5D6E-409C-BE32-E72D297353CC}">
              <c16:uniqueId val="{00000001-E558-ED4F-8B53-A787CADCE49B}"/>
            </c:ext>
          </c:extLst>
        </c:ser>
        <c:ser>
          <c:idx val="2"/>
          <c:order val="2"/>
          <c:tx>
            <c:v>ROW</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plot1'!$I$160:$M$160</c:f>
              <c:numCache>
                <c:formatCode>#,##0</c:formatCode>
                <c:ptCount val="5"/>
                <c:pt idx="0">
                  <c:v>70000</c:v>
                </c:pt>
                <c:pt idx="1">
                  <c:v>72400</c:v>
                </c:pt>
                <c:pt idx="2">
                  <c:v>75000</c:v>
                </c:pt>
                <c:pt idx="3">
                  <c:v>76333.333333333328</c:v>
                </c:pt>
                <c:pt idx="4">
                  <c:v>78200</c:v>
                </c:pt>
              </c:numCache>
            </c:numRef>
          </c:val>
          <c:extLst xmlns:c16r2="http://schemas.microsoft.com/office/drawing/2015/06/chart">
            <c:ext xmlns:c16="http://schemas.microsoft.com/office/drawing/2014/chart" uri="{C3380CC4-5D6E-409C-BE32-E72D297353CC}">
              <c16:uniqueId val="{00000002-E558-ED4F-8B53-A787CADCE49B}"/>
            </c:ext>
          </c:extLst>
        </c:ser>
        <c:ser>
          <c:idx val="3"/>
          <c:order val="3"/>
          <c:tx>
            <c:v>Misc</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plot1'!$I$161:$M$161</c:f>
              <c:numCache>
                <c:formatCode>#,##0</c:formatCode>
                <c:ptCount val="5"/>
                <c:pt idx="0">
                  <c:v>222000</c:v>
                </c:pt>
                <c:pt idx="1">
                  <c:v>192000</c:v>
                </c:pt>
                <c:pt idx="2">
                  <c:v>165000</c:v>
                </c:pt>
                <c:pt idx="3">
                  <c:v>151000</c:v>
                </c:pt>
                <c:pt idx="4">
                  <c:v>135200</c:v>
                </c:pt>
              </c:numCache>
            </c:numRef>
          </c:val>
          <c:extLst xmlns:c16r2="http://schemas.microsoft.com/office/drawing/2015/06/chart">
            <c:ext xmlns:c16="http://schemas.microsoft.com/office/drawing/2014/chart" uri="{C3380CC4-5D6E-409C-BE32-E72D297353CC}">
              <c16:uniqueId val="{00000003-E558-ED4F-8B53-A787CADCE49B}"/>
            </c:ext>
          </c:extLst>
        </c:ser>
        <c:dLbls>
          <c:showLegendKey val="0"/>
          <c:showVal val="0"/>
          <c:showCatName val="0"/>
          <c:showSerName val="0"/>
          <c:showPercent val="0"/>
          <c:showBubbleSize val="0"/>
        </c:dLbls>
        <c:gapWidth val="150"/>
        <c:overlap val="100"/>
        <c:axId val="399127808"/>
        <c:axId val="399126176"/>
      </c:barChart>
      <c:catAx>
        <c:axId val="399127808"/>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399126176"/>
        <c:crosses val="autoZero"/>
        <c:auto val="0"/>
        <c:lblAlgn val="ctr"/>
        <c:lblOffset val="100"/>
        <c:noMultiLvlLbl val="0"/>
      </c:catAx>
      <c:valAx>
        <c:axId val="399126176"/>
        <c:scaling>
          <c:orientation val="minMax"/>
        </c:scaling>
        <c:delete val="0"/>
        <c:axPos val="l"/>
        <c:majorGridlines/>
        <c:numFmt formatCode="#,##0" sourceLinked="1"/>
        <c:majorTickMark val="out"/>
        <c:minorTickMark val="none"/>
        <c:tickLblPos val="nextTo"/>
        <c:crossAx val="399127808"/>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Rui et al. Eq. </a:t>
            </a:r>
          </a:p>
        </c:rich>
      </c:tx>
      <c:layout/>
      <c:overlay val="0"/>
    </c:title>
    <c:autoTitleDeleted val="0"/>
    <c:plotArea>
      <c:layout/>
      <c:barChart>
        <c:barDir val="col"/>
        <c:grouping val="stacked"/>
        <c:varyColors val="0"/>
        <c:ser>
          <c:idx val="0"/>
          <c:order val="0"/>
          <c:tx>
            <c:v>Matls</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plot1'!$P$158:$T$158</c:f>
              <c:numCache>
                <c:formatCode>#,##0</c:formatCode>
                <c:ptCount val="5"/>
                <c:pt idx="0">
                  <c:v>186200</c:v>
                </c:pt>
                <c:pt idx="1">
                  <c:v>171000</c:v>
                </c:pt>
                <c:pt idx="2">
                  <c:v>156000</c:v>
                </c:pt>
                <c:pt idx="3">
                  <c:v>148333.33333333334</c:v>
                </c:pt>
                <c:pt idx="4">
                  <c:v>139000</c:v>
                </c:pt>
              </c:numCache>
            </c:numRef>
          </c:val>
          <c:extLst xmlns:c16r2="http://schemas.microsoft.com/office/drawing/2015/06/chart">
            <c:ext xmlns:c16="http://schemas.microsoft.com/office/drawing/2014/chart" uri="{C3380CC4-5D6E-409C-BE32-E72D297353CC}">
              <c16:uniqueId val="{00000000-1BBA-3D4C-B571-A94613484BAB}"/>
            </c:ext>
          </c:extLst>
        </c:ser>
        <c:ser>
          <c:idx val="1"/>
          <c:order val="1"/>
          <c:tx>
            <c:v>Labor</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plot1'!$P$159:$T$159</c:f>
              <c:numCache>
                <c:formatCode>#,##0</c:formatCode>
                <c:ptCount val="5"/>
                <c:pt idx="0">
                  <c:v>306000</c:v>
                </c:pt>
                <c:pt idx="1">
                  <c:v>268000</c:v>
                </c:pt>
                <c:pt idx="2">
                  <c:v>234500</c:v>
                </c:pt>
                <c:pt idx="3">
                  <c:v>216666.66666666666</c:v>
                </c:pt>
                <c:pt idx="4">
                  <c:v>196600</c:v>
                </c:pt>
              </c:numCache>
            </c:numRef>
          </c:val>
          <c:extLst xmlns:c16r2="http://schemas.microsoft.com/office/drawing/2015/06/chart">
            <c:ext xmlns:c16="http://schemas.microsoft.com/office/drawing/2014/chart" uri="{C3380CC4-5D6E-409C-BE32-E72D297353CC}">
              <c16:uniqueId val="{00000001-1BBA-3D4C-B571-A94613484BAB}"/>
            </c:ext>
          </c:extLst>
        </c:ser>
        <c:ser>
          <c:idx val="2"/>
          <c:order val="2"/>
          <c:tx>
            <c:v>ROW</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plot1'!$P$160:$T$160</c:f>
              <c:numCache>
                <c:formatCode>#,##0</c:formatCode>
                <c:ptCount val="5"/>
                <c:pt idx="0">
                  <c:v>91800</c:v>
                </c:pt>
                <c:pt idx="1">
                  <c:v>93600</c:v>
                </c:pt>
                <c:pt idx="2">
                  <c:v>95500</c:v>
                </c:pt>
                <c:pt idx="3">
                  <c:v>96333.333333333328</c:v>
                </c:pt>
                <c:pt idx="4">
                  <c:v>97800</c:v>
                </c:pt>
              </c:numCache>
            </c:numRef>
          </c:val>
          <c:extLst xmlns:c16r2="http://schemas.microsoft.com/office/drawing/2015/06/chart">
            <c:ext xmlns:c16="http://schemas.microsoft.com/office/drawing/2014/chart" uri="{C3380CC4-5D6E-409C-BE32-E72D297353CC}">
              <c16:uniqueId val="{00000002-1BBA-3D4C-B571-A94613484BAB}"/>
            </c:ext>
          </c:extLst>
        </c:ser>
        <c:ser>
          <c:idx val="3"/>
          <c:order val="3"/>
          <c:tx>
            <c:v>Misc</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plot1'!$P$161:$T$161</c:f>
              <c:numCache>
                <c:formatCode>#,##0</c:formatCode>
                <c:ptCount val="5"/>
                <c:pt idx="0">
                  <c:v>178800</c:v>
                </c:pt>
                <c:pt idx="1">
                  <c:v>152000</c:v>
                </c:pt>
                <c:pt idx="2">
                  <c:v>129000</c:v>
                </c:pt>
                <c:pt idx="3">
                  <c:v>117333.33333333333</c:v>
                </c:pt>
                <c:pt idx="4">
                  <c:v>104200</c:v>
                </c:pt>
              </c:numCache>
            </c:numRef>
          </c:val>
          <c:extLst xmlns:c16r2="http://schemas.microsoft.com/office/drawing/2015/06/chart">
            <c:ext xmlns:c16="http://schemas.microsoft.com/office/drawing/2014/chart" uri="{C3380CC4-5D6E-409C-BE32-E72D297353CC}">
              <c16:uniqueId val="{00000003-1BBA-3D4C-B571-A94613484BAB}"/>
            </c:ext>
          </c:extLst>
        </c:ser>
        <c:dLbls>
          <c:showLegendKey val="0"/>
          <c:showVal val="0"/>
          <c:showCatName val="0"/>
          <c:showSerName val="0"/>
          <c:showPercent val="0"/>
          <c:showBubbleSize val="0"/>
        </c:dLbls>
        <c:gapWidth val="150"/>
        <c:overlap val="100"/>
        <c:axId val="399126720"/>
        <c:axId val="399127264"/>
      </c:barChart>
      <c:catAx>
        <c:axId val="399126720"/>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399127264"/>
        <c:crosses val="autoZero"/>
        <c:auto val="0"/>
        <c:lblAlgn val="ctr"/>
        <c:lblOffset val="100"/>
        <c:noMultiLvlLbl val="0"/>
      </c:catAx>
      <c:valAx>
        <c:axId val="399127264"/>
        <c:scaling>
          <c:orientation val="minMax"/>
        </c:scaling>
        <c:delete val="0"/>
        <c:axPos val="l"/>
        <c:majorGridlines/>
        <c:numFmt formatCode="#,##0" sourceLinked="1"/>
        <c:majorTickMark val="out"/>
        <c:minorTickMark val="none"/>
        <c:tickLblPos val="nextTo"/>
        <c:crossAx val="399126720"/>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Parker Eq.</a:t>
            </a:r>
          </a:p>
        </c:rich>
      </c:tx>
      <c:layout/>
      <c:overlay val="0"/>
    </c:title>
    <c:autoTitleDeleted val="0"/>
    <c:plotArea>
      <c:layout/>
      <c:barChart>
        <c:barDir val="col"/>
        <c:grouping val="stacked"/>
        <c:varyColors val="0"/>
        <c:ser>
          <c:idx val="0"/>
          <c:order val="0"/>
          <c:tx>
            <c:v>Matls</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plot1'!$B$193:$F$193</c:f>
              <c:numCache>
                <c:formatCode>#,##0</c:formatCode>
                <c:ptCount val="5"/>
                <c:pt idx="0">
                  <c:v>696000</c:v>
                </c:pt>
                <c:pt idx="1">
                  <c:v>695000</c:v>
                </c:pt>
                <c:pt idx="2">
                  <c:v>695000</c:v>
                </c:pt>
                <c:pt idx="3">
                  <c:v>693333.33333333337</c:v>
                </c:pt>
                <c:pt idx="4">
                  <c:v>694000</c:v>
                </c:pt>
              </c:numCache>
            </c:numRef>
          </c:val>
          <c:extLst xmlns:c16r2="http://schemas.microsoft.com/office/drawing/2015/06/chart">
            <c:ext xmlns:c16="http://schemas.microsoft.com/office/drawing/2014/chart" uri="{C3380CC4-5D6E-409C-BE32-E72D297353CC}">
              <c16:uniqueId val="{00000000-B3F1-6D48-B6DF-00112E27F098}"/>
            </c:ext>
          </c:extLst>
        </c:ser>
        <c:ser>
          <c:idx val="1"/>
          <c:order val="1"/>
          <c:tx>
            <c:v>Labor</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plot1'!$B$194:$F$194</c:f>
              <c:numCache>
                <c:formatCode>#,##0</c:formatCode>
                <c:ptCount val="5"/>
                <c:pt idx="0">
                  <c:v>1096000</c:v>
                </c:pt>
                <c:pt idx="1">
                  <c:v>1090000</c:v>
                </c:pt>
                <c:pt idx="2">
                  <c:v>1090000</c:v>
                </c:pt>
                <c:pt idx="3">
                  <c:v>1090000</c:v>
                </c:pt>
                <c:pt idx="4">
                  <c:v>1088000</c:v>
                </c:pt>
              </c:numCache>
            </c:numRef>
          </c:val>
          <c:extLst xmlns:c16r2="http://schemas.microsoft.com/office/drawing/2015/06/chart">
            <c:ext xmlns:c16="http://schemas.microsoft.com/office/drawing/2014/chart" uri="{C3380CC4-5D6E-409C-BE32-E72D297353CC}">
              <c16:uniqueId val="{00000001-B3F1-6D48-B6DF-00112E27F098}"/>
            </c:ext>
          </c:extLst>
        </c:ser>
        <c:ser>
          <c:idx val="2"/>
          <c:order val="2"/>
          <c:tx>
            <c:v>ROW</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plot1'!$B$195:$F$195</c:f>
              <c:numCache>
                <c:formatCode>#,##0</c:formatCode>
                <c:ptCount val="5"/>
                <c:pt idx="0">
                  <c:v>61400</c:v>
                </c:pt>
                <c:pt idx="1">
                  <c:v>60900</c:v>
                </c:pt>
                <c:pt idx="2">
                  <c:v>60500</c:v>
                </c:pt>
                <c:pt idx="3">
                  <c:v>60666.666666666664</c:v>
                </c:pt>
                <c:pt idx="4">
                  <c:v>60600</c:v>
                </c:pt>
              </c:numCache>
            </c:numRef>
          </c:val>
          <c:extLst xmlns:c16r2="http://schemas.microsoft.com/office/drawing/2015/06/chart">
            <c:ext xmlns:c16="http://schemas.microsoft.com/office/drawing/2014/chart" uri="{C3380CC4-5D6E-409C-BE32-E72D297353CC}">
              <c16:uniqueId val="{00000002-B3F1-6D48-B6DF-00112E27F098}"/>
            </c:ext>
          </c:extLst>
        </c:ser>
        <c:ser>
          <c:idx val="3"/>
          <c:order val="3"/>
          <c:tx>
            <c:v>Misc</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plot1'!$B$196:$F$196</c:f>
              <c:numCache>
                <c:formatCode>#,##0</c:formatCode>
                <c:ptCount val="5"/>
                <c:pt idx="0">
                  <c:v>408000</c:v>
                </c:pt>
                <c:pt idx="1">
                  <c:v>407000</c:v>
                </c:pt>
                <c:pt idx="2">
                  <c:v>406500</c:v>
                </c:pt>
                <c:pt idx="3">
                  <c:v>406666.66666666669</c:v>
                </c:pt>
                <c:pt idx="4">
                  <c:v>406000</c:v>
                </c:pt>
              </c:numCache>
            </c:numRef>
          </c:val>
          <c:extLst xmlns:c16r2="http://schemas.microsoft.com/office/drawing/2015/06/chart">
            <c:ext xmlns:c16="http://schemas.microsoft.com/office/drawing/2014/chart" uri="{C3380CC4-5D6E-409C-BE32-E72D297353CC}">
              <c16:uniqueId val="{00000003-B3F1-6D48-B6DF-00112E27F098}"/>
            </c:ext>
          </c:extLst>
        </c:ser>
        <c:dLbls>
          <c:showLegendKey val="0"/>
          <c:showVal val="0"/>
          <c:showCatName val="0"/>
          <c:showSerName val="0"/>
          <c:showPercent val="0"/>
          <c:showBubbleSize val="0"/>
        </c:dLbls>
        <c:gapWidth val="150"/>
        <c:overlap val="100"/>
        <c:axId val="440355120"/>
        <c:axId val="440359472"/>
      </c:barChart>
      <c:catAx>
        <c:axId val="440355120"/>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440359472"/>
        <c:crosses val="autoZero"/>
        <c:auto val="0"/>
        <c:lblAlgn val="ctr"/>
        <c:lblOffset val="100"/>
        <c:noMultiLvlLbl val="0"/>
      </c:catAx>
      <c:valAx>
        <c:axId val="440359472"/>
        <c:scaling>
          <c:orientation val="minMax"/>
        </c:scaling>
        <c:delete val="0"/>
        <c:axPos val="l"/>
        <c:majorGridlines/>
        <c:numFmt formatCode="#,##0" sourceLinked="1"/>
        <c:majorTickMark val="out"/>
        <c:minorTickMark val="none"/>
        <c:tickLblPos val="nextTo"/>
        <c:crossAx val="440355120"/>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McCoy &amp; Rubin Eq.</a:t>
            </a:r>
          </a:p>
        </c:rich>
      </c:tx>
      <c:layout>
        <c:manualLayout>
          <c:xMode val="edge"/>
          <c:yMode val="edge"/>
          <c:x val="0.33634961234320809"/>
          <c:y val="3.2407407407407406E-2"/>
        </c:manualLayout>
      </c:layout>
      <c:overlay val="0"/>
    </c:title>
    <c:autoTitleDeleted val="0"/>
    <c:plotArea>
      <c:layout/>
      <c:barChart>
        <c:barDir val="col"/>
        <c:grouping val="stacked"/>
        <c:varyColors val="0"/>
        <c:ser>
          <c:idx val="0"/>
          <c:order val="0"/>
          <c:tx>
            <c:v>Matls</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plot1'!$I$193:$M$193</c:f>
              <c:numCache>
                <c:formatCode>#,##0</c:formatCode>
                <c:ptCount val="5"/>
                <c:pt idx="0">
                  <c:v>396000</c:v>
                </c:pt>
                <c:pt idx="1">
                  <c:v>369000</c:v>
                </c:pt>
                <c:pt idx="2">
                  <c:v>344500</c:v>
                </c:pt>
                <c:pt idx="3">
                  <c:v>331000</c:v>
                </c:pt>
                <c:pt idx="4">
                  <c:v>314000</c:v>
                </c:pt>
              </c:numCache>
            </c:numRef>
          </c:val>
          <c:extLst xmlns:c16r2="http://schemas.microsoft.com/office/drawing/2015/06/chart">
            <c:ext xmlns:c16="http://schemas.microsoft.com/office/drawing/2014/chart" uri="{C3380CC4-5D6E-409C-BE32-E72D297353CC}">
              <c16:uniqueId val="{00000000-ECB1-4A4E-8632-2247B8BCC7BA}"/>
            </c:ext>
          </c:extLst>
        </c:ser>
        <c:ser>
          <c:idx val="1"/>
          <c:order val="1"/>
          <c:tx>
            <c:v>Labor</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plot1'!$I$194:$M$194</c:f>
              <c:numCache>
                <c:formatCode>#,##0</c:formatCode>
                <c:ptCount val="5"/>
                <c:pt idx="0">
                  <c:v>720000</c:v>
                </c:pt>
                <c:pt idx="1">
                  <c:v>635000</c:v>
                </c:pt>
                <c:pt idx="2">
                  <c:v>560000</c:v>
                </c:pt>
                <c:pt idx="3">
                  <c:v>520000</c:v>
                </c:pt>
                <c:pt idx="4">
                  <c:v>476000</c:v>
                </c:pt>
              </c:numCache>
            </c:numRef>
          </c:val>
          <c:extLst xmlns:c16r2="http://schemas.microsoft.com/office/drawing/2015/06/chart">
            <c:ext xmlns:c16="http://schemas.microsoft.com/office/drawing/2014/chart" uri="{C3380CC4-5D6E-409C-BE32-E72D297353CC}">
              <c16:uniqueId val="{00000001-ECB1-4A4E-8632-2247B8BCC7BA}"/>
            </c:ext>
          </c:extLst>
        </c:ser>
        <c:ser>
          <c:idx val="2"/>
          <c:order val="2"/>
          <c:tx>
            <c:v>ROW</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plot1'!$I$195:$M$195</c:f>
              <c:numCache>
                <c:formatCode>#,##0</c:formatCode>
                <c:ptCount val="5"/>
                <c:pt idx="0">
                  <c:v>82400</c:v>
                </c:pt>
                <c:pt idx="1">
                  <c:v>85200</c:v>
                </c:pt>
                <c:pt idx="2">
                  <c:v>88000</c:v>
                </c:pt>
                <c:pt idx="3">
                  <c:v>90000</c:v>
                </c:pt>
                <c:pt idx="4">
                  <c:v>92200</c:v>
                </c:pt>
              </c:numCache>
            </c:numRef>
          </c:val>
          <c:extLst xmlns:c16r2="http://schemas.microsoft.com/office/drawing/2015/06/chart">
            <c:ext xmlns:c16="http://schemas.microsoft.com/office/drawing/2014/chart" uri="{C3380CC4-5D6E-409C-BE32-E72D297353CC}">
              <c16:uniqueId val="{00000002-ECB1-4A4E-8632-2247B8BCC7BA}"/>
            </c:ext>
          </c:extLst>
        </c:ser>
        <c:ser>
          <c:idx val="3"/>
          <c:order val="3"/>
          <c:tx>
            <c:v>Misc</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plot1'!$I$196:$M$196</c:f>
              <c:numCache>
                <c:formatCode>#,##0</c:formatCode>
                <c:ptCount val="5"/>
                <c:pt idx="0">
                  <c:v>308000</c:v>
                </c:pt>
                <c:pt idx="1">
                  <c:v>264000</c:v>
                </c:pt>
                <c:pt idx="2">
                  <c:v>227500</c:v>
                </c:pt>
                <c:pt idx="3">
                  <c:v>208333.33333333334</c:v>
                </c:pt>
                <c:pt idx="4">
                  <c:v>186400</c:v>
                </c:pt>
              </c:numCache>
            </c:numRef>
          </c:val>
          <c:extLst xmlns:c16r2="http://schemas.microsoft.com/office/drawing/2015/06/chart">
            <c:ext xmlns:c16="http://schemas.microsoft.com/office/drawing/2014/chart" uri="{C3380CC4-5D6E-409C-BE32-E72D297353CC}">
              <c16:uniqueId val="{00000003-ECB1-4A4E-8632-2247B8BCC7BA}"/>
            </c:ext>
          </c:extLst>
        </c:ser>
        <c:dLbls>
          <c:showLegendKey val="0"/>
          <c:showVal val="0"/>
          <c:showCatName val="0"/>
          <c:showSerName val="0"/>
          <c:showPercent val="0"/>
          <c:showBubbleSize val="0"/>
        </c:dLbls>
        <c:gapWidth val="150"/>
        <c:overlap val="100"/>
        <c:axId val="440365456"/>
        <c:axId val="403618304"/>
      </c:barChart>
      <c:catAx>
        <c:axId val="440365456"/>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403618304"/>
        <c:crosses val="autoZero"/>
        <c:auto val="0"/>
        <c:lblAlgn val="ctr"/>
        <c:lblOffset val="100"/>
        <c:noMultiLvlLbl val="0"/>
      </c:catAx>
      <c:valAx>
        <c:axId val="403618304"/>
        <c:scaling>
          <c:orientation val="minMax"/>
        </c:scaling>
        <c:delete val="0"/>
        <c:axPos val="l"/>
        <c:majorGridlines/>
        <c:numFmt formatCode="#,##0" sourceLinked="1"/>
        <c:majorTickMark val="out"/>
        <c:minorTickMark val="none"/>
        <c:tickLblPos val="nextTo"/>
        <c:crossAx val="440365456"/>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Rui et al. Eq. </a:t>
            </a:r>
          </a:p>
        </c:rich>
      </c:tx>
      <c:layout/>
      <c:overlay val="0"/>
    </c:title>
    <c:autoTitleDeleted val="0"/>
    <c:plotArea>
      <c:layout/>
      <c:barChart>
        <c:barDir val="col"/>
        <c:grouping val="stacked"/>
        <c:varyColors val="0"/>
        <c:ser>
          <c:idx val="0"/>
          <c:order val="0"/>
          <c:tx>
            <c:v>Matls</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plot1'!$P$193:$T$193</c:f>
              <c:numCache>
                <c:formatCode>#,##0</c:formatCode>
                <c:ptCount val="5"/>
                <c:pt idx="0">
                  <c:v>338000</c:v>
                </c:pt>
                <c:pt idx="1">
                  <c:v>309000</c:v>
                </c:pt>
                <c:pt idx="2">
                  <c:v>283000</c:v>
                </c:pt>
                <c:pt idx="3">
                  <c:v>269000</c:v>
                </c:pt>
                <c:pt idx="4">
                  <c:v>252000</c:v>
                </c:pt>
              </c:numCache>
            </c:numRef>
          </c:val>
          <c:extLst xmlns:c16r2="http://schemas.microsoft.com/office/drawing/2015/06/chart">
            <c:ext xmlns:c16="http://schemas.microsoft.com/office/drawing/2014/chart" uri="{C3380CC4-5D6E-409C-BE32-E72D297353CC}">
              <c16:uniqueId val="{00000000-8FF5-1E4C-BC60-D8D298498642}"/>
            </c:ext>
          </c:extLst>
        </c:ser>
        <c:ser>
          <c:idx val="1"/>
          <c:order val="1"/>
          <c:tx>
            <c:v>Labor</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plot1'!$P$194:$T$194</c:f>
              <c:numCache>
                <c:formatCode>#,##0</c:formatCode>
                <c:ptCount val="5"/>
                <c:pt idx="0">
                  <c:v>444000</c:v>
                </c:pt>
                <c:pt idx="1">
                  <c:v>388000</c:v>
                </c:pt>
                <c:pt idx="2">
                  <c:v>340000</c:v>
                </c:pt>
                <c:pt idx="3">
                  <c:v>314666.66666666669</c:v>
                </c:pt>
                <c:pt idx="4">
                  <c:v>286000</c:v>
                </c:pt>
              </c:numCache>
            </c:numRef>
          </c:val>
          <c:extLst xmlns:c16r2="http://schemas.microsoft.com/office/drawing/2015/06/chart">
            <c:ext xmlns:c16="http://schemas.microsoft.com/office/drawing/2014/chart" uri="{C3380CC4-5D6E-409C-BE32-E72D297353CC}">
              <c16:uniqueId val="{00000001-8FF5-1E4C-BC60-D8D298498642}"/>
            </c:ext>
          </c:extLst>
        </c:ser>
        <c:ser>
          <c:idx val="2"/>
          <c:order val="2"/>
          <c:tx>
            <c:v>ROW</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plot1'!$P$195:$T$195</c:f>
              <c:numCache>
                <c:formatCode>#,##0</c:formatCode>
                <c:ptCount val="5"/>
                <c:pt idx="0">
                  <c:v>107200</c:v>
                </c:pt>
                <c:pt idx="1">
                  <c:v>109000</c:v>
                </c:pt>
                <c:pt idx="2">
                  <c:v>111500</c:v>
                </c:pt>
                <c:pt idx="3">
                  <c:v>112666.66666666667</c:v>
                </c:pt>
                <c:pt idx="4">
                  <c:v>114200</c:v>
                </c:pt>
              </c:numCache>
            </c:numRef>
          </c:val>
          <c:extLst xmlns:c16r2="http://schemas.microsoft.com/office/drawing/2015/06/chart">
            <c:ext xmlns:c16="http://schemas.microsoft.com/office/drawing/2014/chart" uri="{C3380CC4-5D6E-409C-BE32-E72D297353CC}">
              <c16:uniqueId val="{00000002-8FF5-1E4C-BC60-D8D298498642}"/>
            </c:ext>
          </c:extLst>
        </c:ser>
        <c:ser>
          <c:idx val="3"/>
          <c:order val="3"/>
          <c:tx>
            <c:v>Misc</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plot1'!$P$196:$T$196</c:f>
              <c:numCache>
                <c:formatCode>#,##0</c:formatCode>
                <c:ptCount val="5"/>
                <c:pt idx="0">
                  <c:v>260000</c:v>
                </c:pt>
                <c:pt idx="1">
                  <c:v>220000</c:v>
                </c:pt>
                <c:pt idx="2">
                  <c:v>187000</c:v>
                </c:pt>
                <c:pt idx="3">
                  <c:v>170333.33333333334</c:v>
                </c:pt>
                <c:pt idx="4">
                  <c:v>151000</c:v>
                </c:pt>
              </c:numCache>
            </c:numRef>
          </c:val>
          <c:extLst xmlns:c16r2="http://schemas.microsoft.com/office/drawing/2015/06/chart">
            <c:ext xmlns:c16="http://schemas.microsoft.com/office/drawing/2014/chart" uri="{C3380CC4-5D6E-409C-BE32-E72D297353CC}">
              <c16:uniqueId val="{00000003-8FF5-1E4C-BC60-D8D298498642}"/>
            </c:ext>
          </c:extLst>
        </c:ser>
        <c:dLbls>
          <c:showLegendKey val="0"/>
          <c:showVal val="0"/>
          <c:showCatName val="0"/>
          <c:showSerName val="0"/>
          <c:showPercent val="0"/>
          <c:showBubbleSize val="0"/>
        </c:dLbls>
        <c:gapWidth val="150"/>
        <c:overlap val="100"/>
        <c:axId val="403622656"/>
        <c:axId val="403621024"/>
      </c:barChart>
      <c:catAx>
        <c:axId val="403622656"/>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403621024"/>
        <c:crosses val="autoZero"/>
        <c:auto val="0"/>
        <c:lblAlgn val="ctr"/>
        <c:lblOffset val="100"/>
        <c:noMultiLvlLbl val="0"/>
      </c:catAx>
      <c:valAx>
        <c:axId val="403621024"/>
        <c:scaling>
          <c:orientation val="minMax"/>
        </c:scaling>
        <c:delete val="0"/>
        <c:axPos val="l"/>
        <c:majorGridlines/>
        <c:numFmt formatCode="#,##0" sourceLinked="1"/>
        <c:majorTickMark val="out"/>
        <c:minorTickMark val="none"/>
        <c:tickLblPos val="nextTo"/>
        <c:crossAx val="403622656"/>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12 in Pipe---Parker Eq.</a:t>
            </a:r>
          </a:p>
        </c:rich>
      </c:tx>
      <c:layout/>
      <c:overlay val="0"/>
    </c:title>
    <c:autoTitleDeleted val="0"/>
    <c:plotArea>
      <c:layout/>
      <c:barChart>
        <c:barDir val="col"/>
        <c:grouping val="stacked"/>
        <c:varyColors val="0"/>
        <c:ser>
          <c:idx val="0"/>
          <c:order val="0"/>
          <c:tx>
            <c:v>Matls</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plot1'!$B$122:$F$122</c:f>
              <c:numCache>
                <c:formatCode>#,##0</c:formatCode>
                <c:ptCount val="5"/>
                <c:pt idx="0">
                  <c:v>168000</c:v>
                </c:pt>
                <c:pt idx="1">
                  <c:v>167000</c:v>
                </c:pt>
                <c:pt idx="2">
                  <c:v>167000</c:v>
                </c:pt>
                <c:pt idx="3">
                  <c:v>166666.66666666666</c:v>
                </c:pt>
                <c:pt idx="4">
                  <c:v>166600</c:v>
                </c:pt>
              </c:numCache>
            </c:numRef>
          </c:val>
          <c:extLst xmlns:c16r2="http://schemas.microsoft.com/office/drawing/2015/06/chart">
            <c:ext xmlns:c16="http://schemas.microsoft.com/office/drawing/2014/chart" uri="{C3380CC4-5D6E-409C-BE32-E72D297353CC}">
              <c16:uniqueId val="{00000000-C0CC-024D-A318-1EB83D3A164C}"/>
            </c:ext>
          </c:extLst>
        </c:ser>
        <c:ser>
          <c:idx val="1"/>
          <c:order val="1"/>
          <c:tx>
            <c:v>Labor</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plot1'!$B$123:$F$123</c:f>
              <c:numCache>
                <c:formatCode>#,##0</c:formatCode>
                <c:ptCount val="5"/>
                <c:pt idx="0">
                  <c:v>498000</c:v>
                </c:pt>
                <c:pt idx="1">
                  <c:v>495000</c:v>
                </c:pt>
                <c:pt idx="2">
                  <c:v>493500</c:v>
                </c:pt>
                <c:pt idx="3">
                  <c:v>493333.33333333331</c:v>
                </c:pt>
                <c:pt idx="4">
                  <c:v>492000</c:v>
                </c:pt>
              </c:numCache>
            </c:numRef>
          </c:val>
          <c:extLst xmlns:c16r2="http://schemas.microsoft.com/office/drawing/2015/06/chart">
            <c:ext xmlns:c16="http://schemas.microsoft.com/office/drawing/2014/chart" uri="{C3380CC4-5D6E-409C-BE32-E72D297353CC}">
              <c16:uniqueId val="{00000001-C0CC-024D-A318-1EB83D3A164C}"/>
            </c:ext>
          </c:extLst>
        </c:ser>
        <c:ser>
          <c:idx val="2"/>
          <c:order val="2"/>
          <c:tx>
            <c:v>ROW</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plot1'!$B$124:$F$124</c:f>
              <c:numCache>
                <c:formatCode>#,##0</c:formatCode>
                <c:ptCount val="5"/>
                <c:pt idx="0">
                  <c:v>48200</c:v>
                </c:pt>
                <c:pt idx="1">
                  <c:v>47600</c:v>
                </c:pt>
                <c:pt idx="2">
                  <c:v>47350</c:v>
                </c:pt>
                <c:pt idx="3">
                  <c:v>47333.333333333336</c:v>
                </c:pt>
                <c:pt idx="4">
                  <c:v>47200</c:v>
                </c:pt>
              </c:numCache>
            </c:numRef>
          </c:val>
          <c:extLst xmlns:c16r2="http://schemas.microsoft.com/office/drawing/2015/06/chart">
            <c:ext xmlns:c16="http://schemas.microsoft.com/office/drawing/2014/chart" uri="{C3380CC4-5D6E-409C-BE32-E72D297353CC}">
              <c16:uniqueId val="{00000002-C0CC-024D-A318-1EB83D3A164C}"/>
            </c:ext>
          </c:extLst>
        </c:ser>
        <c:ser>
          <c:idx val="3"/>
          <c:order val="3"/>
          <c:tx>
            <c:v>Misc</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plot1'!$B$125:$F$125</c:f>
              <c:numCache>
                <c:formatCode>#,##0</c:formatCode>
                <c:ptCount val="5"/>
                <c:pt idx="0">
                  <c:v>172000</c:v>
                </c:pt>
                <c:pt idx="1">
                  <c:v>171000</c:v>
                </c:pt>
                <c:pt idx="2">
                  <c:v>170000</c:v>
                </c:pt>
                <c:pt idx="3">
                  <c:v>169666.66666666666</c:v>
                </c:pt>
                <c:pt idx="4">
                  <c:v>169400</c:v>
                </c:pt>
              </c:numCache>
            </c:numRef>
          </c:val>
          <c:extLst xmlns:c16r2="http://schemas.microsoft.com/office/drawing/2015/06/chart">
            <c:ext xmlns:c16="http://schemas.microsoft.com/office/drawing/2014/chart" uri="{C3380CC4-5D6E-409C-BE32-E72D297353CC}">
              <c16:uniqueId val="{00000003-C0CC-024D-A318-1EB83D3A164C}"/>
            </c:ext>
          </c:extLst>
        </c:ser>
        <c:dLbls>
          <c:showLegendKey val="0"/>
          <c:showVal val="0"/>
          <c:showCatName val="0"/>
          <c:showSerName val="0"/>
          <c:showPercent val="0"/>
          <c:showBubbleSize val="0"/>
        </c:dLbls>
        <c:gapWidth val="150"/>
        <c:overlap val="100"/>
        <c:axId val="403624832"/>
        <c:axId val="403625376"/>
      </c:barChart>
      <c:catAx>
        <c:axId val="403624832"/>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403625376"/>
        <c:crosses val="autoZero"/>
        <c:auto val="0"/>
        <c:lblAlgn val="ctr"/>
        <c:lblOffset val="100"/>
        <c:noMultiLvlLbl val="0"/>
      </c:catAx>
      <c:valAx>
        <c:axId val="403625376"/>
        <c:scaling>
          <c:orientation val="minMax"/>
        </c:scaling>
        <c:delete val="0"/>
        <c:axPos val="l"/>
        <c:majorGridlines/>
        <c:numFmt formatCode="#,##0" sourceLinked="1"/>
        <c:majorTickMark val="out"/>
        <c:minorTickMark val="none"/>
        <c:tickLblPos val="nextTo"/>
        <c:crossAx val="40362483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12 in Pipe--McCoy &amp; Rubin Eq.</a:t>
            </a:r>
          </a:p>
        </c:rich>
      </c:tx>
      <c:layout>
        <c:manualLayout>
          <c:xMode val="edge"/>
          <c:yMode val="edge"/>
          <c:x val="0.33634961234320809"/>
          <c:y val="3.2407407407407406E-2"/>
        </c:manualLayout>
      </c:layout>
      <c:overlay val="0"/>
    </c:title>
    <c:autoTitleDeleted val="0"/>
    <c:plotArea>
      <c:layout/>
      <c:barChart>
        <c:barDir val="col"/>
        <c:grouping val="stacked"/>
        <c:varyColors val="0"/>
        <c:ser>
          <c:idx val="0"/>
          <c:order val="0"/>
          <c:tx>
            <c:v>Matls</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plot1'!$I$122:$M$122</c:f>
              <c:numCache>
                <c:formatCode>#,##0</c:formatCode>
                <c:ptCount val="5"/>
                <c:pt idx="0">
                  <c:v>92000</c:v>
                </c:pt>
                <c:pt idx="1">
                  <c:v>85900</c:v>
                </c:pt>
                <c:pt idx="2">
                  <c:v>80000</c:v>
                </c:pt>
                <c:pt idx="3">
                  <c:v>77000</c:v>
                </c:pt>
                <c:pt idx="4">
                  <c:v>73200</c:v>
                </c:pt>
              </c:numCache>
            </c:numRef>
          </c:val>
          <c:extLst xmlns:c16r2="http://schemas.microsoft.com/office/drawing/2015/06/chart">
            <c:ext xmlns:c16="http://schemas.microsoft.com/office/drawing/2014/chart" uri="{C3380CC4-5D6E-409C-BE32-E72D297353CC}">
              <c16:uniqueId val="{00000000-CD82-5E4B-AB13-2E0027F0EC28}"/>
            </c:ext>
          </c:extLst>
        </c:ser>
        <c:ser>
          <c:idx val="1"/>
          <c:order val="1"/>
          <c:tx>
            <c:v>Labor</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plot1'!$I$123:$M$123</c:f>
              <c:numCache>
                <c:formatCode>#,##0</c:formatCode>
                <c:ptCount val="5"/>
                <c:pt idx="0">
                  <c:v>304000</c:v>
                </c:pt>
                <c:pt idx="1">
                  <c:v>269000</c:v>
                </c:pt>
                <c:pt idx="2">
                  <c:v>237000</c:v>
                </c:pt>
                <c:pt idx="3">
                  <c:v>220333.33333333334</c:v>
                </c:pt>
                <c:pt idx="4">
                  <c:v>200000</c:v>
                </c:pt>
              </c:numCache>
            </c:numRef>
          </c:val>
          <c:extLst xmlns:c16r2="http://schemas.microsoft.com/office/drawing/2015/06/chart">
            <c:ext xmlns:c16="http://schemas.microsoft.com/office/drawing/2014/chart" uri="{C3380CC4-5D6E-409C-BE32-E72D297353CC}">
              <c16:uniqueId val="{00000001-CD82-5E4B-AB13-2E0027F0EC28}"/>
            </c:ext>
          </c:extLst>
        </c:ser>
        <c:ser>
          <c:idx val="2"/>
          <c:order val="2"/>
          <c:tx>
            <c:v>ROW</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plot1'!$I$124:$M$124</c:f>
              <c:numCache>
                <c:formatCode>#,##0</c:formatCode>
                <c:ptCount val="5"/>
                <c:pt idx="0">
                  <c:v>57000</c:v>
                </c:pt>
                <c:pt idx="1">
                  <c:v>58900</c:v>
                </c:pt>
                <c:pt idx="2">
                  <c:v>61000</c:v>
                </c:pt>
                <c:pt idx="3">
                  <c:v>62000</c:v>
                </c:pt>
                <c:pt idx="4">
                  <c:v>63800</c:v>
                </c:pt>
              </c:numCache>
            </c:numRef>
          </c:val>
          <c:extLst xmlns:c16r2="http://schemas.microsoft.com/office/drawing/2015/06/chart">
            <c:ext xmlns:c16="http://schemas.microsoft.com/office/drawing/2014/chart" uri="{C3380CC4-5D6E-409C-BE32-E72D297353CC}">
              <c16:uniqueId val="{00000002-CD82-5E4B-AB13-2E0027F0EC28}"/>
            </c:ext>
          </c:extLst>
        </c:ser>
        <c:ser>
          <c:idx val="3"/>
          <c:order val="3"/>
          <c:tx>
            <c:v>Misc</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plot1'!$I$125:$M$125</c:f>
              <c:numCache>
                <c:formatCode>#,##0</c:formatCode>
                <c:ptCount val="5"/>
                <c:pt idx="0">
                  <c:v>148800</c:v>
                </c:pt>
                <c:pt idx="1">
                  <c:v>128000</c:v>
                </c:pt>
                <c:pt idx="2">
                  <c:v>110000</c:v>
                </c:pt>
                <c:pt idx="3">
                  <c:v>101000</c:v>
                </c:pt>
                <c:pt idx="4">
                  <c:v>90200</c:v>
                </c:pt>
              </c:numCache>
            </c:numRef>
          </c:val>
          <c:extLst xmlns:c16r2="http://schemas.microsoft.com/office/drawing/2015/06/chart">
            <c:ext xmlns:c16="http://schemas.microsoft.com/office/drawing/2014/chart" uri="{C3380CC4-5D6E-409C-BE32-E72D297353CC}">
              <c16:uniqueId val="{00000003-CD82-5E4B-AB13-2E0027F0EC28}"/>
            </c:ext>
          </c:extLst>
        </c:ser>
        <c:dLbls>
          <c:showLegendKey val="0"/>
          <c:showVal val="0"/>
          <c:showCatName val="0"/>
          <c:showSerName val="0"/>
          <c:showPercent val="0"/>
          <c:showBubbleSize val="0"/>
        </c:dLbls>
        <c:gapWidth val="150"/>
        <c:overlap val="100"/>
        <c:axId val="403615584"/>
        <c:axId val="403616128"/>
      </c:barChart>
      <c:catAx>
        <c:axId val="403615584"/>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403616128"/>
        <c:crosses val="autoZero"/>
        <c:auto val="0"/>
        <c:lblAlgn val="ctr"/>
        <c:lblOffset val="100"/>
        <c:noMultiLvlLbl val="0"/>
      </c:catAx>
      <c:valAx>
        <c:axId val="403616128"/>
        <c:scaling>
          <c:orientation val="minMax"/>
        </c:scaling>
        <c:delete val="0"/>
        <c:axPos val="l"/>
        <c:majorGridlines/>
        <c:numFmt formatCode="#,##0" sourceLinked="1"/>
        <c:majorTickMark val="out"/>
        <c:minorTickMark val="none"/>
        <c:tickLblPos val="nextTo"/>
        <c:crossAx val="403615584"/>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12 in Pipe--Rui et al. Eq. </a:t>
            </a:r>
          </a:p>
        </c:rich>
      </c:tx>
      <c:layout/>
      <c:overlay val="0"/>
    </c:title>
    <c:autoTitleDeleted val="0"/>
    <c:plotArea>
      <c:layout/>
      <c:barChart>
        <c:barDir val="col"/>
        <c:grouping val="stacked"/>
        <c:varyColors val="0"/>
        <c:ser>
          <c:idx val="0"/>
          <c:order val="0"/>
          <c:tx>
            <c:v>Matls</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plot1'!$P$122:$T$122</c:f>
              <c:numCache>
                <c:formatCode>#,##0</c:formatCode>
                <c:ptCount val="5"/>
                <c:pt idx="0">
                  <c:v>88000</c:v>
                </c:pt>
                <c:pt idx="1">
                  <c:v>80600</c:v>
                </c:pt>
                <c:pt idx="2">
                  <c:v>74000</c:v>
                </c:pt>
                <c:pt idx="3">
                  <c:v>70000</c:v>
                </c:pt>
                <c:pt idx="4">
                  <c:v>65600</c:v>
                </c:pt>
              </c:numCache>
            </c:numRef>
          </c:val>
          <c:extLst xmlns:c16r2="http://schemas.microsoft.com/office/drawing/2015/06/chart">
            <c:ext xmlns:c16="http://schemas.microsoft.com/office/drawing/2014/chart" uri="{C3380CC4-5D6E-409C-BE32-E72D297353CC}">
              <c16:uniqueId val="{00000000-2943-E241-B346-89C9FA200B94}"/>
            </c:ext>
          </c:extLst>
        </c:ser>
        <c:ser>
          <c:idx val="1"/>
          <c:order val="1"/>
          <c:tx>
            <c:v>Labor</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plot1'!$P$123:$T$123</c:f>
              <c:numCache>
                <c:formatCode>#,##0</c:formatCode>
                <c:ptCount val="5"/>
                <c:pt idx="0">
                  <c:v>191400</c:v>
                </c:pt>
                <c:pt idx="1">
                  <c:v>167000</c:v>
                </c:pt>
                <c:pt idx="2">
                  <c:v>146500</c:v>
                </c:pt>
                <c:pt idx="3">
                  <c:v>135666.66666666666</c:v>
                </c:pt>
                <c:pt idx="4">
                  <c:v>123000</c:v>
                </c:pt>
              </c:numCache>
            </c:numRef>
          </c:val>
          <c:extLst xmlns:c16r2="http://schemas.microsoft.com/office/drawing/2015/06/chart">
            <c:ext xmlns:c16="http://schemas.microsoft.com/office/drawing/2014/chart" uri="{C3380CC4-5D6E-409C-BE32-E72D297353CC}">
              <c16:uniqueId val="{00000001-2943-E241-B346-89C9FA200B94}"/>
            </c:ext>
          </c:extLst>
        </c:ser>
        <c:ser>
          <c:idx val="2"/>
          <c:order val="2"/>
          <c:tx>
            <c:v>ROW</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plot1'!$P$124:$T$124</c:f>
              <c:numCache>
                <c:formatCode>#,##0</c:formatCode>
                <c:ptCount val="5"/>
                <c:pt idx="0">
                  <c:v>75600</c:v>
                </c:pt>
                <c:pt idx="1">
                  <c:v>77000</c:v>
                </c:pt>
                <c:pt idx="2">
                  <c:v>78500</c:v>
                </c:pt>
                <c:pt idx="3">
                  <c:v>79333.333333333328</c:v>
                </c:pt>
                <c:pt idx="4">
                  <c:v>80400</c:v>
                </c:pt>
              </c:numCache>
            </c:numRef>
          </c:val>
          <c:extLst xmlns:c16r2="http://schemas.microsoft.com/office/drawing/2015/06/chart">
            <c:ext xmlns:c16="http://schemas.microsoft.com/office/drawing/2014/chart" uri="{C3380CC4-5D6E-409C-BE32-E72D297353CC}">
              <c16:uniqueId val="{00000002-2943-E241-B346-89C9FA200B94}"/>
            </c:ext>
          </c:extLst>
        </c:ser>
        <c:ser>
          <c:idx val="3"/>
          <c:order val="3"/>
          <c:tx>
            <c:v>Misc</c:v>
          </c:tx>
          <c:invertIfNegative val="0"/>
          <c:cat>
            <c:numRef>
              <c:f>'Pipe Cap plot1'!$B$121:$F$121</c:f>
              <c:numCache>
                <c:formatCode>General</c:formatCode>
                <c:ptCount val="5"/>
                <c:pt idx="0">
                  <c:v>50</c:v>
                </c:pt>
                <c:pt idx="1">
                  <c:v>100</c:v>
                </c:pt>
                <c:pt idx="2">
                  <c:v>200</c:v>
                </c:pt>
                <c:pt idx="3">
                  <c:v>300</c:v>
                </c:pt>
                <c:pt idx="4">
                  <c:v>500</c:v>
                </c:pt>
              </c:numCache>
            </c:numRef>
          </c:cat>
          <c:val>
            <c:numRef>
              <c:f>'Pipe Cap plot1'!$P$125:$T$125</c:f>
              <c:numCache>
                <c:formatCode>#,##0</c:formatCode>
                <c:ptCount val="5"/>
                <c:pt idx="0">
                  <c:v>112000</c:v>
                </c:pt>
                <c:pt idx="1">
                  <c:v>95200</c:v>
                </c:pt>
                <c:pt idx="2">
                  <c:v>81000</c:v>
                </c:pt>
                <c:pt idx="3">
                  <c:v>73666.666666666672</c:v>
                </c:pt>
                <c:pt idx="4">
                  <c:v>65200</c:v>
                </c:pt>
              </c:numCache>
            </c:numRef>
          </c:val>
          <c:extLst xmlns:c16r2="http://schemas.microsoft.com/office/drawing/2015/06/chart">
            <c:ext xmlns:c16="http://schemas.microsoft.com/office/drawing/2014/chart" uri="{C3380CC4-5D6E-409C-BE32-E72D297353CC}">
              <c16:uniqueId val="{00000003-2943-E241-B346-89C9FA200B94}"/>
            </c:ext>
          </c:extLst>
        </c:ser>
        <c:dLbls>
          <c:showLegendKey val="0"/>
          <c:showVal val="0"/>
          <c:showCatName val="0"/>
          <c:showSerName val="0"/>
          <c:showPercent val="0"/>
          <c:showBubbleSize val="0"/>
        </c:dLbls>
        <c:gapWidth val="150"/>
        <c:overlap val="100"/>
        <c:axId val="403616672"/>
        <c:axId val="403621568"/>
      </c:barChart>
      <c:catAx>
        <c:axId val="403616672"/>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403621568"/>
        <c:crosses val="autoZero"/>
        <c:auto val="0"/>
        <c:lblAlgn val="ctr"/>
        <c:lblOffset val="100"/>
        <c:noMultiLvlLbl val="0"/>
      </c:catAx>
      <c:valAx>
        <c:axId val="403621568"/>
        <c:scaling>
          <c:orientation val="minMax"/>
        </c:scaling>
        <c:delete val="0"/>
        <c:axPos val="l"/>
        <c:majorGridlines/>
        <c:numFmt formatCode="#,##0" sourceLinked="1"/>
        <c:majorTickMark val="out"/>
        <c:minorTickMark val="none"/>
        <c:tickLblPos val="nextTo"/>
        <c:crossAx val="40361667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20 in Pipe--Parker Eq.</a:t>
            </a:r>
          </a:p>
        </c:rich>
      </c:tx>
      <c:layout/>
      <c:overlay val="0"/>
    </c:title>
    <c:autoTitleDeleted val="0"/>
    <c:plotArea>
      <c:layout/>
      <c:barChart>
        <c:barDir val="col"/>
        <c:grouping val="stacked"/>
        <c:varyColors val="0"/>
        <c:ser>
          <c:idx val="0"/>
          <c:order val="0"/>
          <c:tx>
            <c:v>Matls</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plot1'!$B$158:$F$158</c:f>
              <c:numCache>
                <c:formatCode>#,##0</c:formatCode>
                <c:ptCount val="5"/>
                <c:pt idx="0">
                  <c:v>350000</c:v>
                </c:pt>
                <c:pt idx="1">
                  <c:v>348000</c:v>
                </c:pt>
                <c:pt idx="2">
                  <c:v>348000</c:v>
                </c:pt>
                <c:pt idx="3">
                  <c:v>346666.66666666669</c:v>
                </c:pt>
                <c:pt idx="4">
                  <c:v>348000</c:v>
                </c:pt>
              </c:numCache>
            </c:numRef>
          </c:val>
          <c:extLst xmlns:c16r2="http://schemas.microsoft.com/office/drawing/2015/06/chart">
            <c:ext xmlns:c16="http://schemas.microsoft.com/office/drawing/2014/chart" uri="{C3380CC4-5D6E-409C-BE32-E72D297353CC}">
              <c16:uniqueId val="{00000000-8D53-F14D-8126-7FBA31123D05}"/>
            </c:ext>
          </c:extLst>
        </c:ser>
        <c:ser>
          <c:idx val="1"/>
          <c:order val="1"/>
          <c:tx>
            <c:v>Labor</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plot1'!$B$159:$F$159</c:f>
              <c:numCache>
                <c:formatCode>#,##0</c:formatCode>
                <c:ptCount val="5"/>
                <c:pt idx="0">
                  <c:v>708000</c:v>
                </c:pt>
                <c:pt idx="1">
                  <c:v>705000</c:v>
                </c:pt>
                <c:pt idx="2">
                  <c:v>705000</c:v>
                </c:pt>
                <c:pt idx="3">
                  <c:v>703333.33333333337</c:v>
                </c:pt>
                <c:pt idx="4">
                  <c:v>702000</c:v>
                </c:pt>
              </c:numCache>
            </c:numRef>
          </c:val>
          <c:extLst xmlns:c16r2="http://schemas.microsoft.com/office/drawing/2015/06/chart">
            <c:ext xmlns:c16="http://schemas.microsoft.com/office/drawing/2014/chart" uri="{C3380CC4-5D6E-409C-BE32-E72D297353CC}">
              <c16:uniqueId val="{00000001-8D53-F14D-8126-7FBA31123D05}"/>
            </c:ext>
          </c:extLst>
        </c:ser>
        <c:ser>
          <c:idx val="2"/>
          <c:order val="2"/>
          <c:tx>
            <c:v>ROW</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plot1'!$B$160:$F$160</c:f>
              <c:numCache>
                <c:formatCode>#,##0</c:formatCode>
                <c:ptCount val="5"/>
                <c:pt idx="0">
                  <c:v>54000</c:v>
                </c:pt>
                <c:pt idx="1">
                  <c:v>53500</c:v>
                </c:pt>
                <c:pt idx="2">
                  <c:v>53500</c:v>
                </c:pt>
                <c:pt idx="3">
                  <c:v>53333.333333333336</c:v>
                </c:pt>
                <c:pt idx="4">
                  <c:v>53200</c:v>
                </c:pt>
              </c:numCache>
            </c:numRef>
          </c:val>
          <c:extLst xmlns:c16r2="http://schemas.microsoft.com/office/drawing/2015/06/chart">
            <c:ext xmlns:c16="http://schemas.microsoft.com/office/drawing/2014/chart" uri="{C3380CC4-5D6E-409C-BE32-E72D297353CC}">
              <c16:uniqueId val="{00000002-8D53-F14D-8126-7FBA31123D05}"/>
            </c:ext>
          </c:extLst>
        </c:ser>
        <c:ser>
          <c:idx val="3"/>
          <c:order val="3"/>
          <c:tx>
            <c:v>Misc</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plot1'!$B$161:$F$161</c:f>
              <c:numCache>
                <c:formatCode>#,##0</c:formatCode>
                <c:ptCount val="5"/>
                <c:pt idx="0">
                  <c:v>278000</c:v>
                </c:pt>
                <c:pt idx="1">
                  <c:v>276000</c:v>
                </c:pt>
                <c:pt idx="2">
                  <c:v>275000</c:v>
                </c:pt>
                <c:pt idx="3">
                  <c:v>274666.66666666669</c:v>
                </c:pt>
                <c:pt idx="4">
                  <c:v>274000</c:v>
                </c:pt>
              </c:numCache>
            </c:numRef>
          </c:val>
          <c:extLst xmlns:c16r2="http://schemas.microsoft.com/office/drawing/2015/06/chart">
            <c:ext xmlns:c16="http://schemas.microsoft.com/office/drawing/2014/chart" uri="{C3380CC4-5D6E-409C-BE32-E72D297353CC}">
              <c16:uniqueId val="{00000003-8D53-F14D-8126-7FBA31123D05}"/>
            </c:ext>
          </c:extLst>
        </c:ser>
        <c:dLbls>
          <c:showLegendKey val="0"/>
          <c:showVal val="0"/>
          <c:showCatName val="0"/>
          <c:showSerName val="0"/>
          <c:showPercent val="0"/>
          <c:showBubbleSize val="0"/>
        </c:dLbls>
        <c:gapWidth val="150"/>
        <c:overlap val="100"/>
        <c:axId val="403625920"/>
        <c:axId val="403627008"/>
      </c:barChart>
      <c:catAx>
        <c:axId val="403625920"/>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403627008"/>
        <c:crosses val="autoZero"/>
        <c:auto val="0"/>
        <c:lblAlgn val="ctr"/>
        <c:lblOffset val="100"/>
        <c:noMultiLvlLbl val="0"/>
      </c:catAx>
      <c:valAx>
        <c:axId val="403627008"/>
        <c:scaling>
          <c:orientation val="minMax"/>
        </c:scaling>
        <c:delete val="0"/>
        <c:axPos val="l"/>
        <c:majorGridlines/>
        <c:numFmt formatCode="#,##0" sourceLinked="1"/>
        <c:majorTickMark val="out"/>
        <c:minorTickMark val="none"/>
        <c:tickLblPos val="nextTo"/>
        <c:crossAx val="403625920"/>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b="1" i="0" u="none" strike="noStrike" baseline="0">
                <a:effectLst/>
              </a:rPr>
              <a:t>20 in Pipe--</a:t>
            </a:r>
            <a:r>
              <a:rPr lang="en-US" sz="1000"/>
              <a:t>McCoy &amp; Rubin Eq.</a:t>
            </a:r>
          </a:p>
        </c:rich>
      </c:tx>
      <c:layout>
        <c:manualLayout>
          <c:xMode val="edge"/>
          <c:yMode val="edge"/>
          <c:x val="0.33634961234320809"/>
          <c:y val="3.2407407407407406E-2"/>
        </c:manualLayout>
      </c:layout>
      <c:overlay val="0"/>
    </c:title>
    <c:autoTitleDeleted val="0"/>
    <c:plotArea>
      <c:layout/>
      <c:barChart>
        <c:barDir val="col"/>
        <c:grouping val="stacked"/>
        <c:varyColors val="0"/>
        <c:ser>
          <c:idx val="0"/>
          <c:order val="0"/>
          <c:tx>
            <c:v>Matls</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plot1'!$I$158:$M$158</c:f>
              <c:numCache>
                <c:formatCode>#,##0</c:formatCode>
                <c:ptCount val="5"/>
                <c:pt idx="0">
                  <c:v>208000</c:v>
                </c:pt>
                <c:pt idx="1">
                  <c:v>194000</c:v>
                </c:pt>
                <c:pt idx="2">
                  <c:v>181000</c:v>
                </c:pt>
                <c:pt idx="3">
                  <c:v>173666.66666666666</c:v>
                </c:pt>
                <c:pt idx="4">
                  <c:v>165000</c:v>
                </c:pt>
              </c:numCache>
            </c:numRef>
          </c:val>
          <c:extLst xmlns:c16r2="http://schemas.microsoft.com/office/drawing/2015/06/chart">
            <c:ext xmlns:c16="http://schemas.microsoft.com/office/drawing/2014/chart" uri="{C3380CC4-5D6E-409C-BE32-E72D297353CC}">
              <c16:uniqueId val="{00000000-E272-074B-B992-0F1587DB3FC7}"/>
            </c:ext>
          </c:extLst>
        </c:ser>
        <c:ser>
          <c:idx val="1"/>
          <c:order val="1"/>
          <c:tx>
            <c:v>Labor</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plot1'!$I$159:$M$159</c:f>
              <c:numCache>
                <c:formatCode>#,##0</c:formatCode>
                <c:ptCount val="5"/>
                <c:pt idx="0">
                  <c:v>492000</c:v>
                </c:pt>
                <c:pt idx="1">
                  <c:v>434000</c:v>
                </c:pt>
                <c:pt idx="2">
                  <c:v>383000</c:v>
                </c:pt>
                <c:pt idx="3">
                  <c:v>356666.66666666669</c:v>
                </c:pt>
                <c:pt idx="4">
                  <c:v>324000</c:v>
                </c:pt>
              </c:numCache>
            </c:numRef>
          </c:val>
          <c:extLst xmlns:c16r2="http://schemas.microsoft.com/office/drawing/2015/06/chart">
            <c:ext xmlns:c16="http://schemas.microsoft.com/office/drawing/2014/chart" uri="{C3380CC4-5D6E-409C-BE32-E72D297353CC}">
              <c16:uniqueId val="{00000001-E272-074B-B992-0F1587DB3FC7}"/>
            </c:ext>
          </c:extLst>
        </c:ser>
        <c:ser>
          <c:idx val="2"/>
          <c:order val="2"/>
          <c:tx>
            <c:v>ROW</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plot1'!$I$160:$M$160</c:f>
              <c:numCache>
                <c:formatCode>#,##0</c:formatCode>
                <c:ptCount val="5"/>
                <c:pt idx="0">
                  <c:v>70000</c:v>
                </c:pt>
                <c:pt idx="1">
                  <c:v>72400</c:v>
                </c:pt>
                <c:pt idx="2">
                  <c:v>75000</c:v>
                </c:pt>
                <c:pt idx="3">
                  <c:v>76333.333333333328</c:v>
                </c:pt>
                <c:pt idx="4">
                  <c:v>78200</c:v>
                </c:pt>
              </c:numCache>
            </c:numRef>
          </c:val>
          <c:extLst xmlns:c16r2="http://schemas.microsoft.com/office/drawing/2015/06/chart">
            <c:ext xmlns:c16="http://schemas.microsoft.com/office/drawing/2014/chart" uri="{C3380CC4-5D6E-409C-BE32-E72D297353CC}">
              <c16:uniqueId val="{00000002-E272-074B-B992-0F1587DB3FC7}"/>
            </c:ext>
          </c:extLst>
        </c:ser>
        <c:ser>
          <c:idx val="3"/>
          <c:order val="3"/>
          <c:tx>
            <c:v>Misc</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plot1'!$I$161:$M$161</c:f>
              <c:numCache>
                <c:formatCode>#,##0</c:formatCode>
                <c:ptCount val="5"/>
                <c:pt idx="0">
                  <c:v>222000</c:v>
                </c:pt>
                <c:pt idx="1">
                  <c:v>192000</c:v>
                </c:pt>
                <c:pt idx="2">
                  <c:v>165000</c:v>
                </c:pt>
                <c:pt idx="3">
                  <c:v>151000</c:v>
                </c:pt>
                <c:pt idx="4">
                  <c:v>135200</c:v>
                </c:pt>
              </c:numCache>
            </c:numRef>
          </c:val>
          <c:extLst xmlns:c16r2="http://schemas.microsoft.com/office/drawing/2015/06/chart">
            <c:ext xmlns:c16="http://schemas.microsoft.com/office/drawing/2014/chart" uri="{C3380CC4-5D6E-409C-BE32-E72D297353CC}">
              <c16:uniqueId val="{00000003-E272-074B-B992-0F1587DB3FC7}"/>
            </c:ext>
          </c:extLst>
        </c:ser>
        <c:dLbls>
          <c:showLegendKey val="0"/>
          <c:showVal val="0"/>
          <c:showCatName val="0"/>
          <c:showSerName val="0"/>
          <c:showPercent val="0"/>
          <c:showBubbleSize val="0"/>
        </c:dLbls>
        <c:gapWidth val="150"/>
        <c:overlap val="100"/>
        <c:axId val="403613952"/>
        <c:axId val="403626464"/>
      </c:barChart>
      <c:catAx>
        <c:axId val="403613952"/>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403626464"/>
        <c:crosses val="autoZero"/>
        <c:auto val="0"/>
        <c:lblAlgn val="ctr"/>
        <c:lblOffset val="100"/>
        <c:noMultiLvlLbl val="0"/>
      </c:catAx>
      <c:valAx>
        <c:axId val="403626464"/>
        <c:scaling>
          <c:orientation val="minMax"/>
        </c:scaling>
        <c:delete val="0"/>
        <c:axPos val="l"/>
        <c:majorGridlines/>
        <c:numFmt formatCode="#,##0" sourceLinked="1"/>
        <c:majorTickMark val="out"/>
        <c:minorTickMark val="none"/>
        <c:tickLblPos val="nextTo"/>
        <c:crossAx val="40361395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b="1" i="0" u="none" strike="noStrike" baseline="0">
                <a:effectLst/>
              </a:rPr>
              <a:t>20 in Pipe--</a:t>
            </a:r>
            <a:r>
              <a:rPr lang="en-US" sz="1000"/>
              <a:t>Rui et al. Eq. </a:t>
            </a:r>
          </a:p>
        </c:rich>
      </c:tx>
      <c:layout/>
      <c:overlay val="0"/>
    </c:title>
    <c:autoTitleDeleted val="0"/>
    <c:plotArea>
      <c:layout/>
      <c:barChart>
        <c:barDir val="col"/>
        <c:grouping val="stacked"/>
        <c:varyColors val="0"/>
        <c:ser>
          <c:idx val="0"/>
          <c:order val="0"/>
          <c:tx>
            <c:v>Matls</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plot1'!$P$158:$T$158</c:f>
              <c:numCache>
                <c:formatCode>#,##0</c:formatCode>
                <c:ptCount val="5"/>
                <c:pt idx="0">
                  <c:v>186200</c:v>
                </c:pt>
                <c:pt idx="1">
                  <c:v>171000</c:v>
                </c:pt>
                <c:pt idx="2">
                  <c:v>156000</c:v>
                </c:pt>
                <c:pt idx="3">
                  <c:v>148333.33333333334</c:v>
                </c:pt>
                <c:pt idx="4">
                  <c:v>139000</c:v>
                </c:pt>
              </c:numCache>
            </c:numRef>
          </c:val>
          <c:extLst xmlns:c16r2="http://schemas.microsoft.com/office/drawing/2015/06/chart">
            <c:ext xmlns:c16="http://schemas.microsoft.com/office/drawing/2014/chart" uri="{C3380CC4-5D6E-409C-BE32-E72D297353CC}">
              <c16:uniqueId val="{00000000-5BB0-6F4F-ACBF-18A7E1FAD961}"/>
            </c:ext>
          </c:extLst>
        </c:ser>
        <c:ser>
          <c:idx val="1"/>
          <c:order val="1"/>
          <c:tx>
            <c:v>Labor</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plot1'!$P$159:$T$159</c:f>
              <c:numCache>
                <c:formatCode>#,##0</c:formatCode>
                <c:ptCount val="5"/>
                <c:pt idx="0">
                  <c:v>306000</c:v>
                </c:pt>
                <c:pt idx="1">
                  <c:v>268000</c:v>
                </c:pt>
                <c:pt idx="2">
                  <c:v>234500</c:v>
                </c:pt>
                <c:pt idx="3">
                  <c:v>216666.66666666666</c:v>
                </c:pt>
                <c:pt idx="4">
                  <c:v>196600</c:v>
                </c:pt>
              </c:numCache>
            </c:numRef>
          </c:val>
          <c:extLst xmlns:c16r2="http://schemas.microsoft.com/office/drawing/2015/06/chart">
            <c:ext xmlns:c16="http://schemas.microsoft.com/office/drawing/2014/chart" uri="{C3380CC4-5D6E-409C-BE32-E72D297353CC}">
              <c16:uniqueId val="{00000001-5BB0-6F4F-ACBF-18A7E1FAD961}"/>
            </c:ext>
          </c:extLst>
        </c:ser>
        <c:ser>
          <c:idx val="2"/>
          <c:order val="2"/>
          <c:tx>
            <c:v>ROW</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plot1'!$P$160:$T$160</c:f>
              <c:numCache>
                <c:formatCode>#,##0</c:formatCode>
                <c:ptCount val="5"/>
                <c:pt idx="0">
                  <c:v>91800</c:v>
                </c:pt>
                <c:pt idx="1">
                  <c:v>93600</c:v>
                </c:pt>
                <c:pt idx="2">
                  <c:v>95500</c:v>
                </c:pt>
                <c:pt idx="3">
                  <c:v>96333.333333333328</c:v>
                </c:pt>
                <c:pt idx="4">
                  <c:v>97800</c:v>
                </c:pt>
              </c:numCache>
            </c:numRef>
          </c:val>
          <c:extLst xmlns:c16r2="http://schemas.microsoft.com/office/drawing/2015/06/chart">
            <c:ext xmlns:c16="http://schemas.microsoft.com/office/drawing/2014/chart" uri="{C3380CC4-5D6E-409C-BE32-E72D297353CC}">
              <c16:uniqueId val="{00000002-5BB0-6F4F-ACBF-18A7E1FAD961}"/>
            </c:ext>
          </c:extLst>
        </c:ser>
        <c:ser>
          <c:idx val="3"/>
          <c:order val="3"/>
          <c:tx>
            <c:v>Misc</c:v>
          </c:tx>
          <c:invertIfNegative val="0"/>
          <c:cat>
            <c:numRef>
              <c:f>'Pipe Cap plot1'!$B$157:$F$157</c:f>
              <c:numCache>
                <c:formatCode>General</c:formatCode>
                <c:ptCount val="5"/>
                <c:pt idx="0">
                  <c:v>50</c:v>
                </c:pt>
                <c:pt idx="1">
                  <c:v>100</c:v>
                </c:pt>
                <c:pt idx="2">
                  <c:v>200</c:v>
                </c:pt>
                <c:pt idx="3">
                  <c:v>300</c:v>
                </c:pt>
                <c:pt idx="4">
                  <c:v>500</c:v>
                </c:pt>
              </c:numCache>
            </c:numRef>
          </c:cat>
          <c:val>
            <c:numRef>
              <c:f>'Pipe Cap plot1'!$P$161:$T$161</c:f>
              <c:numCache>
                <c:formatCode>#,##0</c:formatCode>
                <c:ptCount val="5"/>
                <c:pt idx="0">
                  <c:v>178800</c:v>
                </c:pt>
                <c:pt idx="1">
                  <c:v>152000</c:v>
                </c:pt>
                <c:pt idx="2">
                  <c:v>129000</c:v>
                </c:pt>
                <c:pt idx="3">
                  <c:v>117333.33333333333</c:v>
                </c:pt>
                <c:pt idx="4">
                  <c:v>104200</c:v>
                </c:pt>
              </c:numCache>
            </c:numRef>
          </c:val>
          <c:extLst xmlns:c16r2="http://schemas.microsoft.com/office/drawing/2015/06/chart">
            <c:ext xmlns:c16="http://schemas.microsoft.com/office/drawing/2014/chart" uri="{C3380CC4-5D6E-409C-BE32-E72D297353CC}">
              <c16:uniqueId val="{00000003-5BB0-6F4F-ACBF-18A7E1FAD961}"/>
            </c:ext>
          </c:extLst>
        </c:ser>
        <c:dLbls>
          <c:showLegendKey val="0"/>
          <c:showVal val="0"/>
          <c:showCatName val="0"/>
          <c:showSerName val="0"/>
          <c:showPercent val="0"/>
          <c:showBubbleSize val="0"/>
        </c:dLbls>
        <c:gapWidth val="150"/>
        <c:overlap val="100"/>
        <c:axId val="403623744"/>
        <c:axId val="403617216"/>
      </c:barChart>
      <c:catAx>
        <c:axId val="403623744"/>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403617216"/>
        <c:crosses val="autoZero"/>
        <c:auto val="0"/>
        <c:lblAlgn val="ctr"/>
        <c:lblOffset val="100"/>
        <c:noMultiLvlLbl val="0"/>
      </c:catAx>
      <c:valAx>
        <c:axId val="403617216"/>
        <c:scaling>
          <c:orientation val="minMax"/>
        </c:scaling>
        <c:delete val="0"/>
        <c:axPos val="l"/>
        <c:majorGridlines/>
        <c:numFmt formatCode="#,##0" sourceLinked="1"/>
        <c:majorTickMark val="out"/>
        <c:minorTickMark val="none"/>
        <c:tickLblPos val="nextTo"/>
        <c:crossAx val="403623744"/>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b="1" i="0" u="none" strike="noStrike" baseline="0">
                <a:effectLst/>
              </a:rPr>
              <a:t>30 in Pipe--</a:t>
            </a:r>
            <a:r>
              <a:rPr lang="en-US" sz="1000"/>
              <a:t>Parker Eq.</a:t>
            </a:r>
          </a:p>
        </c:rich>
      </c:tx>
      <c:layout/>
      <c:overlay val="0"/>
    </c:title>
    <c:autoTitleDeleted val="0"/>
    <c:plotArea>
      <c:layout/>
      <c:barChart>
        <c:barDir val="col"/>
        <c:grouping val="stacked"/>
        <c:varyColors val="0"/>
        <c:ser>
          <c:idx val="0"/>
          <c:order val="0"/>
          <c:tx>
            <c:v>Matls</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plot1'!$B$193:$F$193</c:f>
              <c:numCache>
                <c:formatCode>#,##0</c:formatCode>
                <c:ptCount val="5"/>
                <c:pt idx="0">
                  <c:v>696000</c:v>
                </c:pt>
                <c:pt idx="1">
                  <c:v>695000</c:v>
                </c:pt>
                <c:pt idx="2">
                  <c:v>695000</c:v>
                </c:pt>
                <c:pt idx="3">
                  <c:v>693333.33333333337</c:v>
                </c:pt>
                <c:pt idx="4">
                  <c:v>694000</c:v>
                </c:pt>
              </c:numCache>
            </c:numRef>
          </c:val>
          <c:extLst xmlns:c16r2="http://schemas.microsoft.com/office/drawing/2015/06/chart">
            <c:ext xmlns:c16="http://schemas.microsoft.com/office/drawing/2014/chart" uri="{C3380CC4-5D6E-409C-BE32-E72D297353CC}">
              <c16:uniqueId val="{00000000-FBF7-7544-ACFA-41F2637E0B56}"/>
            </c:ext>
          </c:extLst>
        </c:ser>
        <c:ser>
          <c:idx val="1"/>
          <c:order val="1"/>
          <c:tx>
            <c:v>Labor</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plot1'!$B$194:$F$194</c:f>
              <c:numCache>
                <c:formatCode>#,##0</c:formatCode>
                <c:ptCount val="5"/>
                <c:pt idx="0">
                  <c:v>1096000</c:v>
                </c:pt>
                <c:pt idx="1">
                  <c:v>1090000</c:v>
                </c:pt>
                <c:pt idx="2">
                  <c:v>1090000</c:v>
                </c:pt>
                <c:pt idx="3">
                  <c:v>1090000</c:v>
                </c:pt>
                <c:pt idx="4">
                  <c:v>1088000</c:v>
                </c:pt>
              </c:numCache>
            </c:numRef>
          </c:val>
          <c:extLst xmlns:c16r2="http://schemas.microsoft.com/office/drawing/2015/06/chart">
            <c:ext xmlns:c16="http://schemas.microsoft.com/office/drawing/2014/chart" uri="{C3380CC4-5D6E-409C-BE32-E72D297353CC}">
              <c16:uniqueId val="{00000001-FBF7-7544-ACFA-41F2637E0B56}"/>
            </c:ext>
          </c:extLst>
        </c:ser>
        <c:ser>
          <c:idx val="2"/>
          <c:order val="2"/>
          <c:tx>
            <c:v>ROW</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plot1'!$B$195:$F$195</c:f>
              <c:numCache>
                <c:formatCode>#,##0</c:formatCode>
                <c:ptCount val="5"/>
                <c:pt idx="0">
                  <c:v>61400</c:v>
                </c:pt>
                <c:pt idx="1">
                  <c:v>60900</c:v>
                </c:pt>
                <c:pt idx="2">
                  <c:v>60500</c:v>
                </c:pt>
                <c:pt idx="3">
                  <c:v>60666.666666666664</c:v>
                </c:pt>
                <c:pt idx="4">
                  <c:v>60600</c:v>
                </c:pt>
              </c:numCache>
            </c:numRef>
          </c:val>
          <c:extLst xmlns:c16r2="http://schemas.microsoft.com/office/drawing/2015/06/chart">
            <c:ext xmlns:c16="http://schemas.microsoft.com/office/drawing/2014/chart" uri="{C3380CC4-5D6E-409C-BE32-E72D297353CC}">
              <c16:uniqueId val="{00000002-FBF7-7544-ACFA-41F2637E0B56}"/>
            </c:ext>
          </c:extLst>
        </c:ser>
        <c:ser>
          <c:idx val="3"/>
          <c:order val="3"/>
          <c:tx>
            <c:v>Misc</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plot1'!$B$196:$F$196</c:f>
              <c:numCache>
                <c:formatCode>#,##0</c:formatCode>
                <c:ptCount val="5"/>
                <c:pt idx="0">
                  <c:v>408000</c:v>
                </c:pt>
                <c:pt idx="1">
                  <c:v>407000</c:v>
                </c:pt>
                <c:pt idx="2">
                  <c:v>406500</c:v>
                </c:pt>
                <c:pt idx="3">
                  <c:v>406666.66666666669</c:v>
                </c:pt>
                <c:pt idx="4">
                  <c:v>406000</c:v>
                </c:pt>
              </c:numCache>
            </c:numRef>
          </c:val>
          <c:extLst xmlns:c16r2="http://schemas.microsoft.com/office/drawing/2015/06/chart">
            <c:ext xmlns:c16="http://schemas.microsoft.com/office/drawing/2014/chart" uri="{C3380CC4-5D6E-409C-BE32-E72D297353CC}">
              <c16:uniqueId val="{00000003-FBF7-7544-ACFA-41F2637E0B56}"/>
            </c:ext>
          </c:extLst>
        </c:ser>
        <c:dLbls>
          <c:showLegendKey val="0"/>
          <c:showVal val="0"/>
          <c:showCatName val="0"/>
          <c:showSerName val="0"/>
          <c:showPercent val="0"/>
          <c:showBubbleSize val="0"/>
        </c:dLbls>
        <c:gapWidth val="150"/>
        <c:overlap val="100"/>
        <c:axId val="403614496"/>
        <c:axId val="403615040"/>
      </c:barChart>
      <c:catAx>
        <c:axId val="403614496"/>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403615040"/>
        <c:crosses val="autoZero"/>
        <c:auto val="0"/>
        <c:lblAlgn val="ctr"/>
        <c:lblOffset val="100"/>
        <c:noMultiLvlLbl val="0"/>
      </c:catAx>
      <c:valAx>
        <c:axId val="403615040"/>
        <c:scaling>
          <c:orientation val="minMax"/>
        </c:scaling>
        <c:delete val="0"/>
        <c:axPos val="l"/>
        <c:majorGridlines/>
        <c:numFmt formatCode="#,##0" sourceLinked="1"/>
        <c:majorTickMark val="out"/>
        <c:minorTickMark val="none"/>
        <c:tickLblPos val="nextTo"/>
        <c:crossAx val="403614496"/>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b="1" i="0" u="none" strike="noStrike" baseline="0">
                <a:effectLst/>
              </a:rPr>
              <a:t>30 in Pipe--</a:t>
            </a:r>
            <a:r>
              <a:rPr lang="en-US" sz="1000"/>
              <a:t>McCoy &amp; Rubin Eq.</a:t>
            </a:r>
          </a:p>
        </c:rich>
      </c:tx>
      <c:layout>
        <c:manualLayout>
          <c:xMode val="edge"/>
          <c:yMode val="edge"/>
          <c:x val="0.33634961234320809"/>
          <c:y val="3.2407407407407406E-2"/>
        </c:manualLayout>
      </c:layout>
      <c:overlay val="0"/>
    </c:title>
    <c:autoTitleDeleted val="0"/>
    <c:plotArea>
      <c:layout/>
      <c:barChart>
        <c:barDir val="col"/>
        <c:grouping val="stacked"/>
        <c:varyColors val="0"/>
        <c:ser>
          <c:idx val="0"/>
          <c:order val="0"/>
          <c:tx>
            <c:v>Matls</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plot1'!$I$193:$M$193</c:f>
              <c:numCache>
                <c:formatCode>#,##0</c:formatCode>
                <c:ptCount val="5"/>
                <c:pt idx="0">
                  <c:v>396000</c:v>
                </c:pt>
                <c:pt idx="1">
                  <c:v>369000</c:v>
                </c:pt>
                <c:pt idx="2">
                  <c:v>344500</c:v>
                </c:pt>
                <c:pt idx="3">
                  <c:v>331000</c:v>
                </c:pt>
                <c:pt idx="4">
                  <c:v>314000</c:v>
                </c:pt>
              </c:numCache>
            </c:numRef>
          </c:val>
          <c:extLst xmlns:c16r2="http://schemas.microsoft.com/office/drawing/2015/06/chart">
            <c:ext xmlns:c16="http://schemas.microsoft.com/office/drawing/2014/chart" uri="{C3380CC4-5D6E-409C-BE32-E72D297353CC}">
              <c16:uniqueId val="{00000000-EF2A-464A-BA48-39E98A37D3FA}"/>
            </c:ext>
          </c:extLst>
        </c:ser>
        <c:ser>
          <c:idx val="1"/>
          <c:order val="1"/>
          <c:tx>
            <c:v>Labor</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plot1'!$I$194:$M$194</c:f>
              <c:numCache>
                <c:formatCode>#,##0</c:formatCode>
                <c:ptCount val="5"/>
                <c:pt idx="0">
                  <c:v>720000</c:v>
                </c:pt>
                <c:pt idx="1">
                  <c:v>635000</c:v>
                </c:pt>
                <c:pt idx="2">
                  <c:v>560000</c:v>
                </c:pt>
                <c:pt idx="3">
                  <c:v>520000</c:v>
                </c:pt>
                <c:pt idx="4">
                  <c:v>476000</c:v>
                </c:pt>
              </c:numCache>
            </c:numRef>
          </c:val>
          <c:extLst xmlns:c16r2="http://schemas.microsoft.com/office/drawing/2015/06/chart">
            <c:ext xmlns:c16="http://schemas.microsoft.com/office/drawing/2014/chart" uri="{C3380CC4-5D6E-409C-BE32-E72D297353CC}">
              <c16:uniqueId val="{00000001-EF2A-464A-BA48-39E98A37D3FA}"/>
            </c:ext>
          </c:extLst>
        </c:ser>
        <c:ser>
          <c:idx val="2"/>
          <c:order val="2"/>
          <c:tx>
            <c:v>ROW</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plot1'!$I$195:$M$195</c:f>
              <c:numCache>
                <c:formatCode>#,##0</c:formatCode>
                <c:ptCount val="5"/>
                <c:pt idx="0">
                  <c:v>82400</c:v>
                </c:pt>
                <c:pt idx="1">
                  <c:v>85200</c:v>
                </c:pt>
                <c:pt idx="2">
                  <c:v>88000</c:v>
                </c:pt>
                <c:pt idx="3">
                  <c:v>90000</c:v>
                </c:pt>
                <c:pt idx="4">
                  <c:v>92200</c:v>
                </c:pt>
              </c:numCache>
            </c:numRef>
          </c:val>
          <c:extLst xmlns:c16r2="http://schemas.microsoft.com/office/drawing/2015/06/chart">
            <c:ext xmlns:c16="http://schemas.microsoft.com/office/drawing/2014/chart" uri="{C3380CC4-5D6E-409C-BE32-E72D297353CC}">
              <c16:uniqueId val="{00000002-EF2A-464A-BA48-39E98A37D3FA}"/>
            </c:ext>
          </c:extLst>
        </c:ser>
        <c:ser>
          <c:idx val="3"/>
          <c:order val="3"/>
          <c:tx>
            <c:v>Misc</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plot1'!$I$196:$M$196</c:f>
              <c:numCache>
                <c:formatCode>#,##0</c:formatCode>
                <c:ptCount val="5"/>
                <c:pt idx="0">
                  <c:v>308000</c:v>
                </c:pt>
                <c:pt idx="1">
                  <c:v>264000</c:v>
                </c:pt>
                <c:pt idx="2">
                  <c:v>227500</c:v>
                </c:pt>
                <c:pt idx="3">
                  <c:v>208333.33333333334</c:v>
                </c:pt>
                <c:pt idx="4">
                  <c:v>186400</c:v>
                </c:pt>
              </c:numCache>
            </c:numRef>
          </c:val>
          <c:extLst xmlns:c16r2="http://schemas.microsoft.com/office/drawing/2015/06/chart">
            <c:ext xmlns:c16="http://schemas.microsoft.com/office/drawing/2014/chart" uri="{C3380CC4-5D6E-409C-BE32-E72D297353CC}">
              <c16:uniqueId val="{00000003-EF2A-464A-BA48-39E98A37D3FA}"/>
            </c:ext>
          </c:extLst>
        </c:ser>
        <c:dLbls>
          <c:showLegendKey val="0"/>
          <c:showVal val="0"/>
          <c:showCatName val="0"/>
          <c:showSerName val="0"/>
          <c:showPercent val="0"/>
          <c:showBubbleSize val="0"/>
        </c:dLbls>
        <c:gapWidth val="150"/>
        <c:overlap val="100"/>
        <c:axId val="403617760"/>
        <c:axId val="403622112"/>
      </c:barChart>
      <c:catAx>
        <c:axId val="403617760"/>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403622112"/>
        <c:crosses val="autoZero"/>
        <c:auto val="0"/>
        <c:lblAlgn val="ctr"/>
        <c:lblOffset val="100"/>
        <c:noMultiLvlLbl val="0"/>
      </c:catAx>
      <c:valAx>
        <c:axId val="403622112"/>
        <c:scaling>
          <c:orientation val="minMax"/>
        </c:scaling>
        <c:delete val="0"/>
        <c:axPos val="l"/>
        <c:majorGridlines/>
        <c:numFmt formatCode="#,##0" sourceLinked="1"/>
        <c:majorTickMark val="out"/>
        <c:minorTickMark val="none"/>
        <c:tickLblPos val="nextTo"/>
        <c:crossAx val="403617760"/>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b="1" i="0" u="none" strike="noStrike" baseline="0">
                <a:effectLst/>
              </a:rPr>
              <a:t>30 in Pipe--</a:t>
            </a:r>
            <a:r>
              <a:rPr lang="en-US" sz="1000"/>
              <a:t>Rui et al. Eq. </a:t>
            </a:r>
          </a:p>
        </c:rich>
      </c:tx>
      <c:layout/>
      <c:overlay val="0"/>
    </c:title>
    <c:autoTitleDeleted val="0"/>
    <c:plotArea>
      <c:layout/>
      <c:barChart>
        <c:barDir val="col"/>
        <c:grouping val="stacked"/>
        <c:varyColors val="0"/>
        <c:ser>
          <c:idx val="0"/>
          <c:order val="0"/>
          <c:tx>
            <c:v>Matls</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plot1'!$P$193:$T$193</c:f>
              <c:numCache>
                <c:formatCode>#,##0</c:formatCode>
                <c:ptCount val="5"/>
                <c:pt idx="0">
                  <c:v>338000</c:v>
                </c:pt>
                <c:pt idx="1">
                  <c:v>309000</c:v>
                </c:pt>
                <c:pt idx="2">
                  <c:v>283000</c:v>
                </c:pt>
                <c:pt idx="3">
                  <c:v>269000</c:v>
                </c:pt>
                <c:pt idx="4">
                  <c:v>252000</c:v>
                </c:pt>
              </c:numCache>
            </c:numRef>
          </c:val>
          <c:extLst xmlns:c16r2="http://schemas.microsoft.com/office/drawing/2015/06/chart">
            <c:ext xmlns:c16="http://schemas.microsoft.com/office/drawing/2014/chart" uri="{C3380CC4-5D6E-409C-BE32-E72D297353CC}">
              <c16:uniqueId val="{00000000-6CAC-2F4A-881D-90034447CBB4}"/>
            </c:ext>
          </c:extLst>
        </c:ser>
        <c:ser>
          <c:idx val="1"/>
          <c:order val="1"/>
          <c:tx>
            <c:v>Labor</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plot1'!$P$194:$T$194</c:f>
              <c:numCache>
                <c:formatCode>#,##0</c:formatCode>
                <c:ptCount val="5"/>
                <c:pt idx="0">
                  <c:v>444000</c:v>
                </c:pt>
                <c:pt idx="1">
                  <c:v>388000</c:v>
                </c:pt>
                <c:pt idx="2">
                  <c:v>340000</c:v>
                </c:pt>
                <c:pt idx="3">
                  <c:v>314666.66666666669</c:v>
                </c:pt>
                <c:pt idx="4">
                  <c:v>286000</c:v>
                </c:pt>
              </c:numCache>
            </c:numRef>
          </c:val>
          <c:extLst xmlns:c16r2="http://schemas.microsoft.com/office/drawing/2015/06/chart">
            <c:ext xmlns:c16="http://schemas.microsoft.com/office/drawing/2014/chart" uri="{C3380CC4-5D6E-409C-BE32-E72D297353CC}">
              <c16:uniqueId val="{00000001-6CAC-2F4A-881D-90034447CBB4}"/>
            </c:ext>
          </c:extLst>
        </c:ser>
        <c:ser>
          <c:idx val="2"/>
          <c:order val="2"/>
          <c:tx>
            <c:v>ROW</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plot1'!$P$195:$T$195</c:f>
              <c:numCache>
                <c:formatCode>#,##0</c:formatCode>
                <c:ptCount val="5"/>
                <c:pt idx="0">
                  <c:v>107200</c:v>
                </c:pt>
                <c:pt idx="1">
                  <c:v>109000</c:v>
                </c:pt>
                <c:pt idx="2">
                  <c:v>111500</c:v>
                </c:pt>
                <c:pt idx="3">
                  <c:v>112666.66666666667</c:v>
                </c:pt>
                <c:pt idx="4">
                  <c:v>114200</c:v>
                </c:pt>
              </c:numCache>
            </c:numRef>
          </c:val>
          <c:extLst xmlns:c16r2="http://schemas.microsoft.com/office/drawing/2015/06/chart">
            <c:ext xmlns:c16="http://schemas.microsoft.com/office/drawing/2014/chart" uri="{C3380CC4-5D6E-409C-BE32-E72D297353CC}">
              <c16:uniqueId val="{00000002-6CAC-2F4A-881D-90034447CBB4}"/>
            </c:ext>
          </c:extLst>
        </c:ser>
        <c:ser>
          <c:idx val="3"/>
          <c:order val="3"/>
          <c:tx>
            <c:v>Misc</c:v>
          </c:tx>
          <c:invertIfNegative val="0"/>
          <c:cat>
            <c:numRef>
              <c:f>'Pipe Cap plot1'!$B$192:$F$192</c:f>
              <c:numCache>
                <c:formatCode>General</c:formatCode>
                <c:ptCount val="5"/>
                <c:pt idx="0">
                  <c:v>50</c:v>
                </c:pt>
                <c:pt idx="1">
                  <c:v>100</c:v>
                </c:pt>
                <c:pt idx="2">
                  <c:v>200</c:v>
                </c:pt>
                <c:pt idx="3">
                  <c:v>300</c:v>
                </c:pt>
                <c:pt idx="4">
                  <c:v>500</c:v>
                </c:pt>
              </c:numCache>
            </c:numRef>
          </c:cat>
          <c:val>
            <c:numRef>
              <c:f>'Pipe Cap plot1'!$P$196:$T$196</c:f>
              <c:numCache>
                <c:formatCode>#,##0</c:formatCode>
                <c:ptCount val="5"/>
                <c:pt idx="0">
                  <c:v>260000</c:v>
                </c:pt>
                <c:pt idx="1">
                  <c:v>220000</c:v>
                </c:pt>
                <c:pt idx="2">
                  <c:v>187000</c:v>
                </c:pt>
                <c:pt idx="3">
                  <c:v>170333.33333333334</c:v>
                </c:pt>
                <c:pt idx="4">
                  <c:v>151000</c:v>
                </c:pt>
              </c:numCache>
            </c:numRef>
          </c:val>
          <c:extLst xmlns:c16r2="http://schemas.microsoft.com/office/drawing/2015/06/chart">
            <c:ext xmlns:c16="http://schemas.microsoft.com/office/drawing/2014/chart" uri="{C3380CC4-5D6E-409C-BE32-E72D297353CC}">
              <c16:uniqueId val="{00000003-6CAC-2F4A-881D-90034447CBB4}"/>
            </c:ext>
          </c:extLst>
        </c:ser>
        <c:dLbls>
          <c:showLegendKey val="0"/>
          <c:showVal val="0"/>
          <c:showCatName val="0"/>
          <c:showSerName val="0"/>
          <c:showPercent val="0"/>
          <c:showBubbleSize val="0"/>
        </c:dLbls>
        <c:gapWidth val="150"/>
        <c:overlap val="100"/>
        <c:axId val="403624288"/>
        <c:axId val="403628096"/>
      </c:barChart>
      <c:catAx>
        <c:axId val="403624288"/>
        <c:scaling>
          <c:orientation val="minMax"/>
        </c:scaling>
        <c:delete val="0"/>
        <c:axPos val="b"/>
        <c:title>
          <c:tx>
            <c:rich>
              <a:bodyPr/>
              <a:lstStyle/>
              <a:p>
                <a:pPr>
                  <a:defRPr/>
                </a:pPr>
                <a:r>
                  <a:rPr lang="en-US"/>
                  <a:t>Pipeline Length (mi)</a:t>
                </a:r>
              </a:p>
            </c:rich>
          </c:tx>
          <c:layout/>
          <c:overlay val="0"/>
        </c:title>
        <c:numFmt formatCode="General" sourceLinked="1"/>
        <c:majorTickMark val="out"/>
        <c:minorTickMark val="none"/>
        <c:tickLblPos val="nextTo"/>
        <c:crossAx val="403628096"/>
        <c:crosses val="autoZero"/>
        <c:auto val="0"/>
        <c:lblAlgn val="ctr"/>
        <c:lblOffset val="100"/>
        <c:noMultiLvlLbl val="0"/>
      </c:catAx>
      <c:valAx>
        <c:axId val="403628096"/>
        <c:scaling>
          <c:orientation val="minMax"/>
        </c:scaling>
        <c:delete val="0"/>
        <c:axPos val="l"/>
        <c:majorGridlines/>
        <c:numFmt formatCode="#,##0" sourceLinked="1"/>
        <c:majorTickMark val="out"/>
        <c:minorTickMark val="none"/>
        <c:tickLblPos val="nextTo"/>
        <c:crossAx val="403624288"/>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oneCellAnchor>
    <xdr:from>
      <xdr:col>1</xdr:col>
      <xdr:colOff>1095375</xdr:colOff>
      <xdr:row>0</xdr:row>
      <xdr:rowOff>8279</xdr:rowOff>
    </xdr:from>
    <xdr:ext cx="3838575" cy="1279501"/>
    <xdr:sp macro="" textlink="">
      <xdr:nvSpPr>
        <xdr:cNvPr id="2" name="Rectangle 1">
          <a:extLst>
            <a:ext uri="{FF2B5EF4-FFF2-40B4-BE49-F238E27FC236}">
              <a16:creationId xmlns:a16="http://schemas.microsoft.com/office/drawing/2014/main" xmlns="" id="{00000000-0008-0000-0000-000002000000}"/>
            </a:ext>
          </a:extLst>
        </xdr:cNvPr>
        <xdr:cNvSpPr/>
      </xdr:nvSpPr>
      <xdr:spPr>
        <a:xfrm>
          <a:off x="1720215" y="8279"/>
          <a:ext cx="3838575" cy="1279501"/>
        </a:xfrm>
        <a:prstGeom prst="rect">
          <a:avLst/>
        </a:prstGeom>
        <a:solidFill>
          <a:srgbClr val="0070C0"/>
        </a:solidFill>
        <a:ln>
          <a:solidFill>
            <a:sysClr val="windowText" lastClr="000000"/>
          </a:solidFill>
        </a:ln>
        <a:effectLst>
          <a:outerShdw blurRad="50800" dist="38100" dir="2700000" algn="tl" rotWithShape="0">
            <a:prstClr val="black">
              <a:alpha val="40000"/>
            </a:prstClr>
          </a:outerShdw>
        </a:effectLst>
      </xdr:spPr>
      <xdr:txBody>
        <a:bodyPr wrap="square" lIns="18288" tIns="18288" rIns="18288" bIns="18288">
          <a:noAutofit/>
        </a:bodyPr>
        <a:lstStyle/>
        <a:p>
          <a:pPr algn="ctr"/>
          <a:r>
            <a:rPr lang="en-US" sz="32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FE/NETL CO</a:t>
          </a:r>
          <a:r>
            <a:rPr lang="en-US" sz="3200" b="1" cap="none" spc="0" baseline="-2500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2</a:t>
          </a:r>
          <a:r>
            <a:rPr lang="en-US" sz="3200" b="1" cap="none" spc="0" baseline="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 Transport Cost Model</a:t>
          </a:r>
          <a:endParaRPr lang="en-US" sz="32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oneCellAnchor>
  <xdr:twoCellAnchor editAs="oneCell">
    <xdr:from>
      <xdr:col>0</xdr:col>
      <xdr:colOff>361950</xdr:colOff>
      <xdr:row>0</xdr:row>
      <xdr:rowOff>152400</xdr:rowOff>
    </xdr:from>
    <xdr:to>
      <xdr:col>1</xdr:col>
      <xdr:colOff>963574</xdr:colOff>
      <xdr:row>5</xdr:row>
      <xdr:rowOff>70012</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361950" y="152400"/>
          <a:ext cx="1211580" cy="861060"/>
        </a:xfrm>
        <a:prstGeom prst="rect">
          <a:avLst/>
        </a:prstGeom>
      </xdr:spPr>
    </xdr:pic>
    <xdr:clientData/>
  </xdr:twoCellAnchor>
  <xdr:twoCellAnchor editAs="oneCell">
    <xdr:from>
      <xdr:col>4</xdr:col>
      <xdr:colOff>47625</xdr:colOff>
      <xdr:row>0</xdr:row>
      <xdr:rowOff>66675</xdr:rowOff>
    </xdr:from>
    <xdr:to>
      <xdr:col>6</xdr:col>
      <xdr:colOff>259562</xdr:colOff>
      <xdr:row>5</xdr:row>
      <xdr:rowOff>114468</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2" cstate="print"/>
        <a:stretch>
          <a:fillRect/>
        </a:stretch>
      </xdr:blipFill>
      <xdr:spPr>
        <a:xfrm>
          <a:off x="5619750" y="66675"/>
          <a:ext cx="1013460" cy="990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65314</xdr:colOff>
          <xdr:row>0</xdr:row>
          <xdr:rowOff>76200</xdr:rowOff>
        </xdr:from>
        <xdr:to>
          <xdr:col>1</xdr:col>
          <xdr:colOff>598714</xdr:colOff>
          <xdr:row>0</xdr:row>
          <xdr:rowOff>332014</xdr:rowOff>
        </xdr:to>
        <xdr:sp macro="" textlink="">
          <xdr:nvSpPr>
            <xdr:cNvPr id="11265" name="Button 1" hidden="1">
              <a:extLst>
                <a:ext uri="{63B3BB69-23CF-44E3-9099-C40C66FF867C}">
                  <a14:compatExt spid="_x0000_s11265"/>
                </a:ext>
                <a:ext uri="{FF2B5EF4-FFF2-40B4-BE49-F238E27FC236}">
                  <a16:creationId xmlns:a16="http://schemas.microsoft.com/office/drawing/2014/main" xmlns=""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Run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oneCellAnchor>
    <xdr:from>
      <xdr:col>19</xdr:col>
      <xdr:colOff>93335</xdr:colOff>
      <xdr:row>0</xdr:row>
      <xdr:rowOff>361445</xdr:rowOff>
    </xdr:from>
    <xdr:ext cx="9447994" cy="2675732"/>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8141849" y="361445"/>
          <a:ext cx="9447994" cy="26757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t>Instructions for using this</a:t>
          </a:r>
          <a:r>
            <a:rPr lang="en-US" sz="1100" b="1" baseline="0"/>
            <a:t> </a:t>
          </a:r>
          <a:r>
            <a:rPr lang="en-US" sz="1100" b="1"/>
            <a:t>calculation macro:</a:t>
          </a:r>
        </a:p>
        <a:p>
          <a:r>
            <a:rPr lang="en-US" sz="1100"/>
            <a:t>1) Copy and paste the necessary pipeline segment data into Columns B through I. </a:t>
          </a:r>
          <a:r>
            <a:rPr lang="en-US" sz="1100" baseline="0"/>
            <a:t>The data for segments are derived from ArcGIS network analysis. </a:t>
          </a:r>
        </a:p>
        <a:p>
          <a:r>
            <a:rPr lang="en-US" sz="1100" baseline="0"/>
            <a:t>2) Change parameters in the "Main" worksheet. </a:t>
          </a:r>
        </a:p>
        <a:p>
          <a:r>
            <a:rPr lang="en-US" sz="1100" baseline="0"/>
            <a:t>3) Click the "Run" button.</a:t>
          </a:r>
        </a:p>
        <a:p>
          <a:r>
            <a:rPr lang="en-US" sz="1100" baseline="0"/>
            <a:t>4) The macro runs the pipeline cost model for each segment sequentially and prints output to Columns J through S.</a:t>
          </a:r>
        </a:p>
        <a:p>
          <a:endParaRPr lang="en-US" sz="1100" baseline="0"/>
        </a:p>
        <a:p>
          <a:r>
            <a:rPr lang="en-US" sz="1100" b="1" baseline="0"/>
            <a:t>Notes: </a:t>
          </a:r>
        </a:p>
        <a:p>
          <a:r>
            <a:rPr lang="en-US" sz="1100" baseline="0"/>
            <a:t>1) The macro uses the FE/NETL model's optimization for pipeline diameter and number of pumps; need to change this function if a set number of pumps is desired.</a:t>
          </a:r>
        </a:p>
        <a:p>
          <a:r>
            <a:rPr lang="en-US" sz="1100" baseline="0"/>
            <a:t>2) Financing scenarios</a:t>
          </a:r>
        </a:p>
        <a:p>
          <a:r>
            <a:rPr lang="en-US" sz="1100" baseline="0"/>
            <a:t>      2.1) Commerical financing of pipeline construction: In "Main" worksheet, E47=50%, E48=12%, E49=6%. </a:t>
          </a:r>
        </a:p>
        <a:p>
          <a:r>
            <a:rPr lang="en-US" sz="1100" baseline="0"/>
            <a:t>      2.2) Government financing of pipeline construction: In "Main" worksheet, E47=0%, E48=3.5%, E49=3.5%. </a:t>
          </a:r>
        </a:p>
        <a:p>
          <a:r>
            <a:rPr lang="en-US" sz="1100" baseline="0"/>
            <a:t>3) Applications </a:t>
          </a:r>
        </a:p>
        <a:p>
          <a:r>
            <a:rPr lang="en-US" sz="1100" baseline="0"/>
            <a:t>      3.1) Main trunk within financial lifetime: Apply the macro to one main trunk section at a time. </a:t>
          </a:r>
        </a:p>
        <a:p>
          <a:r>
            <a:rPr lang="en-US" sz="1100" baseline="0"/>
            <a:t>      3.2) Main trunk after financial lifetime: Apply the macro to one main trunk section at a time. </a:t>
          </a:r>
          <a:r>
            <a:rPr lang="en-US" sz="1100" baseline="0">
              <a:solidFill>
                <a:schemeClr val="tx1"/>
              </a:solidFill>
              <a:effectLst/>
              <a:latin typeface="+mn-lt"/>
              <a:ea typeface="+mn-ea"/>
              <a:cs typeface="+mn-cs"/>
            </a:rPr>
            <a:t>In Main worksheet, E48=0%, E49=0%, E88-E94=0. </a:t>
          </a:r>
          <a:endParaRPr lang="en-US" sz="1100" baseline="0"/>
        </a:p>
        <a:p>
          <a:r>
            <a:rPr lang="en-US" sz="1100" baseline="0"/>
            <a:t>      3.3) Feeder pipelines within financial lifetime: Apply the macro to all segemnts associated with generators of the same expected online year (i.e., color group). </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13</xdr:col>
      <xdr:colOff>19050</xdr:colOff>
      <xdr:row>66</xdr:row>
      <xdr:rowOff>9525</xdr:rowOff>
    </xdr:from>
    <xdr:to>
      <xdr:col>17</xdr:col>
      <xdr:colOff>894715</xdr:colOff>
      <xdr:row>83</xdr:row>
      <xdr:rowOff>112395</xdr:rowOff>
    </xdr:to>
    <xdr:pic>
      <xdr:nvPicPr>
        <xdr:cNvPr id="5" name="Picture 4" descr="http://www.eia.gov/pub/oil_gas/natural_gas/analysis_publications/ngpipeline/images/regional_breakdown.gif">
          <a:extLst>
            <a:ext uri="{FF2B5EF4-FFF2-40B4-BE49-F238E27FC236}">
              <a16:creationId xmlns:a16="http://schemas.microsoft.com/office/drawing/2014/main" xmlns="" id="{00000000-0008-0000-0200-000005000000}"/>
            </a:ext>
          </a:extLst>
        </xdr:cNvPr>
        <xdr:cNvPicPr/>
      </xdr:nvPicPr>
      <xdr:blipFill>
        <a:blip xmlns:r="http://schemas.openxmlformats.org/officeDocument/2006/relationships" r:embed="rId1" cstate="print"/>
        <a:srcRect/>
        <a:stretch>
          <a:fillRect/>
        </a:stretch>
      </xdr:blipFill>
      <xdr:spPr bwMode="auto">
        <a:xfrm>
          <a:off x="16468725" y="10363200"/>
          <a:ext cx="4761865" cy="285559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21981</xdr:colOff>
      <xdr:row>16</xdr:row>
      <xdr:rowOff>102577</xdr:rowOff>
    </xdr:from>
    <xdr:to>
      <xdr:col>18</xdr:col>
      <xdr:colOff>659423</xdr:colOff>
      <xdr:row>22</xdr:row>
      <xdr:rowOff>58616</xdr:rowOff>
    </xdr:to>
    <xdr:sp macro="" textlink="">
      <xdr:nvSpPr>
        <xdr:cNvPr id="2" name="Up Arrow Callout 1">
          <a:extLst>
            <a:ext uri="{FF2B5EF4-FFF2-40B4-BE49-F238E27FC236}">
              <a16:creationId xmlns:a16="http://schemas.microsoft.com/office/drawing/2014/main" xmlns="" id="{00000000-0008-0000-0500-000002000000}"/>
            </a:ext>
          </a:extLst>
        </xdr:cNvPr>
        <xdr:cNvSpPr/>
      </xdr:nvSpPr>
      <xdr:spPr>
        <a:xfrm>
          <a:off x="11510596" y="2828192"/>
          <a:ext cx="1355481" cy="1099039"/>
        </a:xfrm>
        <a:prstGeom prst="up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Basis</a:t>
          </a:r>
          <a:r>
            <a:rPr lang="en-US" sz="1100" baseline="0"/>
            <a:t> for pressure impact on material and labor costs</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133349</xdr:colOff>
      <xdr:row>77</xdr:row>
      <xdr:rowOff>104776</xdr:rowOff>
    </xdr:from>
    <xdr:to>
      <xdr:col>7</xdr:col>
      <xdr:colOff>0</xdr:colOff>
      <xdr:row>90</xdr:row>
      <xdr:rowOff>9526</xdr:rowOff>
    </xdr:to>
    <xdr:graphicFrame macro="">
      <xdr:nvGraphicFramePr>
        <xdr:cNvPr id="2" name="Chart 1">
          <a:extLst>
            <a:ext uri="{FF2B5EF4-FFF2-40B4-BE49-F238E27FC236}">
              <a16:creationId xmlns:a16="http://schemas.microsoft.com/office/drawing/2014/main" xmlns=""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133351</xdr:colOff>
      <xdr:row>77</xdr:row>
      <xdr:rowOff>104775</xdr:rowOff>
    </xdr:from>
    <xdr:to>
      <xdr:col>13</xdr:col>
      <xdr:colOff>9525</xdr:colOff>
      <xdr:row>90</xdr:row>
      <xdr:rowOff>38100</xdr:rowOff>
    </xdr:to>
    <xdr:graphicFrame macro="">
      <xdr:nvGraphicFramePr>
        <xdr:cNvPr id="3" name="Chart 2">
          <a:extLst>
            <a:ext uri="{FF2B5EF4-FFF2-40B4-BE49-F238E27FC236}">
              <a16:creationId xmlns:a16="http://schemas.microsoft.com/office/drawing/2014/main" xmlns=""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123825</xdr:colOff>
      <xdr:row>90</xdr:row>
      <xdr:rowOff>114300</xdr:rowOff>
    </xdr:from>
    <xdr:to>
      <xdr:col>6</xdr:col>
      <xdr:colOff>104775</xdr:colOff>
      <xdr:row>103</xdr:row>
      <xdr:rowOff>104775</xdr:rowOff>
    </xdr:to>
    <xdr:graphicFrame macro="">
      <xdr:nvGraphicFramePr>
        <xdr:cNvPr id="4" name="Chart 3">
          <a:extLst>
            <a:ext uri="{FF2B5EF4-FFF2-40B4-BE49-F238E27FC236}">
              <a16:creationId xmlns:a16="http://schemas.microsoft.com/office/drawing/2014/main" xmlns=""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142875</xdr:colOff>
      <xdr:row>90</xdr:row>
      <xdr:rowOff>123825</xdr:rowOff>
    </xdr:from>
    <xdr:to>
      <xdr:col>13</xdr:col>
      <xdr:colOff>47625</xdr:colOff>
      <xdr:row>103</xdr:row>
      <xdr:rowOff>104775</xdr:rowOff>
    </xdr:to>
    <xdr:graphicFrame macro="">
      <xdr:nvGraphicFramePr>
        <xdr:cNvPr id="5" name="Chart 4">
          <a:extLst>
            <a:ext uri="{FF2B5EF4-FFF2-40B4-BE49-F238E27FC236}">
              <a16:creationId xmlns:a16="http://schemas.microsoft.com/office/drawing/2014/main" xmlns=""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114300</xdr:colOff>
      <xdr:row>104</xdr:row>
      <xdr:rowOff>0</xdr:rowOff>
    </xdr:from>
    <xdr:to>
      <xdr:col>7</xdr:col>
      <xdr:colOff>9525</xdr:colOff>
      <xdr:row>116</xdr:row>
      <xdr:rowOff>57150</xdr:rowOff>
    </xdr:to>
    <xdr:graphicFrame macro="">
      <xdr:nvGraphicFramePr>
        <xdr:cNvPr id="7" name="Chart 6">
          <a:extLst>
            <a:ext uri="{FF2B5EF4-FFF2-40B4-BE49-F238E27FC236}">
              <a16:creationId xmlns:a16="http://schemas.microsoft.com/office/drawing/2014/main" xmlns=""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142875</xdr:colOff>
      <xdr:row>103</xdr:row>
      <xdr:rowOff>171450</xdr:rowOff>
    </xdr:from>
    <xdr:to>
      <xdr:col>13</xdr:col>
      <xdr:colOff>47625</xdr:colOff>
      <xdr:row>116</xdr:row>
      <xdr:rowOff>57150</xdr:rowOff>
    </xdr:to>
    <xdr:graphicFrame macro="">
      <xdr:nvGraphicFramePr>
        <xdr:cNvPr id="8" name="Chart 7">
          <a:extLst>
            <a:ext uri="{FF2B5EF4-FFF2-40B4-BE49-F238E27FC236}">
              <a16:creationId xmlns:a16="http://schemas.microsoft.com/office/drawing/2014/main" xmlns=""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85725</xdr:colOff>
      <xdr:row>136</xdr:row>
      <xdr:rowOff>80962</xdr:rowOff>
    </xdr:from>
    <xdr:to>
      <xdr:col>4</xdr:col>
      <xdr:colOff>95250</xdr:colOff>
      <xdr:row>150</xdr:row>
      <xdr:rowOff>157162</xdr:rowOff>
    </xdr:to>
    <xdr:graphicFrame macro="">
      <xdr:nvGraphicFramePr>
        <xdr:cNvPr id="11" name="Chart 10">
          <a:extLst>
            <a:ext uri="{FF2B5EF4-FFF2-40B4-BE49-F238E27FC236}">
              <a16:creationId xmlns:a16="http://schemas.microsoft.com/office/drawing/2014/main" xmlns=""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161925</xdr:colOff>
      <xdr:row>136</xdr:row>
      <xdr:rowOff>85725</xdr:rowOff>
    </xdr:from>
    <xdr:to>
      <xdr:col>8</xdr:col>
      <xdr:colOff>542924</xdr:colOff>
      <xdr:row>150</xdr:row>
      <xdr:rowOff>161925</xdr:rowOff>
    </xdr:to>
    <xdr:graphicFrame macro="">
      <xdr:nvGraphicFramePr>
        <xdr:cNvPr id="14" name="Chart 13">
          <a:extLst>
            <a:ext uri="{FF2B5EF4-FFF2-40B4-BE49-F238E27FC236}">
              <a16:creationId xmlns:a16="http://schemas.microsoft.com/office/drawing/2014/main" xmlns=""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600075</xdr:colOff>
      <xdr:row>136</xdr:row>
      <xdr:rowOff>85725</xdr:rowOff>
    </xdr:from>
    <xdr:to>
      <xdr:col>12</xdr:col>
      <xdr:colOff>581025</xdr:colOff>
      <xdr:row>150</xdr:row>
      <xdr:rowOff>161925</xdr:rowOff>
    </xdr:to>
    <xdr:graphicFrame macro="">
      <xdr:nvGraphicFramePr>
        <xdr:cNvPr id="15" name="Chart 14">
          <a:extLst>
            <a:ext uri="{FF2B5EF4-FFF2-40B4-BE49-F238E27FC236}">
              <a16:creationId xmlns:a16="http://schemas.microsoft.com/office/drawing/2014/main" xmlns=""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85725</xdr:colOff>
      <xdr:row>172</xdr:row>
      <xdr:rowOff>80962</xdr:rowOff>
    </xdr:from>
    <xdr:to>
      <xdr:col>4</xdr:col>
      <xdr:colOff>95250</xdr:colOff>
      <xdr:row>186</xdr:row>
      <xdr:rowOff>157162</xdr:rowOff>
    </xdr:to>
    <xdr:graphicFrame macro="">
      <xdr:nvGraphicFramePr>
        <xdr:cNvPr id="16" name="Chart 15">
          <a:extLst>
            <a:ext uri="{FF2B5EF4-FFF2-40B4-BE49-F238E27FC236}">
              <a16:creationId xmlns:a16="http://schemas.microsoft.com/office/drawing/2014/main" xmlns=""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161925</xdr:colOff>
      <xdr:row>172</xdr:row>
      <xdr:rowOff>85725</xdr:rowOff>
    </xdr:from>
    <xdr:to>
      <xdr:col>8</xdr:col>
      <xdr:colOff>542924</xdr:colOff>
      <xdr:row>186</xdr:row>
      <xdr:rowOff>161925</xdr:rowOff>
    </xdr:to>
    <xdr:graphicFrame macro="">
      <xdr:nvGraphicFramePr>
        <xdr:cNvPr id="17" name="Chart 16">
          <a:extLst>
            <a:ext uri="{FF2B5EF4-FFF2-40B4-BE49-F238E27FC236}">
              <a16:creationId xmlns:a16="http://schemas.microsoft.com/office/drawing/2014/main" xmlns="" id="{00000000-0008-0000-0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600075</xdr:colOff>
      <xdr:row>172</xdr:row>
      <xdr:rowOff>85725</xdr:rowOff>
    </xdr:from>
    <xdr:to>
      <xdr:col>12</xdr:col>
      <xdr:colOff>581025</xdr:colOff>
      <xdr:row>186</xdr:row>
      <xdr:rowOff>161925</xdr:rowOff>
    </xdr:to>
    <xdr:graphicFrame macro="">
      <xdr:nvGraphicFramePr>
        <xdr:cNvPr id="18" name="Chart 17">
          <a:extLst>
            <a:ext uri="{FF2B5EF4-FFF2-40B4-BE49-F238E27FC236}">
              <a16:creationId xmlns:a16="http://schemas.microsoft.com/office/drawing/2014/main" xmlns="" id="{00000000-0008-0000-0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207</xdr:row>
      <xdr:rowOff>80962</xdr:rowOff>
    </xdr:from>
    <xdr:to>
      <xdr:col>4</xdr:col>
      <xdr:colOff>95250</xdr:colOff>
      <xdr:row>221</xdr:row>
      <xdr:rowOff>157162</xdr:rowOff>
    </xdr:to>
    <xdr:graphicFrame macro="">
      <xdr:nvGraphicFramePr>
        <xdr:cNvPr id="19" name="Chart 18">
          <a:extLst>
            <a:ext uri="{FF2B5EF4-FFF2-40B4-BE49-F238E27FC236}">
              <a16:creationId xmlns:a16="http://schemas.microsoft.com/office/drawing/2014/main" xmlns=""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161925</xdr:colOff>
      <xdr:row>207</xdr:row>
      <xdr:rowOff>85725</xdr:rowOff>
    </xdr:from>
    <xdr:to>
      <xdr:col>8</xdr:col>
      <xdr:colOff>542924</xdr:colOff>
      <xdr:row>221</xdr:row>
      <xdr:rowOff>161925</xdr:rowOff>
    </xdr:to>
    <xdr:graphicFrame macro="">
      <xdr:nvGraphicFramePr>
        <xdr:cNvPr id="20" name="Chart 19">
          <a:extLst>
            <a:ext uri="{FF2B5EF4-FFF2-40B4-BE49-F238E27FC236}">
              <a16:creationId xmlns:a16="http://schemas.microsoft.com/office/drawing/2014/main" xmlns="" id="{00000000-0008-0000-06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600075</xdr:colOff>
      <xdr:row>207</xdr:row>
      <xdr:rowOff>85725</xdr:rowOff>
    </xdr:from>
    <xdr:to>
      <xdr:col>12</xdr:col>
      <xdr:colOff>581025</xdr:colOff>
      <xdr:row>221</xdr:row>
      <xdr:rowOff>161925</xdr:rowOff>
    </xdr:to>
    <xdr:graphicFrame macro="">
      <xdr:nvGraphicFramePr>
        <xdr:cNvPr id="21" name="Chart 20">
          <a:extLst>
            <a:ext uri="{FF2B5EF4-FFF2-40B4-BE49-F238E27FC236}">
              <a16:creationId xmlns:a16="http://schemas.microsoft.com/office/drawing/2014/main" xmlns=""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66675</xdr:colOff>
      <xdr:row>224</xdr:row>
      <xdr:rowOff>66675</xdr:rowOff>
    </xdr:from>
    <xdr:to>
      <xdr:col>4</xdr:col>
      <xdr:colOff>76200</xdr:colOff>
      <xdr:row>238</xdr:row>
      <xdr:rowOff>142875</xdr:rowOff>
    </xdr:to>
    <xdr:graphicFrame macro="">
      <xdr:nvGraphicFramePr>
        <xdr:cNvPr id="28" name="Chart 27">
          <a:extLst>
            <a:ext uri="{FF2B5EF4-FFF2-40B4-BE49-F238E27FC236}">
              <a16:creationId xmlns:a16="http://schemas.microsoft.com/office/drawing/2014/main" xmlns="" id="{00000000-0008-0000-06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142875</xdr:colOff>
      <xdr:row>224</xdr:row>
      <xdr:rowOff>71438</xdr:rowOff>
    </xdr:from>
    <xdr:to>
      <xdr:col>8</xdr:col>
      <xdr:colOff>523874</xdr:colOff>
      <xdr:row>238</xdr:row>
      <xdr:rowOff>147638</xdr:rowOff>
    </xdr:to>
    <xdr:graphicFrame macro="">
      <xdr:nvGraphicFramePr>
        <xdr:cNvPr id="29" name="Chart 28">
          <a:extLst>
            <a:ext uri="{FF2B5EF4-FFF2-40B4-BE49-F238E27FC236}">
              <a16:creationId xmlns:a16="http://schemas.microsoft.com/office/drawing/2014/main" xmlns="" id="{00000000-0008-0000-0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581025</xdr:colOff>
      <xdr:row>224</xdr:row>
      <xdr:rowOff>71438</xdr:rowOff>
    </xdr:from>
    <xdr:to>
      <xdr:col>12</xdr:col>
      <xdr:colOff>561975</xdr:colOff>
      <xdr:row>238</xdr:row>
      <xdr:rowOff>147638</xdr:rowOff>
    </xdr:to>
    <xdr:graphicFrame macro="">
      <xdr:nvGraphicFramePr>
        <xdr:cNvPr id="30" name="Chart 29">
          <a:extLst>
            <a:ext uri="{FF2B5EF4-FFF2-40B4-BE49-F238E27FC236}">
              <a16:creationId xmlns:a16="http://schemas.microsoft.com/office/drawing/2014/main" xmlns=""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76200</xdr:colOff>
      <xdr:row>239</xdr:row>
      <xdr:rowOff>38100</xdr:rowOff>
    </xdr:from>
    <xdr:to>
      <xdr:col>4</xdr:col>
      <xdr:colOff>85725</xdr:colOff>
      <xdr:row>253</xdr:row>
      <xdr:rowOff>114300</xdr:rowOff>
    </xdr:to>
    <xdr:graphicFrame macro="">
      <xdr:nvGraphicFramePr>
        <xdr:cNvPr id="31" name="Chart 30">
          <a:extLst>
            <a:ext uri="{FF2B5EF4-FFF2-40B4-BE49-F238E27FC236}">
              <a16:creationId xmlns:a16="http://schemas.microsoft.com/office/drawing/2014/main" xmlns=""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xdr:col>
      <xdr:colOff>152400</xdr:colOff>
      <xdr:row>239</xdr:row>
      <xdr:rowOff>42863</xdr:rowOff>
    </xdr:from>
    <xdr:to>
      <xdr:col>8</xdr:col>
      <xdr:colOff>533399</xdr:colOff>
      <xdr:row>253</xdr:row>
      <xdr:rowOff>119063</xdr:rowOff>
    </xdr:to>
    <xdr:graphicFrame macro="">
      <xdr:nvGraphicFramePr>
        <xdr:cNvPr id="32" name="Chart 31">
          <a:extLst>
            <a:ext uri="{FF2B5EF4-FFF2-40B4-BE49-F238E27FC236}">
              <a16:creationId xmlns:a16="http://schemas.microsoft.com/office/drawing/2014/main" xmlns=""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8</xdr:col>
      <xdr:colOff>590550</xdr:colOff>
      <xdr:row>239</xdr:row>
      <xdr:rowOff>42863</xdr:rowOff>
    </xdr:from>
    <xdr:to>
      <xdr:col>12</xdr:col>
      <xdr:colOff>571500</xdr:colOff>
      <xdr:row>253</xdr:row>
      <xdr:rowOff>119063</xdr:rowOff>
    </xdr:to>
    <xdr:graphicFrame macro="">
      <xdr:nvGraphicFramePr>
        <xdr:cNvPr id="33" name="Chart 32">
          <a:extLst>
            <a:ext uri="{FF2B5EF4-FFF2-40B4-BE49-F238E27FC236}">
              <a16:creationId xmlns:a16="http://schemas.microsoft.com/office/drawing/2014/main" xmlns=""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76200</xdr:colOff>
      <xdr:row>254</xdr:row>
      <xdr:rowOff>0</xdr:rowOff>
    </xdr:from>
    <xdr:to>
      <xdr:col>4</xdr:col>
      <xdr:colOff>85725</xdr:colOff>
      <xdr:row>268</xdr:row>
      <xdr:rowOff>76200</xdr:rowOff>
    </xdr:to>
    <xdr:graphicFrame macro="">
      <xdr:nvGraphicFramePr>
        <xdr:cNvPr id="34" name="Chart 33">
          <a:extLst>
            <a:ext uri="{FF2B5EF4-FFF2-40B4-BE49-F238E27FC236}">
              <a16:creationId xmlns:a16="http://schemas.microsoft.com/office/drawing/2014/main" xmlns=""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4</xdr:col>
      <xdr:colOff>152400</xdr:colOff>
      <xdr:row>254</xdr:row>
      <xdr:rowOff>4763</xdr:rowOff>
    </xdr:from>
    <xdr:to>
      <xdr:col>8</xdr:col>
      <xdr:colOff>533399</xdr:colOff>
      <xdr:row>268</xdr:row>
      <xdr:rowOff>80963</xdr:rowOff>
    </xdr:to>
    <xdr:graphicFrame macro="">
      <xdr:nvGraphicFramePr>
        <xdr:cNvPr id="35" name="Chart 34">
          <a:extLst>
            <a:ext uri="{FF2B5EF4-FFF2-40B4-BE49-F238E27FC236}">
              <a16:creationId xmlns:a16="http://schemas.microsoft.com/office/drawing/2014/main" xmlns="" id="{00000000-0008-0000-06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8</xdr:col>
      <xdr:colOff>590550</xdr:colOff>
      <xdr:row>254</xdr:row>
      <xdr:rowOff>4763</xdr:rowOff>
    </xdr:from>
    <xdr:to>
      <xdr:col>12</xdr:col>
      <xdr:colOff>571500</xdr:colOff>
      <xdr:row>268</xdr:row>
      <xdr:rowOff>80963</xdr:rowOff>
    </xdr:to>
    <xdr:graphicFrame macro="">
      <xdr:nvGraphicFramePr>
        <xdr:cNvPr id="36" name="Chart 35">
          <a:extLst>
            <a:ext uri="{FF2B5EF4-FFF2-40B4-BE49-F238E27FC236}">
              <a16:creationId xmlns:a16="http://schemas.microsoft.com/office/drawing/2014/main" xmlns="" id="{00000000-0008-0000-06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JM_Files\Projects\FY%202013\d9999%20Saline%20EOR%20Transport%20Models\CO2%20Saline%20Storage%20Cost%20Model\aa%20Cur%20Ver\NETL_CO2_Sal_Stor_Cost_Mod_2013_04_02%20dj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JM_Files/Projects/FY%202013/d9999%20Saline%20EOR%20Transport%20Models/CO2%20Saline%20Storage%20Cost%20Model/aa%20Cur%20Ver/NETL_CO2_Sal_Stor_Cost_Mod_2013_04_02%20djm.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yanedwards/Documents/Ryan/Uni/Princeton/Research/CCS/CO2-EOR/Technical/OPTIMIZED_NETL_CO2_Transport_Cost_Model_with_Network_R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_ME_FIRST"/>
      <sheetName val="Project_Management"/>
      <sheetName val="ResSum1"/>
      <sheetName val="ResSum"/>
      <sheetName val="CTUSInp1"/>
      <sheetName val="CTUSInp"/>
      <sheetName val="Plume&amp;Well Schedule"/>
      <sheetName val="Geo-Activity Interaction"/>
      <sheetName val="Geol Sal"/>
      <sheetName val="Geol DB Sal"/>
      <sheetName val="FinMod"/>
      <sheetName val="Cost Breakdown"/>
      <sheetName val="Update Tracker"/>
      <sheetName val="Activity_Inputs"/>
      <sheetName val="Back-End_Cost Items"/>
      <sheetName val="Site Data1"/>
      <sheetName val="Site Data 2"/>
      <sheetName val="Example cost"/>
      <sheetName val="Drilling Costs"/>
      <sheetName val="Documentation"/>
    </sheetNames>
    <sheetDataSet>
      <sheetData sheetId="0"/>
      <sheetData sheetId="1"/>
      <sheetData sheetId="2"/>
      <sheetData sheetId="3"/>
      <sheetData sheetId="4"/>
      <sheetData sheetId="5"/>
      <sheetData sheetId="6"/>
      <sheetData sheetId="7">
        <row r="57">
          <cell r="E57">
            <v>14500</v>
          </cell>
          <cell r="F57" t="str">
            <v>ft</v>
          </cell>
        </row>
        <row r="58">
          <cell r="E58">
            <v>14275</v>
          </cell>
          <cell r="F58" t="str">
            <v>ft</v>
          </cell>
        </row>
        <row r="60">
          <cell r="E60">
            <v>14050</v>
          </cell>
          <cell r="F60" t="str">
            <v>ft</v>
          </cell>
        </row>
        <row r="61">
          <cell r="E61">
            <v>13850</v>
          </cell>
          <cell r="F61" t="str">
            <v>ft</v>
          </cell>
        </row>
        <row r="62">
          <cell r="E62">
            <v>500</v>
          </cell>
          <cell r="F62" t="str">
            <v xml:space="preserve">Feet </v>
          </cell>
        </row>
        <row r="63">
          <cell r="E63">
            <v>40</v>
          </cell>
          <cell r="F63" t="str">
            <v xml:space="preserve">Feet </v>
          </cell>
        </row>
        <row r="65">
          <cell r="E65">
            <v>14275</v>
          </cell>
          <cell r="F65" t="str">
            <v>ft</v>
          </cell>
        </row>
        <row r="66">
          <cell r="E66">
            <v>14275</v>
          </cell>
          <cell r="F66" t="str">
            <v>ft</v>
          </cell>
        </row>
      </sheetData>
      <sheetData sheetId="8"/>
      <sheetData sheetId="9"/>
      <sheetData sheetId="10"/>
      <sheetData sheetId="11"/>
      <sheetData sheetId="12"/>
      <sheetData sheetId="13">
        <row r="9">
          <cell r="E9">
            <v>128.67599999999999</v>
          </cell>
          <cell r="F9" t="str">
            <v>$/Hour</v>
          </cell>
        </row>
        <row r="10">
          <cell r="E10">
            <v>132.744</v>
          </cell>
          <cell r="F10" t="str">
            <v>$/Hour</v>
          </cell>
        </row>
        <row r="11">
          <cell r="E11">
            <v>90</v>
          </cell>
          <cell r="F11" t="str">
            <v>$/Hour</v>
          </cell>
        </row>
        <row r="12">
          <cell r="E12">
            <v>60</v>
          </cell>
          <cell r="F12" t="str">
            <v>$/Hour</v>
          </cell>
        </row>
      </sheetData>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o-Activity Interaction"/>
      <sheetName val="Activity_Inputs"/>
    </sheetNames>
    <sheetDataSet>
      <sheetData sheetId="0" refreshError="1"/>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g Mod"/>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K53"/>
  <sheetViews>
    <sheetView tabSelected="1" zoomScaleNormal="100" workbookViewId="0">
      <selection activeCell="H1" sqref="H1"/>
    </sheetView>
  </sheetViews>
  <sheetFormatPr defaultColWidth="9.15234375" defaultRowHeight="12.9" x14ac:dyDescent="0.35"/>
  <cols>
    <col min="1" max="1" width="9.15234375" style="86"/>
    <col min="2" max="2" width="19.84375" style="86" customWidth="1"/>
    <col min="3" max="3" width="48.4609375" style="86" customWidth="1"/>
    <col min="4" max="7" width="6" style="86" customWidth="1"/>
    <col min="8" max="16384" width="9.15234375" style="86"/>
  </cols>
  <sheetData>
    <row r="1" spans="2:11" ht="15.9" customHeight="1" x14ac:dyDescent="0.45">
      <c r="D1" s="672"/>
      <c r="E1" s="673"/>
      <c r="F1" s="673"/>
      <c r="G1" s="673"/>
      <c r="I1" s="529" t="s">
        <v>622</v>
      </c>
      <c r="K1"/>
    </row>
    <row r="2" spans="2:11" ht="15.9" customHeight="1" x14ac:dyDescent="0.4">
      <c r="D2" s="672"/>
      <c r="E2" s="673"/>
      <c r="F2" s="673"/>
      <c r="G2" s="673"/>
      <c r="I2"/>
      <c r="K2"/>
    </row>
    <row r="3" spans="2:11" ht="15.9" customHeight="1" x14ac:dyDescent="0.4">
      <c r="D3" s="672"/>
      <c r="E3" s="673"/>
      <c r="F3" s="673"/>
      <c r="G3" s="673"/>
      <c r="I3" t="s">
        <v>697</v>
      </c>
      <c r="K3"/>
    </row>
    <row r="4" spans="2:11" ht="15.9" customHeight="1" x14ac:dyDescent="0.4">
      <c r="D4" s="672"/>
      <c r="E4" s="673"/>
      <c r="F4" s="673"/>
      <c r="G4" s="673"/>
      <c r="I4"/>
      <c r="K4"/>
    </row>
    <row r="5" spans="2:11" ht="15.9" customHeight="1" x14ac:dyDescent="0.4">
      <c r="D5" s="672"/>
      <c r="E5" s="673"/>
      <c r="F5" s="673"/>
      <c r="G5" s="673"/>
      <c r="I5" t="s">
        <v>624</v>
      </c>
      <c r="K5"/>
    </row>
    <row r="6" spans="2:11" ht="15.9" customHeight="1" x14ac:dyDescent="0.4">
      <c r="D6" s="672"/>
      <c r="E6" s="673"/>
      <c r="F6" s="673"/>
      <c r="G6" s="673"/>
      <c r="I6" s="608">
        <v>1</v>
      </c>
      <c r="J6" s="86" t="s">
        <v>608</v>
      </c>
      <c r="K6"/>
    </row>
    <row r="7" spans="2:11" ht="15.9" customHeight="1" x14ac:dyDescent="0.4">
      <c r="D7" s="87"/>
      <c r="E7" s="87"/>
      <c r="F7" s="87"/>
      <c r="G7" s="87"/>
      <c r="I7" s="608">
        <v>2</v>
      </c>
      <c r="J7" s="86" t="s">
        <v>613</v>
      </c>
      <c r="K7"/>
    </row>
    <row r="8" spans="2:11" ht="15.9" customHeight="1" x14ac:dyDescent="0.4">
      <c r="D8" s="87"/>
      <c r="E8" s="87"/>
      <c r="F8" s="87"/>
      <c r="G8" s="87"/>
      <c r="I8" s="608">
        <v>3</v>
      </c>
      <c r="J8" s="86" t="s">
        <v>609</v>
      </c>
      <c r="K8"/>
    </row>
    <row r="9" spans="2:11" ht="15.9" customHeight="1" x14ac:dyDescent="0.45">
      <c r="I9" s="608">
        <v>4</v>
      </c>
      <c r="J9" s="35" t="s">
        <v>610</v>
      </c>
      <c r="K9" s="530"/>
    </row>
    <row r="10" spans="2:11" ht="15.9" customHeight="1" thickBot="1" x14ac:dyDescent="0.5">
      <c r="I10" s="608">
        <v>5</v>
      </c>
      <c r="J10" s="35" t="s">
        <v>611</v>
      </c>
      <c r="K10" s="530"/>
    </row>
    <row r="11" spans="2:11" s="35" customFormat="1" ht="15.9" customHeight="1" x14ac:dyDescent="0.45">
      <c r="B11" s="464" t="s">
        <v>571</v>
      </c>
      <c r="C11" s="465">
        <v>1</v>
      </c>
      <c r="I11" s="609">
        <v>6</v>
      </c>
      <c r="J11" s="35" t="s">
        <v>612</v>
      </c>
      <c r="K11" s="530"/>
    </row>
    <row r="12" spans="2:11" s="35" customFormat="1" ht="15.9" customHeight="1" x14ac:dyDescent="0.45">
      <c r="B12" s="466" t="s">
        <v>572</v>
      </c>
      <c r="C12" s="467" t="s">
        <v>573</v>
      </c>
      <c r="I12" s="609">
        <v>7</v>
      </c>
      <c r="J12" s="35" t="s">
        <v>623</v>
      </c>
      <c r="K12" s="530"/>
    </row>
    <row r="13" spans="2:11" s="35" customFormat="1" ht="15.9" customHeight="1" x14ac:dyDescent="0.45">
      <c r="B13" s="466" t="s">
        <v>574</v>
      </c>
      <c r="C13" s="479">
        <v>41831</v>
      </c>
      <c r="K13" s="530"/>
    </row>
    <row r="14" spans="2:11" s="35" customFormat="1" ht="15.9" customHeight="1" thickBot="1" x14ac:dyDescent="0.5">
      <c r="B14" s="468" t="s">
        <v>593</v>
      </c>
      <c r="C14" s="469" t="s">
        <v>594</v>
      </c>
      <c r="I14" s="531" t="s">
        <v>625</v>
      </c>
      <c r="K14" s="530"/>
    </row>
    <row r="15" spans="2:11" s="35" customFormat="1" ht="15.9" customHeight="1" x14ac:dyDescent="0.35">
      <c r="B15" s="434"/>
      <c r="C15" s="471"/>
      <c r="I15" s="35" t="s">
        <v>626</v>
      </c>
    </row>
    <row r="16" spans="2:11" s="35" customFormat="1" ht="15.9" customHeight="1" x14ac:dyDescent="0.35">
      <c r="B16" s="708" t="s">
        <v>578</v>
      </c>
      <c r="C16" s="709"/>
      <c r="D16" s="709"/>
      <c r="E16" s="709"/>
      <c r="F16" s="709"/>
      <c r="G16" s="710"/>
      <c r="I16" s="35" t="s">
        <v>694</v>
      </c>
    </row>
    <row r="17" spans="2:9" s="35" customFormat="1" ht="15.9" customHeight="1" x14ac:dyDescent="0.35">
      <c r="B17" s="711"/>
      <c r="C17" s="712"/>
      <c r="D17" s="712"/>
      <c r="E17" s="712"/>
      <c r="F17" s="712"/>
      <c r="G17" s="713"/>
      <c r="I17" s="35" t="s">
        <v>695</v>
      </c>
    </row>
    <row r="18" spans="2:9" s="35" customFormat="1" ht="15.9" customHeight="1" x14ac:dyDescent="0.35">
      <c r="B18" s="711"/>
      <c r="C18" s="712"/>
      <c r="D18" s="712"/>
      <c r="E18" s="712"/>
      <c r="F18" s="712"/>
      <c r="G18" s="713"/>
    </row>
    <row r="19" spans="2:9" s="35" customFormat="1" ht="15.9" customHeight="1" x14ac:dyDescent="0.4">
      <c r="B19" s="711"/>
      <c r="C19" s="712"/>
      <c r="D19" s="712"/>
      <c r="E19" s="712"/>
      <c r="F19" s="712"/>
      <c r="G19" s="713"/>
      <c r="I19" s="531" t="s">
        <v>627</v>
      </c>
    </row>
    <row r="20" spans="2:9" s="35" customFormat="1" ht="15.9" customHeight="1" x14ac:dyDescent="0.35">
      <c r="B20" s="714"/>
      <c r="C20" s="715"/>
      <c r="D20" s="715"/>
      <c r="E20" s="715"/>
      <c r="F20" s="715"/>
      <c r="G20" s="716"/>
      <c r="I20" s="35" t="s">
        <v>696</v>
      </c>
    </row>
    <row r="21" spans="2:9" s="35" customFormat="1" ht="15.9" customHeight="1" x14ac:dyDescent="0.35">
      <c r="B21" s="717" t="s">
        <v>492</v>
      </c>
      <c r="C21" s="717"/>
      <c r="D21" s="717"/>
      <c r="E21" s="717"/>
      <c r="F21" s="717"/>
      <c r="G21" s="717"/>
    </row>
    <row r="22" spans="2:9" s="35" customFormat="1" ht="12.9" customHeight="1" x14ac:dyDescent="0.35">
      <c r="B22" s="434"/>
      <c r="C22" s="434"/>
      <c r="D22" s="434"/>
      <c r="E22" s="434"/>
      <c r="F22" s="434"/>
      <c r="G22" s="434"/>
    </row>
    <row r="23" spans="2:9" s="35" customFormat="1" ht="57" customHeight="1" x14ac:dyDescent="0.35">
      <c r="B23" s="703" t="s">
        <v>575</v>
      </c>
      <c r="C23" s="706"/>
      <c r="D23" s="706"/>
      <c r="E23" s="706"/>
      <c r="F23" s="706"/>
      <c r="G23" s="707"/>
    </row>
    <row r="24" spans="2:9" s="35" customFormat="1" ht="12.9" customHeight="1" x14ac:dyDescent="0.35">
      <c r="B24" s="470"/>
      <c r="C24" s="470"/>
      <c r="D24" s="470"/>
      <c r="E24" s="470"/>
      <c r="F24" s="470"/>
      <c r="G24" s="470"/>
    </row>
    <row r="25" spans="2:9" s="35" customFormat="1" ht="12.9" customHeight="1" x14ac:dyDescent="0.35">
      <c r="B25" s="700" t="s">
        <v>127</v>
      </c>
      <c r="C25" s="701"/>
      <c r="D25" s="701"/>
      <c r="E25" s="701"/>
      <c r="F25" s="701"/>
      <c r="G25" s="702"/>
    </row>
    <row r="26" spans="2:9" s="35" customFormat="1" ht="12.9" customHeight="1" x14ac:dyDescent="0.35">
      <c r="B26" s="434"/>
      <c r="C26" s="471"/>
    </row>
    <row r="27" spans="2:9" s="35" customFormat="1" ht="259.5" customHeight="1" x14ac:dyDescent="0.35">
      <c r="B27" s="703" t="s">
        <v>576</v>
      </c>
      <c r="C27" s="704"/>
      <c r="D27" s="704"/>
      <c r="E27" s="704"/>
      <c r="F27" s="704"/>
      <c r="G27" s="705"/>
    </row>
    <row r="28" spans="2:9" s="35" customFormat="1" x14ac:dyDescent="0.35">
      <c r="B28" s="472"/>
      <c r="C28" s="472"/>
      <c r="D28" s="472"/>
      <c r="E28" s="472"/>
      <c r="F28" s="472"/>
      <c r="G28" s="472"/>
    </row>
    <row r="29" spans="2:9" s="35" customFormat="1" ht="126.75" customHeight="1" x14ac:dyDescent="0.35">
      <c r="B29" s="703" t="s">
        <v>577</v>
      </c>
      <c r="C29" s="704"/>
      <c r="D29" s="704"/>
      <c r="E29" s="704"/>
      <c r="F29" s="704"/>
      <c r="G29" s="705"/>
    </row>
    <row r="30" spans="2:9" ht="12.9" customHeight="1" x14ac:dyDescent="0.35"/>
    <row r="31" spans="2:9" x14ac:dyDescent="0.35">
      <c r="B31" s="694" t="s">
        <v>128</v>
      </c>
      <c r="C31" s="695"/>
      <c r="D31" s="88"/>
      <c r="E31" s="88"/>
      <c r="F31" s="88"/>
      <c r="G31" s="88"/>
    </row>
    <row r="32" spans="2:9" x14ac:dyDescent="0.35">
      <c r="B32" s="696" t="s">
        <v>129</v>
      </c>
      <c r="C32" s="697"/>
      <c r="D32" s="672"/>
      <c r="E32" s="673"/>
      <c r="F32" s="673"/>
      <c r="G32" s="673"/>
    </row>
    <row r="33" spans="2:7" x14ac:dyDescent="0.35">
      <c r="B33" s="690" t="s">
        <v>130</v>
      </c>
      <c r="C33" s="691"/>
      <c r="D33" s="698"/>
      <c r="E33" s="699"/>
      <c r="F33" s="699"/>
      <c r="G33" s="699"/>
    </row>
    <row r="34" spans="2:7" x14ac:dyDescent="0.35">
      <c r="B34" s="690" t="s">
        <v>301</v>
      </c>
      <c r="C34" s="691"/>
      <c r="D34" s="692"/>
      <c r="E34" s="693"/>
      <c r="F34" s="693"/>
      <c r="G34" s="693"/>
    </row>
    <row r="35" spans="2:7" x14ac:dyDescent="0.35">
      <c r="B35" s="678"/>
      <c r="C35" s="679"/>
      <c r="D35" s="672"/>
      <c r="E35" s="673"/>
      <c r="F35" s="673"/>
      <c r="G35" s="673"/>
    </row>
    <row r="36" spans="2:7" x14ac:dyDescent="0.35">
      <c r="B36" s="680" t="s">
        <v>131</v>
      </c>
      <c r="C36" s="681"/>
      <c r="D36" s="672"/>
      <c r="E36" s="673"/>
      <c r="F36" s="673"/>
      <c r="G36" s="673"/>
    </row>
    <row r="37" spans="2:7" x14ac:dyDescent="0.35">
      <c r="B37" s="682" t="s">
        <v>132</v>
      </c>
      <c r="C37" s="683"/>
      <c r="D37" s="684" t="s">
        <v>133</v>
      </c>
      <c r="E37" s="685"/>
      <c r="F37" s="685"/>
      <c r="G37" s="685"/>
    </row>
    <row r="38" spans="2:7" x14ac:dyDescent="0.35">
      <c r="B38" s="686" t="s">
        <v>134</v>
      </c>
      <c r="C38" s="687"/>
      <c r="D38" s="688" t="s">
        <v>135</v>
      </c>
      <c r="E38" s="689"/>
      <c r="F38" s="689"/>
      <c r="G38" s="689"/>
    </row>
    <row r="39" spans="2:7" x14ac:dyDescent="0.35">
      <c r="B39" s="89"/>
      <c r="C39" s="89"/>
      <c r="D39" s="88"/>
      <c r="E39" s="88"/>
      <c r="F39" s="88"/>
      <c r="G39" s="88"/>
    </row>
    <row r="40" spans="2:7" x14ac:dyDescent="0.35">
      <c r="D40" s="672"/>
      <c r="E40" s="673"/>
      <c r="F40" s="673"/>
      <c r="G40" s="673"/>
    </row>
    <row r="41" spans="2:7" x14ac:dyDescent="0.35">
      <c r="B41" s="90" t="s">
        <v>136</v>
      </c>
      <c r="C41" s="91" t="s">
        <v>137</v>
      </c>
      <c r="D41" s="672"/>
      <c r="E41" s="673"/>
      <c r="F41" s="673"/>
      <c r="G41" s="673"/>
    </row>
    <row r="42" spans="2:7" x14ac:dyDescent="0.35">
      <c r="B42" s="92" t="s">
        <v>223</v>
      </c>
      <c r="C42" s="674" t="s">
        <v>229</v>
      </c>
      <c r="D42" s="674"/>
      <c r="E42" s="674"/>
      <c r="F42" s="674"/>
      <c r="G42" s="674"/>
    </row>
    <row r="43" spans="2:7" ht="10.5" customHeight="1" x14ac:dyDescent="0.35">
      <c r="B43" s="669" t="s">
        <v>226</v>
      </c>
      <c r="C43" s="670"/>
      <c r="D43" s="670"/>
      <c r="E43" s="670"/>
      <c r="F43" s="670"/>
      <c r="G43" s="671"/>
    </row>
    <row r="44" spans="2:7" ht="25.5" customHeight="1" x14ac:dyDescent="0.35">
      <c r="B44" s="92" t="s">
        <v>224</v>
      </c>
      <c r="C44" s="675" t="s">
        <v>473</v>
      </c>
      <c r="D44" s="676"/>
      <c r="E44" s="676"/>
      <c r="F44" s="676"/>
      <c r="G44" s="677"/>
    </row>
    <row r="45" spans="2:7" ht="10.5" customHeight="1" x14ac:dyDescent="0.35">
      <c r="B45" s="669" t="s">
        <v>227</v>
      </c>
      <c r="C45" s="670"/>
      <c r="D45" s="670"/>
      <c r="E45" s="670"/>
      <c r="F45" s="670"/>
      <c r="G45" s="671"/>
    </row>
    <row r="46" spans="2:7" ht="30.75" customHeight="1" x14ac:dyDescent="0.35">
      <c r="B46" s="190" t="s">
        <v>225</v>
      </c>
      <c r="C46" s="674" t="s">
        <v>230</v>
      </c>
      <c r="D46" s="674"/>
      <c r="E46" s="674"/>
      <c r="F46" s="674"/>
      <c r="G46" s="674"/>
    </row>
    <row r="47" spans="2:7" ht="10.5" customHeight="1" x14ac:dyDescent="0.35">
      <c r="B47" s="669" t="s">
        <v>228</v>
      </c>
      <c r="C47" s="670"/>
      <c r="D47" s="670"/>
      <c r="E47" s="670"/>
      <c r="F47" s="670"/>
      <c r="G47" s="671"/>
    </row>
    <row r="48" spans="2:7" ht="25.5" customHeight="1" x14ac:dyDescent="0.35">
      <c r="B48" s="92" t="s">
        <v>472</v>
      </c>
      <c r="C48" s="674" t="s">
        <v>474</v>
      </c>
      <c r="D48" s="674"/>
      <c r="E48" s="674"/>
      <c r="F48" s="674"/>
      <c r="G48" s="674"/>
    </row>
    <row r="49" spans="2:7" ht="10.5" customHeight="1" x14ac:dyDescent="0.35">
      <c r="B49" s="669" t="s">
        <v>475</v>
      </c>
      <c r="C49" s="670"/>
      <c r="D49" s="670"/>
      <c r="E49" s="670"/>
      <c r="F49" s="670"/>
      <c r="G49" s="671"/>
    </row>
    <row r="50" spans="2:7" ht="25.5" customHeight="1" x14ac:dyDescent="0.35">
      <c r="B50" s="92" t="s">
        <v>476</v>
      </c>
      <c r="C50" s="674" t="s">
        <v>588</v>
      </c>
      <c r="D50" s="674"/>
      <c r="E50" s="674"/>
      <c r="F50" s="674"/>
      <c r="G50" s="674"/>
    </row>
    <row r="51" spans="2:7" ht="10.5" customHeight="1" x14ac:dyDescent="0.35">
      <c r="B51" s="669" t="s">
        <v>477</v>
      </c>
      <c r="C51" s="670"/>
      <c r="D51" s="670"/>
      <c r="E51" s="670"/>
      <c r="F51" s="670"/>
      <c r="G51" s="671"/>
    </row>
    <row r="52" spans="2:7" ht="25.5" customHeight="1" x14ac:dyDescent="0.35">
      <c r="B52" s="92" t="s">
        <v>589</v>
      </c>
      <c r="C52" s="674" t="s">
        <v>592</v>
      </c>
      <c r="D52" s="674"/>
      <c r="E52" s="674"/>
      <c r="F52" s="674"/>
      <c r="G52" s="674"/>
    </row>
    <row r="53" spans="2:7" ht="25.5" customHeight="1" x14ac:dyDescent="0.35">
      <c r="B53" s="92" t="s">
        <v>590</v>
      </c>
      <c r="C53" s="674" t="s">
        <v>591</v>
      </c>
      <c r="D53" s="674"/>
      <c r="E53" s="674"/>
      <c r="F53" s="674"/>
      <c r="G53" s="674"/>
    </row>
  </sheetData>
  <mergeCells count="41">
    <mergeCell ref="D1:G1"/>
    <mergeCell ref="D2:G2"/>
    <mergeCell ref="D3:G3"/>
    <mergeCell ref="D4:G4"/>
    <mergeCell ref="D5:G5"/>
    <mergeCell ref="B38:C38"/>
    <mergeCell ref="D38:G38"/>
    <mergeCell ref="B34:C34"/>
    <mergeCell ref="D34:G34"/>
    <mergeCell ref="D6:G6"/>
    <mergeCell ref="B31:C31"/>
    <mergeCell ref="B32:C32"/>
    <mergeCell ref="D32:G32"/>
    <mergeCell ref="B33:C33"/>
    <mergeCell ref="D33:G33"/>
    <mergeCell ref="B25:G25"/>
    <mergeCell ref="B27:G27"/>
    <mergeCell ref="B29:G29"/>
    <mergeCell ref="B23:G23"/>
    <mergeCell ref="B16:G20"/>
    <mergeCell ref="B21:G21"/>
    <mergeCell ref="B35:C35"/>
    <mergeCell ref="D35:G35"/>
    <mergeCell ref="B36:C36"/>
    <mergeCell ref="D36:G36"/>
    <mergeCell ref="B37:C37"/>
    <mergeCell ref="D37:G37"/>
    <mergeCell ref="C52:G52"/>
    <mergeCell ref="C53:G53"/>
    <mergeCell ref="C48:G48"/>
    <mergeCell ref="B49:G49"/>
    <mergeCell ref="C50:G50"/>
    <mergeCell ref="B51:G51"/>
    <mergeCell ref="B47:G47"/>
    <mergeCell ref="D40:G40"/>
    <mergeCell ref="D41:G41"/>
    <mergeCell ref="C42:G42"/>
    <mergeCell ref="B43:G43"/>
    <mergeCell ref="C44:G44"/>
    <mergeCell ref="B45:G45"/>
    <mergeCell ref="C46:G46"/>
  </mergeCells>
  <hyperlinks>
    <hyperlink ref="B43:G43" location="Main!A1" display="Go To Main Sheet"/>
    <hyperlink ref="B45:G45" location="'Eng Mod'!A1" display="Go To Eng Mod Sheet"/>
    <hyperlink ref="B47:G47" location="'PL Pressure Relation'!A1" display="Go To PL Pressure Relation Sheet"/>
    <hyperlink ref="B49:G49" location="'Cost Indices'!A1" display="Go To Cost Indices Sheet"/>
    <hyperlink ref="B51:G51" location="'Pipe Cap'!A1" display="Go To Pipe Cap Sheet"/>
  </hyperlinks>
  <pageMargins left="0.7" right="0.7" top="0.75" bottom="0.75" header="0.3" footer="0.3"/>
  <pageSetup orientation="portrait" r:id="rId1"/>
  <rowBreaks count="1" manualBreakCount="1">
    <brk id="39" max="16383"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92D050"/>
  </sheetPr>
  <dimension ref="B1:Y551"/>
  <sheetViews>
    <sheetView zoomScale="80" zoomScaleNormal="80" workbookViewId="0"/>
  </sheetViews>
  <sheetFormatPr defaultColWidth="8.84375" defaultRowHeight="14.6" x14ac:dyDescent="0.4"/>
  <cols>
    <col min="2" max="2" width="11.4609375" bestFit="1" customWidth="1"/>
    <col min="3" max="3" width="7.4609375" bestFit="1" customWidth="1"/>
    <col min="4" max="4" width="7.61328125" style="496" bestFit="1" customWidth="1"/>
    <col min="5" max="5" width="13.15234375" style="496" bestFit="1" customWidth="1"/>
    <col min="6" max="6" width="12.15234375" style="497" bestFit="1" customWidth="1"/>
    <col min="7" max="7" width="11.4609375" style="496" bestFit="1" customWidth="1"/>
    <col min="8" max="8" width="9.69140625" style="496" bestFit="1" customWidth="1"/>
    <col min="9" max="9" width="9.84375" style="496" bestFit="1" customWidth="1"/>
    <col min="10" max="10" width="13.84375" style="496" bestFit="1" customWidth="1"/>
    <col min="11" max="11" width="14.3046875" style="498" bestFit="1" customWidth="1"/>
    <col min="12" max="15" width="17.3046875" bestFit="1" customWidth="1"/>
    <col min="16" max="16" width="15.4609375" bestFit="1" customWidth="1"/>
    <col min="17" max="17" width="16" bestFit="1" customWidth="1"/>
    <col min="18" max="18" width="16.15234375" customWidth="1"/>
    <col min="19" max="19" width="18.84375" customWidth="1"/>
    <col min="20" max="20" width="18" bestFit="1" customWidth="1"/>
    <col min="21" max="23" width="18" customWidth="1"/>
    <col min="24" max="24" width="11.69140625" customWidth="1"/>
    <col min="25" max="25" width="10.84375" customWidth="1"/>
    <col min="26" max="26" width="4" customWidth="1"/>
    <col min="29" max="29" width="3.3046875" customWidth="1"/>
    <col min="30" max="31" width="10.15234375" bestFit="1" customWidth="1"/>
  </cols>
  <sheetData>
    <row r="1" spans="2:25" ht="30.75" customHeight="1" x14ac:dyDescent="0.4">
      <c r="E1" s="514"/>
    </row>
    <row r="2" spans="2:25" x14ac:dyDescent="0.4">
      <c r="B2" s="718" t="s">
        <v>219</v>
      </c>
      <c r="C2" s="719"/>
      <c r="D2" s="719"/>
      <c r="E2" s="719"/>
      <c r="F2" s="719"/>
      <c r="G2" s="719"/>
      <c r="H2" s="719"/>
      <c r="I2" s="720"/>
      <c r="J2" s="721" t="s">
        <v>619</v>
      </c>
      <c r="K2" s="721"/>
      <c r="L2" s="721"/>
      <c r="M2" s="721"/>
      <c r="N2" s="721"/>
      <c r="O2" s="721"/>
      <c r="P2" s="721"/>
      <c r="Q2" s="721"/>
      <c r="R2" s="721"/>
      <c r="S2" s="721"/>
      <c r="T2" s="519"/>
      <c r="U2" s="515"/>
      <c r="V2" s="515"/>
      <c r="W2" s="515"/>
      <c r="X2" s="515"/>
      <c r="Y2" s="510"/>
    </row>
    <row r="3" spans="2:25" x14ac:dyDescent="0.4">
      <c r="B3" s="499"/>
      <c r="C3" s="500"/>
      <c r="D3" s="500"/>
      <c r="E3" s="500"/>
      <c r="F3" s="500"/>
      <c r="G3" s="500"/>
      <c r="H3" s="500"/>
      <c r="I3" s="597"/>
      <c r="J3" s="512"/>
      <c r="K3" s="513"/>
      <c r="L3" s="512"/>
      <c r="M3" s="512"/>
      <c r="N3" s="512"/>
      <c r="O3" s="512"/>
      <c r="P3" s="512"/>
      <c r="Q3" s="512"/>
      <c r="R3" s="512"/>
      <c r="S3" s="512"/>
      <c r="T3" s="520"/>
      <c r="U3" s="516"/>
      <c r="V3" s="516"/>
      <c r="W3" s="516"/>
      <c r="X3" s="516"/>
      <c r="Y3" s="510"/>
    </row>
    <row r="4" spans="2:25" s="501" customFormat="1" ht="43.75" x14ac:dyDescent="0.4">
      <c r="B4" s="611" t="s">
        <v>615</v>
      </c>
      <c r="C4" s="612" t="s">
        <v>4</v>
      </c>
      <c r="D4" s="612" t="s">
        <v>30</v>
      </c>
      <c r="E4" s="613" t="s">
        <v>630</v>
      </c>
      <c r="F4" s="612" t="s">
        <v>631</v>
      </c>
      <c r="G4" s="612" t="s">
        <v>618</v>
      </c>
      <c r="H4" s="612" t="s">
        <v>0</v>
      </c>
      <c r="I4" s="614" t="s">
        <v>28</v>
      </c>
      <c r="J4" s="610" t="s">
        <v>618</v>
      </c>
      <c r="K4" s="610" t="s">
        <v>0</v>
      </c>
      <c r="L4" s="610" t="s">
        <v>632</v>
      </c>
      <c r="M4" s="610" t="s">
        <v>484</v>
      </c>
      <c r="N4" s="610" t="s">
        <v>30</v>
      </c>
      <c r="O4" s="610" t="s">
        <v>633</v>
      </c>
      <c r="P4" s="610" t="s">
        <v>634</v>
      </c>
      <c r="Q4" s="610" t="s">
        <v>635</v>
      </c>
      <c r="R4" s="610" t="s">
        <v>636</v>
      </c>
      <c r="S4" s="610" t="s">
        <v>637</v>
      </c>
      <c r="T4" s="521"/>
      <c r="U4" s="517"/>
      <c r="V4" s="517"/>
      <c r="W4" s="517"/>
      <c r="X4" s="517"/>
      <c r="Y4" s="517"/>
    </row>
    <row r="5" spans="2:25" s="502" customFormat="1" ht="29.15" x14ac:dyDescent="0.4">
      <c r="B5" s="615"/>
      <c r="C5" s="652" t="s">
        <v>628</v>
      </c>
      <c r="D5" s="652"/>
      <c r="E5" s="652" t="s">
        <v>103</v>
      </c>
      <c r="F5" s="653" t="s">
        <v>616</v>
      </c>
      <c r="G5" s="652" t="s">
        <v>629</v>
      </c>
      <c r="H5" s="652" t="s">
        <v>629</v>
      </c>
      <c r="I5" s="654" t="s">
        <v>14</v>
      </c>
      <c r="J5" s="482" t="s">
        <v>11</v>
      </c>
      <c r="K5" s="482" t="s">
        <v>11</v>
      </c>
      <c r="L5" s="482" t="s">
        <v>7</v>
      </c>
      <c r="M5" s="482" t="s">
        <v>10</v>
      </c>
      <c r="N5" s="482"/>
      <c r="O5" s="482" t="s">
        <v>604</v>
      </c>
      <c r="P5" s="483" t="str">
        <f>Main!E60&amp;" $m"</f>
        <v>2056 $m</v>
      </c>
      <c r="Q5" s="483" t="str">
        <f>Main!E60&amp;" $m"</f>
        <v>2056 $m</v>
      </c>
      <c r="R5" s="482" t="str">
        <f>Main!E60&amp;" $m/tonne"</f>
        <v>2056 $m/tonne</v>
      </c>
      <c r="S5" s="482" t="s">
        <v>603</v>
      </c>
      <c r="T5" s="522"/>
      <c r="U5" s="518"/>
      <c r="V5" s="518"/>
      <c r="W5" s="518"/>
      <c r="X5" s="518"/>
      <c r="Y5" s="518"/>
    </row>
    <row r="6" spans="2:25" x14ac:dyDescent="0.4">
      <c r="B6" s="616" t="s">
        <v>617</v>
      </c>
      <c r="C6" s="617">
        <v>50</v>
      </c>
      <c r="D6" s="617">
        <v>0</v>
      </c>
      <c r="E6" s="618">
        <v>5</v>
      </c>
      <c r="F6" s="619">
        <v>1</v>
      </c>
      <c r="G6" s="617">
        <v>2100</v>
      </c>
      <c r="H6" s="617">
        <v>1900</v>
      </c>
      <c r="I6" s="620">
        <v>0</v>
      </c>
      <c r="J6" s="621">
        <v>14.6</v>
      </c>
      <c r="K6" s="621">
        <v>13.2</v>
      </c>
      <c r="L6" s="622">
        <v>0</v>
      </c>
      <c r="M6" s="623">
        <v>12</v>
      </c>
      <c r="N6" s="623">
        <v>5</v>
      </c>
      <c r="O6" s="623">
        <v>195122.15549999999</v>
      </c>
      <c r="P6" s="624">
        <v>117.0733</v>
      </c>
      <c r="Q6" s="624">
        <v>54.2806</v>
      </c>
      <c r="R6" s="625">
        <v>2.8559000000000001</v>
      </c>
      <c r="S6" s="625">
        <v>4.6100000000000003</v>
      </c>
      <c r="T6" s="523"/>
    </row>
    <row r="7" spans="2:25" x14ac:dyDescent="0.4">
      <c r="B7" s="657">
        <v>9</v>
      </c>
      <c r="C7" s="658">
        <v>1.75</v>
      </c>
      <c r="D7" s="659">
        <v>1</v>
      </c>
      <c r="E7" s="660">
        <v>1.27</v>
      </c>
      <c r="F7" s="661">
        <v>1</v>
      </c>
      <c r="G7" s="659">
        <v>2100</v>
      </c>
      <c r="H7" s="662">
        <v>1900</v>
      </c>
      <c r="I7" s="662">
        <v>0</v>
      </c>
      <c r="J7" s="646">
        <v>14.6</v>
      </c>
      <c r="K7" s="646">
        <v>13.2</v>
      </c>
      <c r="L7" s="599">
        <v>0</v>
      </c>
      <c r="M7" s="647">
        <v>8</v>
      </c>
      <c r="N7" s="600">
        <v>0</v>
      </c>
      <c r="O7" s="648">
        <v>557715.2513</v>
      </c>
      <c r="P7" s="604">
        <v>7.8079999999999998</v>
      </c>
      <c r="Q7" s="649">
        <v>2.0215000000000001</v>
      </c>
      <c r="R7" s="650">
        <v>0.64500000000000002</v>
      </c>
      <c r="S7" s="651">
        <v>1.1000000000000001</v>
      </c>
      <c r="T7" s="504"/>
      <c r="U7" s="504"/>
      <c r="V7" s="504"/>
      <c r="W7" s="504"/>
    </row>
    <row r="8" spans="2:25" x14ac:dyDescent="0.4">
      <c r="B8" s="663">
        <v>11</v>
      </c>
      <c r="C8" s="663">
        <v>2.59</v>
      </c>
      <c r="D8" s="664">
        <v>1</v>
      </c>
      <c r="E8" s="665">
        <v>1.74</v>
      </c>
      <c r="F8" s="666">
        <v>1</v>
      </c>
      <c r="G8" s="664">
        <v>2100</v>
      </c>
      <c r="H8" s="667">
        <v>1900</v>
      </c>
      <c r="I8" s="667">
        <v>0</v>
      </c>
      <c r="J8" s="601">
        <v>14.6</v>
      </c>
      <c r="K8" s="601">
        <v>13.2</v>
      </c>
      <c r="L8" s="601">
        <v>0</v>
      </c>
      <c r="M8" s="602">
        <v>8</v>
      </c>
      <c r="N8" s="603">
        <v>0</v>
      </c>
      <c r="O8" s="605">
        <v>444833.0588</v>
      </c>
      <c r="P8" s="606">
        <v>9.2169000000000008</v>
      </c>
      <c r="Q8" s="606">
        <v>2.2298</v>
      </c>
      <c r="R8" s="607">
        <v>0.54820000000000002</v>
      </c>
      <c r="S8" s="607">
        <v>0.95</v>
      </c>
      <c r="T8" s="504"/>
      <c r="U8" s="504"/>
      <c r="V8" s="504"/>
      <c r="W8" s="504"/>
    </row>
    <row r="9" spans="2:25" x14ac:dyDescent="0.4">
      <c r="B9" s="663">
        <v>12</v>
      </c>
      <c r="C9" s="668">
        <v>3.3</v>
      </c>
      <c r="D9" s="664">
        <v>1</v>
      </c>
      <c r="E9" s="665">
        <v>1.75</v>
      </c>
      <c r="F9" s="666">
        <v>1</v>
      </c>
      <c r="G9" s="664">
        <v>2100</v>
      </c>
      <c r="H9" s="667">
        <v>1900</v>
      </c>
      <c r="I9" s="667">
        <v>0</v>
      </c>
      <c r="J9" s="601">
        <v>14.6</v>
      </c>
      <c r="K9" s="601">
        <v>13.2</v>
      </c>
      <c r="L9" s="601">
        <v>0</v>
      </c>
      <c r="M9" s="602">
        <v>8</v>
      </c>
      <c r="N9" s="603">
        <v>0</v>
      </c>
      <c r="O9" s="605">
        <v>394235.6115</v>
      </c>
      <c r="P9" s="606">
        <v>10.4078</v>
      </c>
      <c r="Q9" s="606">
        <v>2.4058999999999999</v>
      </c>
      <c r="R9" s="607">
        <v>0.61019999999999996</v>
      </c>
      <c r="S9" s="607">
        <v>1.05</v>
      </c>
      <c r="T9" s="504"/>
      <c r="U9" s="504"/>
      <c r="V9" s="504"/>
      <c r="W9" s="504"/>
      <c r="X9" s="504"/>
    </row>
    <row r="10" spans="2:25" x14ac:dyDescent="0.4">
      <c r="B10" s="663">
        <v>614</v>
      </c>
      <c r="C10" s="668">
        <v>3.63</v>
      </c>
      <c r="D10" s="664">
        <v>1</v>
      </c>
      <c r="E10" s="665">
        <v>1.75</v>
      </c>
      <c r="F10" s="666">
        <v>1</v>
      </c>
      <c r="G10" s="664">
        <v>2100</v>
      </c>
      <c r="H10" s="667">
        <v>1900</v>
      </c>
      <c r="I10" s="667">
        <v>0</v>
      </c>
      <c r="J10" s="601">
        <v>14.6</v>
      </c>
      <c r="K10" s="601">
        <v>13.2</v>
      </c>
      <c r="L10" s="601">
        <v>0</v>
      </c>
      <c r="M10" s="602">
        <v>8</v>
      </c>
      <c r="N10" s="603">
        <v>0</v>
      </c>
      <c r="O10" s="605">
        <v>377456.17629999999</v>
      </c>
      <c r="P10" s="606">
        <v>10.9613</v>
      </c>
      <c r="Q10" s="606">
        <v>2.4876999999999998</v>
      </c>
      <c r="R10" s="607">
        <v>0.64039999999999997</v>
      </c>
      <c r="S10" s="607">
        <v>1.1000000000000001</v>
      </c>
      <c r="T10" s="504"/>
      <c r="U10" s="504"/>
      <c r="V10" s="504"/>
      <c r="W10" s="504"/>
      <c r="X10" s="504"/>
    </row>
    <row r="11" spans="2:25" x14ac:dyDescent="0.4">
      <c r="B11" s="663">
        <v>20</v>
      </c>
      <c r="C11" s="668">
        <v>7.44</v>
      </c>
      <c r="D11" s="664">
        <v>1</v>
      </c>
      <c r="E11" s="665">
        <v>3.83</v>
      </c>
      <c r="F11" s="666">
        <v>1</v>
      </c>
      <c r="G11" s="664">
        <v>2100</v>
      </c>
      <c r="H11" s="667">
        <v>1900</v>
      </c>
      <c r="I11" s="667">
        <v>0</v>
      </c>
      <c r="J11" s="601">
        <v>14.6</v>
      </c>
      <c r="K11" s="601">
        <v>13.2</v>
      </c>
      <c r="L11" s="601">
        <v>0</v>
      </c>
      <c r="M11" s="602">
        <v>12</v>
      </c>
      <c r="N11" s="603">
        <v>0</v>
      </c>
      <c r="O11" s="605">
        <v>232161.55669999999</v>
      </c>
      <c r="P11" s="606">
        <v>20.727399999999999</v>
      </c>
      <c r="Q11" s="606">
        <v>3.4325000000000001</v>
      </c>
      <c r="R11" s="607">
        <v>0.52569999999999995</v>
      </c>
      <c r="S11" s="607">
        <v>0.93</v>
      </c>
      <c r="T11" s="504"/>
      <c r="U11" s="504"/>
      <c r="V11" s="504"/>
      <c r="W11" s="504"/>
      <c r="X11" s="504"/>
    </row>
    <row r="12" spans="2:25" x14ac:dyDescent="0.4">
      <c r="B12" s="663">
        <v>630</v>
      </c>
      <c r="C12" s="668">
        <v>11.33</v>
      </c>
      <c r="D12" s="664">
        <v>1</v>
      </c>
      <c r="E12" s="665">
        <v>1.75</v>
      </c>
      <c r="F12" s="666">
        <v>1</v>
      </c>
      <c r="G12" s="664">
        <v>2100</v>
      </c>
      <c r="H12" s="667">
        <v>1900</v>
      </c>
      <c r="I12" s="667">
        <v>0</v>
      </c>
      <c r="J12" s="601">
        <v>14.6</v>
      </c>
      <c r="K12" s="601">
        <v>13.2</v>
      </c>
      <c r="L12" s="601">
        <v>0</v>
      </c>
      <c r="M12" s="602">
        <v>8</v>
      </c>
      <c r="N12" s="603">
        <v>1</v>
      </c>
      <c r="O12" s="605">
        <v>269246.24239999999</v>
      </c>
      <c r="P12" s="606">
        <v>24.404499999999999</v>
      </c>
      <c r="Q12" s="606">
        <v>7.2812999999999999</v>
      </c>
      <c r="R12" s="607">
        <v>1.5087999999999999</v>
      </c>
      <c r="S12" s="607">
        <v>2.54</v>
      </c>
      <c r="T12" s="504"/>
      <c r="U12" s="504"/>
      <c r="V12" s="504"/>
      <c r="W12" s="504"/>
      <c r="X12" s="504"/>
    </row>
    <row r="13" spans="2:25" x14ac:dyDescent="0.4">
      <c r="B13" s="663">
        <v>634</v>
      </c>
      <c r="C13" s="668">
        <v>13.26</v>
      </c>
      <c r="D13" s="664">
        <v>1</v>
      </c>
      <c r="E13" s="665">
        <v>1.75</v>
      </c>
      <c r="F13" s="666">
        <v>1</v>
      </c>
      <c r="G13" s="664">
        <v>2100</v>
      </c>
      <c r="H13" s="667">
        <v>1900</v>
      </c>
      <c r="I13" s="667">
        <v>0</v>
      </c>
      <c r="J13" s="601">
        <v>14.6</v>
      </c>
      <c r="K13" s="601">
        <v>13.2</v>
      </c>
      <c r="L13" s="601">
        <v>0</v>
      </c>
      <c r="M13" s="602">
        <v>8</v>
      </c>
      <c r="N13" s="603">
        <v>1</v>
      </c>
      <c r="O13" s="605">
        <v>260573.69899999999</v>
      </c>
      <c r="P13" s="606">
        <v>27.6417</v>
      </c>
      <c r="Q13" s="606">
        <v>7.7599</v>
      </c>
      <c r="R13" s="607">
        <v>1.6858</v>
      </c>
      <c r="S13" s="607">
        <v>2.85</v>
      </c>
      <c r="T13" s="504"/>
      <c r="U13" s="504"/>
      <c r="V13" s="504"/>
      <c r="W13" s="504"/>
      <c r="X13" s="504"/>
    </row>
    <row r="14" spans="2:25" x14ac:dyDescent="0.4">
      <c r="B14" s="663">
        <v>638</v>
      </c>
      <c r="C14" s="668">
        <v>14.69</v>
      </c>
      <c r="D14" s="664">
        <v>1</v>
      </c>
      <c r="E14" s="665">
        <v>1.81</v>
      </c>
      <c r="F14" s="666">
        <v>1</v>
      </c>
      <c r="G14" s="664">
        <v>2100</v>
      </c>
      <c r="H14" s="667">
        <v>1900</v>
      </c>
      <c r="I14" s="667">
        <v>0</v>
      </c>
      <c r="J14" s="601">
        <v>14.6</v>
      </c>
      <c r="K14" s="601">
        <v>13.2</v>
      </c>
      <c r="L14" s="601">
        <v>0</v>
      </c>
      <c r="M14" s="602">
        <v>8</v>
      </c>
      <c r="N14" s="603">
        <v>1</v>
      </c>
      <c r="O14" s="605">
        <v>255712.26620000001</v>
      </c>
      <c r="P14" s="606">
        <v>30.051300000000001</v>
      </c>
      <c r="Q14" s="606">
        <v>8.2101000000000006</v>
      </c>
      <c r="R14" s="607">
        <v>1.7616000000000001</v>
      </c>
      <c r="S14" s="607">
        <v>3</v>
      </c>
      <c r="T14" s="504"/>
      <c r="U14" s="504"/>
      <c r="V14" s="504"/>
      <c r="W14" s="504"/>
      <c r="X14" s="504"/>
    </row>
    <row r="15" spans="2:25" x14ac:dyDescent="0.4">
      <c r="B15" s="663">
        <v>646</v>
      </c>
      <c r="C15" s="668">
        <v>19.3</v>
      </c>
      <c r="D15" s="664">
        <v>1</v>
      </c>
      <c r="E15" s="665">
        <v>1.74</v>
      </c>
      <c r="F15" s="666">
        <v>1</v>
      </c>
      <c r="G15" s="664">
        <v>2100</v>
      </c>
      <c r="H15" s="667">
        <v>1900</v>
      </c>
      <c r="I15" s="667">
        <v>0</v>
      </c>
      <c r="J15" s="601">
        <v>14.6</v>
      </c>
      <c r="K15" s="601">
        <v>13.2</v>
      </c>
      <c r="L15" s="601">
        <v>0</v>
      </c>
      <c r="M15" s="602">
        <v>8</v>
      </c>
      <c r="N15" s="603">
        <v>2</v>
      </c>
      <c r="O15" s="605">
        <v>248036.2408</v>
      </c>
      <c r="P15" s="606">
        <v>38.296799999999998</v>
      </c>
      <c r="Q15" s="606">
        <v>12.110099999999999</v>
      </c>
      <c r="R15" s="607">
        <v>2.4140999999999999</v>
      </c>
      <c r="S15" s="607">
        <v>4.05</v>
      </c>
      <c r="T15" s="504"/>
      <c r="U15" s="504"/>
      <c r="V15" s="504"/>
      <c r="W15" s="504"/>
      <c r="X15" s="504"/>
    </row>
    <row r="16" spans="2:25" x14ac:dyDescent="0.4">
      <c r="B16" s="663">
        <v>661</v>
      </c>
      <c r="C16" s="668">
        <v>29.85</v>
      </c>
      <c r="D16" s="664">
        <v>1</v>
      </c>
      <c r="E16" s="665">
        <v>1.74</v>
      </c>
      <c r="F16" s="666">
        <v>1</v>
      </c>
      <c r="G16" s="664">
        <v>2100</v>
      </c>
      <c r="H16" s="667">
        <v>1900</v>
      </c>
      <c r="I16" s="667">
        <v>0</v>
      </c>
      <c r="J16" s="601">
        <v>14.6</v>
      </c>
      <c r="K16" s="601">
        <v>13.2</v>
      </c>
      <c r="L16" s="601">
        <v>0</v>
      </c>
      <c r="M16" s="602">
        <v>8</v>
      </c>
      <c r="N16" s="603">
        <v>3</v>
      </c>
      <c r="O16" s="605">
        <v>236676.65210000001</v>
      </c>
      <c r="P16" s="606">
        <v>56.5184</v>
      </c>
      <c r="Q16" s="606">
        <v>17.5945</v>
      </c>
      <c r="R16" s="607">
        <v>3.5495000000000001</v>
      </c>
      <c r="S16" s="607">
        <v>5.95</v>
      </c>
      <c r="T16" s="504"/>
      <c r="U16" s="504"/>
      <c r="V16" s="504"/>
      <c r="W16" s="504"/>
      <c r="X16" s="504"/>
    </row>
    <row r="17" spans="2:24" x14ac:dyDescent="0.4">
      <c r="B17" s="663">
        <v>667</v>
      </c>
      <c r="C17" s="668">
        <v>33.72</v>
      </c>
      <c r="D17" s="664">
        <v>1</v>
      </c>
      <c r="E17" s="665">
        <v>1.43</v>
      </c>
      <c r="F17" s="666">
        <v>1</v>
      </c>
      <c r="G17" s="664">
        <v>2100</v>
      </c>
      <c r="H17" s="667">
        <v>1900</v>
      </c>
      <c r="I17" s="667">
        <v>0</v>
      </c>
      <c r="J17" s="601">
        <v>14.6</v>
      </c>
      <c r="K17" s="601">
        <v>13.2</v>
      </c>
      <c r="L17" s="601">
        <v>0</v>
      </c>
      <c r="M17" s="602">
        <v>8</v>
      </c>
      <c r="N17" s="603">
        <v>2</v>
      </c>
      <c r="O17" s="605">
        <v>231200.01329999999</v>
      </c>
      <c r="P17" s="606">
        <v>62.368499999999997</v>
      </c>
      <c r="Q17" s="606">
        <v>14.6989</v>
      </c>
      <c r="R17" s="607">
        <v>4.4911000000000003</v>
      </c>
      <c r="S17" s="607">
        <v>7.73</v>
      </c>
      <c r="T17" s="504"/>
      <c r="U17" s="504"/>
      <c r="V17" s="504"/>
      <c r="W17" s="504"/>
      <c r="X17" s="504"/>
    </row>
    <row r="18" spans="2:24" x14ac:dyDescent="0.4">
      <c r="B18" s="663">
        <v>683</v>
      </c>
      <c r="C18" s="663">
        <v>79.41</v>
      </c>
      <c r="D18" s="664">
        <v>1</v>
      </c>
      <c r="E18" s="665">
        <v>3.83</v>
      </c>
      <c r="F18" s="666">
        <v>1</v>
      </c>
      <c r="G18" s="664">
        <v>2100</v>
      </c>
      <c r="H18" s="667">
        <v>1900</v>
      </c>
      <c r="I18" s="667">
        <v>0</v>
      </c>
      <c r="J18" s="601">
        <v>14.6</v>
      </c>
      <c r="K18" s="601">
        <v>13.2</v>
      </c>
      <c r="L18" s="601">
        <v>0</v>
      </c>
      <c r="M18" s="602">
        <v>12</v>
      </c>
      <c r="N18" s="603">
        <v>5</v>
      </c>
      <c r="O18" s="605">
        <v>187489.13959999999</v>
      </c>
      <c r="P18" s="606">
        <v>178.66220000000001</v>
      </c>
      <c r="Q18" s="606">
        <v>52.259500000000003</v>
      </c>
      <c r="R18" s="607">
        <v>5.0244</v>
      </c>
      <c r="S18" s="607">
        <v>8.48</v>
      </c>
      <c r="T18" s="504"/>
      <c r="U18" s="504"/>
      <c r="V18" s="504"/>
      <c r="W18" s="504"/>
      <c r="X18" s="504"/>
    </row>
    <row r="19" spans="2:24" x14ac:dyDescent="0.4">
      <c r="B19" s="503"/>
      <c r="C19" s="503"/>
      <c r="D19" s="524"/>
      <c r="E19" s="527"/>
      <c r="F19" s="525"/>
      <c r="G19" s="524"/>
      <c r="H19" s="526"/>
      <c r="I19" s="526"/>
      <c r="J19" s="505"/>
      <c r="K19" s="505"/>
      <c r="L19" s="505"/>
      <c r="M19" s="506"/>
      <c r="N19" s="507"/>
      <c r="O19" s="508"/>
      <c r="P19" s="511"/>
      <c r="Q19" s="511"/>
      <c r="R19" s="509"/>
      <c r="S19" s="509"/>
      <c r="T19" s="504"/>
      <c r="U19" s="504"/>
      <c r="V19" s="504"/>
      <c r="W19" s="504"/>
      <c r="X19" s="504"/>
    </row>
    <row r="20" spans="2:24" x14ac:dyDescent="0.4">
      <c r="B20" s="503"/>
      <c r="C20" s="503"/>
      <c r="D20" s="524"/>
      <c r="E20" s="527"/>
      <c r="F20" s="525"/>
      <c r="G20" s="524"/>
      <c r="H20" s="526"/>
      <c r="I20" s="526"/>
      <c r="J20" s="505"/>
      <c r="K20" s="505"/>
      <c r="L20" s="505"/>
      <c r="M20" s="506"/>
      <c r="N20" s="507"/>
      <c r="O20" s="508"/>
      <c r="P20" s="511"/>
      <c r="Q20" s="511"/>
      <c r="R20" s="509"/>
      <c r="S20" s="509"/>
      <c r="T20" s="504"/>
      <c r="U20" s="504"/>
      <c r="V20" s="504"/>
      <c r="W20" s="504"/>
      <c r="X20" s="504"/>
    </row>
    <row r="21" spans="2:24" x14ac:dyDescent="0.4">
      <c r="B21" s="503"/>
      <c r="C21" s="503"/>
      <c r="D21" s="524"/>
      <c r="E21" s="527"/>
      <c r="F21" s="525"/>
      <c r="G21" s="524"/>
      <c r="H21" s="526"/>
      <c r="I21" s="526"/>
      <c r="J21" s="505"/>
      <c r="K21" s="505"/>
      <c r="L21" s="505"/>
      <c r="M21" s="506"/>
      <c r="N21" s="507"/>
      <c r="O21" s="508"/>
      <c r="P21" s="511"/>
      <c r="Q21" s="511"/>
      <c r="R21" s="509"/>
      <c r="S21" s="509"/>
      <c r="T21" s="504"/>
      <c r="U21" s="504"/>
      <c r="V21" s="504"/>
      <c r="W21" s="504"/>
      <c r="X21" s="504"/>
    </row>
    <row r="22" spans="2:24" x14ac:dyDescent="0.4">
      <c r="B22" s="503"/>
      <c r="C22" s="503"/>
      <c r="D22" s="524"/>
      <c r="E22" s="527"/>
      <c r="F22" s="525"/>
      <c r="G22" s="524"/>
      <c r="H22" s="526"/>
      <c r="I22" s="526"/>
      <c r="J22" s="505"/>
      <c r="K22" s="505"/>
      <c r="L22" s="505"/>
      <c r="M22" s="506"/>
      <c r="N22" s="507"/>
      <c r="O22" s="508"/>
      <c r="P22" s="511"/>
      <c r="Q22" s="511"/>
      <c r="R22" s="509"/>
      <c r="S22" s="509"/>
      <c r="T22" s="504"/>
      <c r="U22" s="504"/>
      <c r="V22" s="504"/>
      <c r="W22" s="504"/>
      <c r="X22" s="504"/>
    </row>
    <row r="23" spans="2:24" x14ac:dyDescent="0.4">
      <c r="B23" s="503"/>
      <c r="C23" s="503"/>
      <c r="D23" s="524"/>
      <c r="E23" s="527"/>
      <c r="F23" s="525"/>
      <c r="G23" s="524"/>
      <c r="H23" s="526"/>
      <c r="I23" s="526"/>
      <c r="J23" s="505"/>
      <c r="K23" s="505"/>
      <c r="L23" s="505"/>
      <c r="M23" s="506"/>
      <c r="N23" s="507"/>
      <c r="O23" s="508"/>
      <c r="P23" s="511"/>
      <c r="Q23" s="511"/>
      <c r="R23" s="509"/>
      <c r="S23" s="509"/>
      <c r="T23" s="504"/>
      <c r="U23" s="504"/>
      <c r="V23" s="504"/>
      <c r="W23" s="504"/>
      <c r="X23" s="504"/>
    </row>
    <row r="24" spans="2:24" x14ac:dyDescent="0.4">
      <c r="B24" s="503"/>
      <c r="C24" s="503"/>
      <c r="D24" s="524"/>
      <c r="E24" s="527"/>
      <c r="F24" s="525"/>
      <c r="G24" s="524"/>
      <c r="H24" s="526"/>
      <c r="I24" s="526"/>
      <c r="J24" s="505"/>
      <c r="K24" s="505"/>
      <c r="L24" s="505"/>
      <c r="M24" s="506"/>
      <c r="N24" s="507"/>
      <c r="O24" s="508"/>
      <c r="P24" s="511"/>
      <c r="Q24" s="511"/>
      <c r="R24" s="509"/>
      <c r="S24" s="509"/>
      <c r="T24" s="504"/>
      <c r="U24" s="504"/>
      <c r="V24" s="504"/>
      <c r="W24" s="504"/>
      <c r="X24" s="504"/>
    </row>
    <row r="25" spans="2:24" x14ac:dyDescent="0.4">
      <c r="C25" s="481"/>
      <c r="D25" s="524"/>
      <c r="E25" s="527"/>
      <c r="F25" s="525"/>
      <c r="G25" s="524"/>
      <c r="H25" s="526"/>
      <c r="I25" s="526"/>
      <c r="J25" s="505"/>
      <c r="K25" s="505"/>
      <c r="L25" s="505"/>
      <c r="M25" s="506"/>
      <c r="N25" s="507"/>
      <c r="O25" s="508"/>
      <c r="P25" s="511"/>
      <c r="Q25" s="511"/>
      <c r="R25" s="509"/>
      <c r="S25" s="509"/>
      <c r="T25" s="504"/>
      <c r="U25" s="504"/>
      <c r="V25" s="504"/>
      <c r="W25" s="504"/>
      <c r="X25" s="504"/>
    </row>
    <row r="26" spans="2:24" x14ac:dyDescent="0.4">
      <c r="C26" s="481"/>
      <c r="D26" s="524"/>
      <c r="E26" s="527"/>
      <c r="F26" s="525"/>
      <c r="G26" s="524"/>
      <c r="H26" s="526"/>
      <c r="I26" s="526"/>
      <c r="J26" s="505"/>
      <c r="K26" s="505"/>
      <c r="L26" s="505"/>
      <c r="M26" s="506"/>
      <c r="N26" s="507"/>
      <c r="O26" s="508"/>
      <c r="P26" s="511"/>
      <c r="Q26" s="511"/>
      <c r="R26" s="509"/>
      <c r="S26" s="509"/>
      <c r="T26" s="504"/>
      <c r="U26" s="504"/>
      <c r="V26" s="504"/>
      <c r="W26" s="504"/>
      <c r="X26" s="504"/>
    </row>
    <row r="27" spans="2:24" x14ac:dyDescent="0.4">
      <c r="C27" s="481"/>
      <c r="D27" s="524"/>
      <c r="E27" s="527"/>
      <c r="F27" s="525"/>
      <c r="G27" s="524"/>
      <c r="H27" s="526"/>
      <c r="I27" s="526"/>
      <c r="J27" s="505"/>
      <c r="K27" s="505"/>
      <c r="L27" s="505"/>
      <c r="M27" s="506"/>
      <c r="N27" s="507"/>
      <c r="O27" s="508"/>
      <c r="P27" s="511"/>
      <c r="Q27" s="511"/>
      <c r="R27" s="509"/>
      <c r="S27" s="509"/>
      <c r="T27" s="504"/>
      <c r="U27" s="504"/>
      <c r="V27" s="504"/>
      <c r="W27" s="504"/>
      <c r="X27" s="504"/>
    </row>
    <row r="28" spans="2:24" x14ac:dyDescent="0.4">
      <c r="C28" s="481"/>
      <c r="D28" s="524"/>
      <c r="E28" s="527"/>
      <c r="F28" s="525"/>
      <c r="G28" s="524"/>
      <c r="H28" s="526"/>
      <c r="I28" s="526"/>
      <c r="J28" s="505"/>
      <c r="K28" s="505"/>
      <c r="L28" s="505"/>
      <c r="M28" s="506"/>
      <c r="N28" s="507"/>
      <c r="O28" s="508"/>
      <c r="P28" s="511"/>
      <c r="Q28" s="511"/>
      <c r="R28" s="509"/>
      <c r="S28" s="509"/>
      <c r="T28" s="504"/>
      <c r="U28" s="504"/>
      <c r="V28" s="504"/>
      <c r="W28" s="504"/>
      <c r="X28" s="504"/>
    </row>
    <row r="29" spans="2:24" x14ac:dyDescent="0.4">
      <c r="C29" s="481"/>
      <c r="D29" s="524"/>
      <c r="E29" s="527"/>
      <c r="F29" s="525"/>
      <c r="G29" s="524"/>
      <c r="H29" s="526"/>
      <c r="I29" s="526"/>
      <c r="J29" s="505"/>
      <c r="K29" s="505"/>
      <c r="L29" s="505"/>
      <c r="M29" s="506"/>
      <c r="N29" s="507"/>
      <c r="O29" s="508"/>
      <c r="P29" s="511"/>
      <c r="Q29" s="511"/>
      <c r="R29" s="509"/>
      <c r="S29" s="509"/>
      <c r="T29" s="504"/>
      <c r="U29" s="504"/>
      <c r="V29" s="504"/>
      <c r="W29" s="504"/>
      <c r="X29" s="504"/>
    </row>
    <row r="30" spans="2:24" x14ac:dyDescent="0.4">
      <c r="C30" s="481"/>
      <c r="D30" s="524"/>
      <c r="E30" s="527"/>
      <c r="F30" s="525"/>
      <c r="G30" s="524"/>
      <c r="H30" s="526"/>
      <c r="I30" s="526"/>
      <c r="J30" s="505"/>
      <c r="K30" s="505"/>
      <c r="L30" s="505"/>
      <c r="M30" s="506"/>
      <c r="N30" s="507"/>
      <c r="O30" s="508"/>
      <c r="P30" s="511"/>
      <c r="Q30" s="511"/>
      <c r="R30" s="509"/>
      <c r="S30" s="509"/>
      <c r="T30" s="504"/>
      <c r="U30" s="504"/>
      <c r="V30" s="504"/>
      <c r="W30" s="504"/>
      <c r="X30" s="504"/>
    </row>
    <row r="31" spans="2:24" x14ac:dyDescent="0.4">
      <c r="C31" s="481"/>
      <c r="D31" s="524"/>
      <c r="E31" s="527"/>
      <c r="F31" s="525"/>
      <c r="G31" s="524"/>
      <c r="H31" s="526"/>
      <c r="I31" s="526"/>
      <c r="J31" s="505"/>
      <c r="K31" s="505"/>
      <c r="L31" s="505"/>
      <c r="M31" s="506"/>
      <c r="N31" s="507"/>
      <c r="O31" s="508"/>
      <c r="P31" s="511"/>
      <c r="Q31" s="511"/>
      <c r="R31" s="509"/>
      <c r="S31" s="509"/>
      <c r="T31" s="504"/>
      <c r="U31" s="504"/>
      <c r="V31" s="504"/>
      <c r="W31" s="504"/>
      <c r="X31" s="504"/>
    </row>
    <row r="32" spans="2:24" x14ac:dyDescent="0.4">
      <c r="C32" s="481"/>
      <c r="D32" s="524"/>
      <c r="E32" s="527"/>
      <c r="F32" s="525"/>
      <c r="G32" s="524"/>
      <c r="H32" s="526"/>
      <c r="I32" s="526"/>
      <c r="J32" s="505"/>
      <c r="K32" s="505"/>
      <c r="L32" s="505"/>
      <c r="M32" s="506"/>
      <c r="N32" s="507"/>
      <c r="O32" s="508"/>
      <c r="P32" s="511"/>
      <c r="Q32" s="511"/>
      <c r="R32" s="509"/>
      <c r="S32" s="509"/>
      <c r="T32" s="504"/>
      <c r="U32" s="504"/>
      <c r="V32" s="504"/>
      <c r="W32" s="504"/>
      <c r="X32" s="504"/>
    </row>
    <row r="33" spans="3:24" x14ac:dyDescent="0.4">
      <c r="C33" s="481"/>
      <c r="D33" s="524"/>
      <c r="E33" s="527"/>
      <c r="F33" s="525"/>
      <c r="G33" s="524"/>
      <c r="H33" s="526"/>
      <c r="I33" s="526"/>
      <c r="J33" s="505"/>
      <c r="K33" s="505"/>
      <c r="L33" s="505"/>
      <c r="M33" s="506"/>
      <c r="N33" s="507"/>
      <c r="O33" s="508"/>
      <c r="P33" s="511"/>
      <c r="Q33" s="511"/>
      <c r="R33" s="509"/>
      <c r="S33" s="509"/>
      <c r="T33" s="504"/>
      <c r="U33" s="504"/>
      <c r="V33" s="504"/>
      <c r="W33" s="504"/>
      <c r="X33" s="504"/>
    </row>
    <row r="34" spans="3:24" x14ac:dyDescent="0.4">
      <c r="C34" s="481"/>
      <c r="D34" s="524"/>
      <c r="E34" s="527"/>
      <c r="F34" s="525"/>
      <c r="G34" s="524"/>
      <c r="H34" s="526"/>
      <c r="I34" s="526"/>
      <c r="J34" s="505"/>
      <c r="K34" s="505"/>
      <c r="L34" s="505"/>
      <c r="M34" s="506"/>
      <c r="N34" s="507"/>
      <c r="O34" s="508"/>
      <c r="P34" s="511"/>
      <c r="Q34" s="511"/>
      <c r="R34" s="509"/>
      <c r="S34" s="509"/>
      <c r="T34" s="504"/>
      <c r="U34" s="504"/>
      <c r="V34" s="504"/>
      <c r="W34" s="504"/>
      <c r="X34" s="504"/>
    </row>
    <row r="35" spans="3:24" x14ac:dyDescent="0.4">
      <c r="C35" s="481"/>
      <c r="D35" s="524"/>
      <c r="E35" s="527"/>
      <c r="F35" s="525"/>
      <c r="G35" s="524"/>
      <c r="H35" s="526"/>
      <c r="I35" s="526"/>
      <c r="J35" s="505"/>
      <c r="K35" s="505"/>
      <c r="L35" s="505"/>
      <c r="M35" s="506"/>
      <c r="N35" s="507"/>
      <c r="O35" s="508"/>
      <c r="P35" s="511"/>
      <c r="Q35" s="511"/>
      <c r="R35" s="509"/>
      <c r="S35" s="509"/>
      <c r="T35" s="504"/>
      <c r="U35" s="504"/>
      <c r="V35" s="504"/>
      <c r="W35" s="504"/>
      <c r="X35" s="504"/>
    </row>
    <row r="36" spans="3:24" x14ac:dyDescent="0.4">
      <c r="C36" s="481"/>
      <c r="D36" s="524"/>
      <c r="E36" s="527"/>
      <c r="F36" s="525"/>
      <c r="G36" s="524"/>
      <c r="H36" s="526"/>
      <c r="I36" s="526"/>
      <c r="J36" s="505"/>
      <c r="K36" s="505"/>
      <c r="L36" s="505"/>
      <c r="M36" s="506"/>
      <c r="N36" s="507"/>
      <c r="O36" s="508"/>
      <c r="P36" s="511"/>
      <c r="Q36" s="511"/>
      <c r="R36" s="509"/>
      <c r="S36" s="509"/>
      <c r="T36" s="504"/>
      <c r="U36" s="504"/>
      <c r="V36" s="504"/>
      <c r="W36" s="504"/>
      <c r="X36" s="504"/>
    </row>
    <row r="37" spans="3:24" x14ac:dyDescent="0.4">
      <c r="C37" s="481"/>
      <c r="D37" s="524"/>
      <c r="E37" s="527"/>
      <c r="F37" s="525"/>
      <c r="G37" s="524"/>
      <c r="H37" s="526"/>
      <c r="I37" s="526"/>
      <c r="J37" s="505"/>
      <c r="K37" s="505"/>
      <c r="L37" s="505"/>
      <c r="M37" s="506"/>
      <c r="N37" s="507"/>
      <c r="O37" s="508"/>
      <c r="P37" s="511"/>
      <c r="Q37" s="511"/>
      <c r="R37" s="509"/>
      <c r="S37" s="509"/>
      <c r="T37" s="504"/>
      <c r="U37" s="504"/>
      <c r="V37" s="504"/>
      <c r="W37" s="504"/>
      <c r="X37" s="504"/>
    </row>
    <row r="38" spans="3:24" x14ac:dyDescent="0.4">
      <c r="C38" s="481"/>
      <c r="D38" s="524"/>
      <c r="E38" s="527"/>
      <c r="F38" s="525"/>
      <c r="G38" s="524"/>
      <c r="H38" s="526"/>
      <c r="I38" s="526"/>
      <c r="J38" s="505"/>
      <c r="K38" s="505"/>
      <c r="L38" s="505"/>
      <c r="M38" s="506"/>
      <c r="N38" s="507"/>
      <c r="O38" s="508"/>
      <c r="P38" s="511"/>
      <c r="Q38" s="511"/>
      <c r="R38" s="509"/>
      <c r="S38" s="509"/>
      <c r="T38" s="504"/>
      <c r="U38" s="504"/>
      <c r="V38" s="504"/>
      <c r="W38" s="504"/>
      <c r="X38" s="504"/>
    </row>
    <row r="39" spans="3:24" x14ac:dyDescent="0.4">
      <c r="C39" s="481"/>
      <c r="D39" s="524"/>
      <c r="E39" s="527"/>
      <c r="F39" s="525"/>
      <c r="G39" s="524"/>
      <c r="H39" s="526"/>
      <c r="I39" s="526"/>
      <c r="J39" s="505"/>
      <c r="K39" s="505"/>
      <c r="L39" s="505"/>
      <c r="M39" s="506"/>
      <c r="N39" s="507"/>
      <c r="O39" s="508"/>
      <c r="P39" s="511"/>
      <c r="Q39" s="511"/>
      <c r="R39" s="509"/>
      <c r="S39" s="509"/>
      <c r="T39" s="504"/>
      <c r="U39" s="504"/>
      <c r="V39" s="504"/>
      <c r="W39" s="504"/>
      <c r="X39" s="504"/>
    </row>
    <row r="40" spans="3:24" x14ac:dyDescent="0.4">
      <c r="C40" s="481"/>
      <c r="D40" s="524"/>
      <c r="E40" s="527"/>
      <c r="F40" s="525"/>
      <c r="G40" s="524"/>
      <c r="H40" s="526"/>
      <c r="I40" s="526"/>
      <c r="J40" s="505"/>
      <c r="K40" s="505"/>
      <c r="L40" s="505"/>
      <c r="M40" s="506"/>
      <c r="N40" s="507"/>
      <c r="O40" s="508"/>
      <c r="P40" s="511"/>
      <c r="Q40" s="511"/>
      <c r="R40" s="509"/>
      <c r="S40" s="509"/>
      <c r="T40" s="504"/>
      <c r="U40" s="504"/>
      <c r="V40" s="504"/>
      <c r="W40" s="504"/>
      <c r="X40" s="504"/>
    </row>
    <row r="41" spans="3:24" x14ac:dyDescent="0.4">
      <c r="C41" s="481"/>
      <c r="D41" s="524"/>
      <c r="E41" s="527"/>
      <c r="F41" s="525"/>
      <c r="G41" s="524"/>
      <c r="H41" s="526"/>
      <c r="I41" s="526"/>
      <c r="J41" s="505"/>
      <c r="K41" s="505"/>
      <c r="L41" s="505"/>
      <c r="M41" s="506"/>
      <c r="N41" s="507"/>
      <c r="O41" s="508"/>
      <c r="P41" s="511"/>
      <c r="Q41" s="511"/>
      <c r="R41" s="509"/>
      <c r="S41" s="509"/>
      <c r="T41" s="504"/>
      <c r="U41" s="504"/>
      <c r="V41" s="504"/>
      <c r="W41" s="504"/>
      <c r="X41" s="504"/>
    </row>
    <row r="42" spans="3:24" x14ac:dyDescent="0.4">
      <c r="C42" s="481"/>
      <c r="D42" s="524"/>
      <c r="E42" s="527"/>
      <c r="F42" s="525"/>
      <c r="G42" s="524"/>
      <c r="H42" s="526"/>
      <c r="I42" s="526"/>
      <c r="J42" s="505"/>
      <c r="K42" s="505"/>
      <c r="L42" s="505"/>
      <c r="M42" s="506"/>
      <c r="N42" s="507"/>
      <c r="O42" s="508"/>
      <c r="P42" s="511"/>
      <c r="Q42" s="511"/>
      <c r="R42" s="509"/>
      <c r="S42" s="509"/>
      <c r="T42" s="504"/>
      <c r="U42" s="504"/>
      <c r="V42" s="504"/>
      <c r="W42" s="504"/>
      <c r="X42" s="504"/>
    </row>
    <row r="43" spans="3:24" x14ac:dyDescent="0.4">
      <c r="C43" s="481"/>
      <c r="D43" s="524"/>
      <c r="E43" s="527"/>
      <c r="F43" s="525"/>
      <c r="G43" s="524"/>
      <c r="H43" s="526"/>
      <c r="I43" s="526"/>
      <c r="J43" s="505"/>
      <c r="K43" s="505"/>
      <c r="L43" s="505"/>
      <c r="M43" s="506"/>
      <c r="N43" s="507"/>
      <c r="O43" s="508"/>
      <c r="P43" s="511"/>
      <c r="Q43" s="511"/>
      <c r="R43" s="509"/>
      <c r="S43" s="509"/>
      <c r="T43" s="504"/>
      <c r="U43" s="504"/>
      <c r="V43" s="504"/>
      <c r="W43" s="504"/>
      <c r="X43" s="504"/>
    </row>
    <row r="44" spans="3:24" x14ac:dyDescent="0.4">
      <c r="C44" s="481"/>
      <c r="D44" s="524"/>
      <c r="E44" s="527"/>
      <c r="F44" s="525"/>
      <c r="G44" s="524"/>
      <c r="H44" s="526"/>
      <c r="I44" s="526"/>
      <c r="J44" s="505"/>
      <c r="K44" s="505"/>
      <c r="L44" s="505"/>
      <c r="M44" s="506"/>
      <c r="N44" s="507"/>
      <c r="O44" s="508"/>
      <c r="P44" s="511"/>
      <c r="Q44" s="511"/>
      <c r="R44" s="509"/>
      <c r="S44" s="509"/>
      <c r="T44" s="504"/>
      <c r="U44" s="504"/>
      <c r="V44" s="504"/>
      <c r="W44" s="504"/>
      <c r="X44" s="504"/>
    </row>
    <row r="45" spans="3:24" x14ac:dyDescent="0.4">
      <c r="C45" s="481"/>
      <c r="D45" s="524"/>
      <c r="E45" s="527"/>
      <c r="F45" s="525"/>
      <c r="G45" s="524"/>
      <c r="H45" s="526"/>
      <c r="I45" s="526"/>
      <c r="J45" s="505"/>
      <c r="K45" s="505"/>
      <c r="L45" s="505"/>
      <c r="M45" s="506"/>
      <c r="N45" s="507"/>
      <c r="O45" s="508"/>
      <c r="P45" s="511"/>
      <c r="Q45" s="511"/>
      <c r="R45" s="509"/>
      <c r="S45" s="509"/>
      <c r="T45" s="504"/>
      <c r="U45" s="504"/>
      <c r="V45" s="504"/>
      <c r="W45" s="504"/>
      <c r="X45" s="504"/>
    </row>
    <row r="46" spans="3:24" x14ac:dyDescent="0.4">
      <c r="C46" s="481"/>
      <c r="D46" s="524"/>
      <c r="E46" s="527"/>
      <c r="F46" s="525"/>
      <c r="G46" s="524"/>
      <c r="H46" s="526"/>
      <c r="I46" s="526"/>
      <c r="J46" s="505"/>
      <c r="K46" s="505"/>
      <c r="L46" s="505"/>
      <c r="M46" s="506"/>
      <c r="N46" s="507"/>
      <c r="O46" s="508"/>
      <c r="P46" s="511"/>
      <c r="Q46" s="511"/>
      <c r="R46" s="509"/>
      <c r="S46" s="509"/>
      <c r="T46" s="504"/>
      <c r="U46" s="504"/>
      <c r="V46" s="504"/>
      <c r="W46" s="504"/>
      <c r="X46" s="504"/>
    </row>
    <row r="47" spans="3:24" x14ac:dyDescent="0.4">
      <c r="C47" s="481"/>
      <c r="D47" s="524"/>
      <c r="E47" s="527"/>
      <c r="F47" s="525"/>
      <c r="G47" s="524"/>
      <c r="H47" s="526"/>
      <c r="I47" s="526"/>
      <c r="J47" s="505"/>
      <c r="K47" s="505"/>
      <c r="L47" s="505"/>
      <c r="M47" s="506"/>
      <c r="N47" s="507"/>
      <c r="O47" s="508"/>
      <c r="P47" s="511"/>
      <c r="Q47" s="511"/>
      <c r="R47" s="509"/>
      <c r="S47" s="509"/>
      <c r="T47" s="504"/>
      <c r="U47" s="504"/>
      <c r="V47" s="504"/>
      <c r="W47" s="504"/>
      <c r="X47" s="504"/>
    </row>
    <row r="48" spans="3:24" x14ac:dyDescent="0.4">
      <c r="C48" s="481"/>
      <c r="D48" s="524"/>
      <c r="E48" s="527"/>
      <c r="F48" s="525"/>
      <c r="G48" s="524"/>
      <c r="H48" s="526"/>
      <c r="I48" s="526"/>
      <c r="J48" s="505"/>
      <c r="K48" s="505"/>
      <c r="L48" s="505"/>
      <c r="M48" s="506"/>
      <c r="N48" s="507"/>
      <c r="O48" s="508"/>
      <c r="P48" s="511"/>
      <c r="Q48" s="511"/>
      <c r="R48" s="509"/>
      <c r="S48" s="509"/>
      <c r="T48" s="504"/>
      <c r="U48" s="504"/>
      <c r="V48" s="504"/>
      <c r="W48" s="504"/>
      <c r="X48" s="504"/>
    </row>
    <row r="49" spans="3:24" x14ac:dyDescent="0.4">
      <c r="C49" s="481"/>
      <c r="D49" s="524"/>
      <c r="E49" s="527"/>
      <c r="F49" s="525"/>
      <c r="G49" s="524"/>
      <c r="H49" s="526"/>
      <c r="I49" s="526"/>
      <c r="J49" s="505"/>
      <c r="K49" s="505"/>
      <c r="L49" s="505"/>
      <c r="M49" s="506"/>
      <c r="N49" s="507"/>
      <c r="O49" s="508"/>
      <c r="P49" s="511"/>
      <c r="Q49" s="511"/>
      <c r="R49" s="509"/>
      <c r="S49" s="509"/>
      <c r="T49" s="504"/>
      <c r="U49" s="504"/>
      <c r="V49" s="504"/>
      <c r="W49" s="504"/>
      <c r="X49" s="504"/>
    </row>
    <row r="50" spans="3:24" x14ac:dyDescent="0.4">
      <c r="C50" s="481"/>
      <c r="D50" s="524"/>
      <c r="E50" s="527"/>
      <c r="F50" s="525"/>
      <c r="G50" s="524"/>
      <c r="H50" s="526"/>
      <c r="I50" s="526"/>
      <c r="J50" s="505"/>
      <c r="K50" s="505"/>
      <c r="L50" s="505"/>
      <c r="M50" s="506"/>
      <c r="N50" s="507"/>
      <c r="O50" s="508"/>
      <c r="P50" s="511"/>
      <c r="Q50" s="511"/>
      <c r="R50" s="509"/>
      <c r="S50" s="509"/>
      <c r="T50" s="504"/>
      <c r="U50" s="504"/>
      <c r="V50" s="504"/>
      <c r="W50" s="504"/>
      <c r="X50" s="504"/>
    </row>
    <row r="51" spans="3:24" x14ac:dyDescent="0.4">
      <c r="C51" s="481"/>
      <c r="D51" s="524"/>
      <c r="E51" s="527"/>
      <c r="F51" s="525"/>
      <c r="G51" s="524"/>
      <c r="H51" s="526"/>
      <c r="I51" s="526"/>
      <c r="J51" s="505"/>
      <c r="K51" s="505"/>
      <c r="L51" s="505"/>
      <c r="M51" s="506"/>
      <c r="N51" s="507"/>
      <c r="O51" s="508"/>
      <c r="P51" s="511"/>
      <c r="Q51" s="511"/>
      <c r="R51" s="509"/>
      <c r="S51" s="509"/>
      <c r="T51" s="504"/>
      <c r="U51" s="504"/>
      <c r="V51" s="504"/>
      <c r="W51" s="504"/>
      <c r="X51" s="504"/>
    </row>
    <row r="52" spans="3:24" x14ac:dyDescent="0.4">
      <c r="C52" s="481"/>
      <c r="D52" s="524"/>
      <c r="E52" s="527"/>
      <c r="F52" s="525"/>
      <c r="G52" s="524"/>
      <c r="H52" s="526"/>
      <c r="I52" s="526"/>
      <c r="J52" s="505"/>
      <c r="K52" s="505"/>
      <c r="L52" s="505"/>
      <c r="M52" s="506"/>
      <c r="N52" s="507"/>
      <c r="O52" s="508"/>
      <c r="P52" s="511"/>
      <c r="Q52" s="511"/>
      <c r="R52" s="509"/>
      <c r="S52" s="509"/>
      <c r="T52" s="504"/>
      <c r="U52" s="504"/>
      <c r="V52" s="504"/>
      <c r="W52" s="504"/>
      <c r="X52" s="504"/>
    </row>
    <row r="53" spans="3:24" x14ac:dyDescent="0.4">
      <c r="C53" s="481"/>
      <c r="D53" s="524"/>
      <c r="E53" s="527"/>
      <c r="F53" s="525"/>
      <c r="G53" s="524"/>
      <c r="H53" s="526"/>
      <c r="I53" s="526"/>
      <c r="J53" s="505"/>
      <c r="K53" s="505"/>
      <c r="L53" s="505"/>
      <c r="M53" s="506"/>
      <c r="N53" s="507"/>
      <c r="O53" s="508"/>
      <c r="P53" s="511"/>
      <c r="Q53" s="511"/>
      <c r="R53" s="509"/>
      <c r="S53" s="509"/>
      <c r="T53" s="504"/>
      <c r="U53" s="504"/>
      <c r="V53" s="504"/>
      <c r="W53" s="504"/>
      <c r="X53" s="504"/>
    </row>
    <row r="54" spans="3:24" x14ac:dyDescent="0.4">
      <c r="C54" s="481"/>
      <c r="D54" s="524"/>
      <c r="E54" s="527"/>
      <c r="F54" s="525"/>
      <c r="G54" s="524"/>
      <c r="H54" s="526"/>
      <c r="I54" s="526"/>
      <c r="J54" s="505"/>
      <c r="K54" s="505"/>
      <c r="L54" s="505"/>
      <c r="M54" s="506"/>
      <c r="N54" s="507"/>
      <c r="O54" s="508"/>
      <c r="P54" s="511"/>
      <c r="Q54" s="511"/>
      <c r="R54" s="509"/>
      <c r="S54" s="509"/>
      <c r="T54" s="504"/>
      <c r="U54" s="504"/>
      <c r="V54" s="504"/>
      <c r="W54" s="504"/>
      <c r="X54" s="504"/>
    </row>
    <row r="55" spans="3:24" x14ac:dyDescent="0.4">
      <c r="C55" s="481"/>
      <c r="D55" s="524"/>
      <c r="E55" s="527"/>
      <c r="F55" s="525"/>
      <c r="G55" s="524"/>
      <c r="H55" s="526"/>
      <c r="I55" s="526"/>
      <c r="J55" s="505"/>
      <c r="K55" s="505"/>
      <c r="L55" s="505"/>
      <c r="M55" s="506"/>
      <c r="N55" s="507"/>
      <c r="O55" s="508"/>
      <c r="P55" s="511"/>
      <c r="Q55" s="511"/>
      <c r="R55" s="509"/>
      <c r="S55" s="509"/>
      <c r="T55" s="504"/>
      <c r="U55" s="504"/>
      <c r="V55" s="504"/>
      <c r="W55" s="504"/>
      <c r="X55" s="504"/>
    </row>
    <row r="56" spans="3:24" x14ac:dyDescent="0.4">
      <c r="C56" s="481"/>
      <c r="D56" s="524"/>
      <c r="E56" s="527"/>
      <c r="F56" s="525"/>
      <c r="G56" s="524"/>
      <c r="H56" s="526"/>
      <c r="I56" s="526"/>
      <c r="J56" s="505"/>
      <c r="K56" s="505"/>
      <c r="L56" s="505"/>
      <c r="M56" s="506"/>
      <c r="N56" s="507"/>
      <c r="O56" s="508"/>
      <c r="P56" s="511"/>
      <c r="Q56" s="511"/>
      <c r="R56" s="509"/>
      <c r="S56" s="509"/>
      <c r="T56" s="504"/>
      <c r="U56" s="504"/>
      <c r="V56" s="504"/>
      <c r="W56" s="504"/>
      <c r="X56" s="504"/>
    </row>
    <row r="57" spans="3:24" x14ac:dyDescent="0.4">
      <c r="C57" s="481"/>
      <c r="D57" s="524"/>
      <c r="E57" s="527"/>
      <c r="F57" s="525"/>
      <c r="G57" s="524"/>
      <c r="H57" s="526"/>
      <c r="I57" s="526"/>
      <c r="J57" s="505"/>
      <c r="K57" s="505"/>
      <c r="L57" s="505"/>
      <c r="M57" s="506"/>
      <c r="N57" s="507"/>
      <c r="O57" s="508"/>
      <c r="P57" s="511"/>
      <c r="Q57" s="511"/>
      <c r="R57" s="509"/>
      <c r="S57" s="509"/>
      <c r="T57" s="504"/>
      <c r="U57" s="504"/>
      <c r="V57" s="504"/>
      <c r="W57" s="504"/>
      <c r="X57" s="504"/>
    </row>
    <row r="58" spans="3:24" x14ac:dyDescent="0.4">
      <c r="C58" s="481"/>
      <c r="D58" s="524"/>
      <c r="E58" s="527"/>
      <c r="F58" s="525"/>
      <c r="G58" s="524"/>
      <c r="H58" s="526"/>
      <c r="I58" s="526"/>
      <c r="J58" s="505"/>
      <c r="K58" s="505"/>
      <c r="L58" s="505"/>
      <c r="M58" s="506"/>
      <c r="N58" s="507"/>
      <c r="O58" s="508"/>
      <c r="P58" s="511"/>
      <c r="Q58" s="511"/>
      <c r="R58" s="509"/>
      <c r="S58" s="509"/>
      <c r="T58" s="504"/>
      <c r="U58" s="504"/>
      <c r="V58" s="504"/>
      <c r="W58" s="504"/>
      <c r="X58" s="504"/>
    </row>
    <row r="59" spans="3:24" x14ac:dyDescent="0.4">
      <c r="C59" s="481"/>
      <c r="D59" s="524"/>
      <c r="E59" s="527"/>
      <c r="F59" s="525"/>
      <c r="G59" s="524"/>
      <c r="H59" s="526"/>
      <c r="I59" s="526"/>
      <c r="J59" s="505"/>
      <c r="K59" s="505"/>
      <c r="L59" s="505"/>
      <c r="M59" s="506"/>
      <c r="N59" s="507"/>
      <c r="O59" s="508"/>
      <c r="P59" s="511"/>
      <c r="Q59" s="511"/>
      <c r="R59" s="509"/>
      <c r="S59" s="509"/>
      <c r="T59" s="504"/>
      <c r="U59" s="504"/>
      <c r="V59" s="504"/>
      <c r="W59" s="504"/>
      <c r="X59" s="504"/>
    </row>
    <row r="60" spans="3:24" x14ac:dyDescent="0.4">
      <c r="C60" s="481"/>
      <c r="D60" s="524"/>
      <c r="E60" s="527"/>
      <c r="F60" s="525"/>
      <c r="G60" s="524"/>
      <c r="H60" s="526"/>
      <c r="I60" s="526"/>
      <c r="J60" s="505"/>
      <c r="K60" s="505"/>
      <c r="L60" s="505"/>
      <c r="M60" s="506"/>
      <c r="N60" s="507"/>
      <c r="O60" s="508"/>
      <c r="P60" s="511"/>
      <c r="Q60" s="511"/>
      <c r="R60" s="509"/>
      <c r="S60" s="509"/>
      <c r="T60" s="504"/>
      <c r="U60" s="504"/>
      <c r="V60" s="504"/>
      <c r="W60" s="504"/>
      <c r="X60" s="504"/>
    </row>
    <row r="61" spans="3:24" x14ac:dyDescent="0.4">
      <c r="C61" s="481"/>
      <c r="D61" s="524"/>
      <c r="E61" s="527"/>
      <c r="F61" s="525"/>
      <c r="G61" s="524"/>
      <c r="H61" s="526"/>
      <c r="I61" s="526"/>
      <c r="J61" s="505"/>
      <c r="K61" s="505"/>
      <c r="L61" s="505"/>
      <c r="M61" s="506"/>
      <c r="N61" s="507"/>
      <c r="O61" s="508"/>
      <c r="P61" s="511"/>
      <c r="Q61" s="511"/>
      <c r="R61" s="509"/>
      <c r="S61" s="509"/>
      <c r="T61" s="504"/>
      <c r="U61" s="504"/>
      <c r="V61" s="504"/>
      <c r="W61" s="504"/>
      <c r="X61" s="504"/>
    </row>
    <row r="62" spans="3:24" x14ac:dyDescent="0.4">
      <c r="C62" s="481"/>
      <c r="D62" s="524"/>
      <c r="E62" s="527"/>
      <c r="F62" s="525"/>
      <c r="G62" s="524"/>
      <c r="H62" s="526"/>
      <c r="I62" s="526"/>
      <c r="J62" s="505"/>
      <c r="K62" s="505"/>
      <c r="L62" s="505"/>
      <c r="M62" s="506"/>
      <c r="N62" s="507"/>
      <c r="O62" s="508"/>
      <c r="P62" s="511"/>
      <c r="Q62" s="511"/>
      <c r="R62" s="509"/>
      <c r="S62" s="509"/>
      <c r="T62" s="504"/>
      <c r="U62" s="504"/>
      <c r="V62" s="504"/>
      <c r="W62" s="504"/>
      <c r="X62" s="504"/>
    </row>
    <row r="63" spans="3:24" x14ac:dyDescent="0.4">
      <c r="C63" s="481"/>
      <c r="D63" s="524"/>
      <c r="E63" s="527"/>
      <c r="F63" s="525"/>
      <c r="G63" s="524"/>
      <c r="H63" s="526"/>
      <c r="I63" s="526"/>
      <c r="J63" s="505"/>
      <c r="K63" s="505"/>
      <c r="L63" s="505"/>
      <c r="M63" s="506"/>
      <c r="N63" s="507"/>
      <c r="O63" s="508"/>
      <c r="P63" s="511"/>
      <c r="Q63" s="511"/>
      <c r="R63" s="509"/>
      <c r="S63" s="509"/>
      <c r="T63" s="504"/>
      <c r="U63" s="504"/>
      <c r="V63" s="504"/>
      <c r="W63" s="504"/>
      <c r="X63" s="504"/>
    </row>
    <row r="64" spans="3:24" x14ac:dyDescent="0.4">
      <c r="C64" s="481"/>
      <c r="D64" s="524"/>
      <c r="E64" s="527"/>
      <c r="F64" s="525"/>
      <c r="G64" s="524"/>
      <c r="H64" s="526"/>
      <c r="I64" s="526"/>
      <c r="J64" s="505"/>
      <c r="K64" s="505"/>
      <c r="L64" s="505"/>
      <c r="M64" s="506"/>
      <c r="N64" s="507"/>
      <c r="O64" s="508"/>
      <c r="P64" s="511"/>
      <c r="Q64" s="511"/>
      <c r="R64" s="509"/>
      <c r="S64" s="509"/>
      <c r="T64" s="504"/>
      <c r="U64" s="504"/>
      <c r="V64" s="504"/>
      <c r="W64" s="504"/>
      <c r="X64" s="504"/>
    </row>
    <row r="65" spans="3:24" x14ac:dyDescent="0.4">
      <c r="C65" s="481"/>
      <c r="D65" s="524"/>
      <c r="E65" s="527"/>
      <c r="F65" s="525"/>
      <c r="G65" s="524"/>
      <c r="H65" s="526"/>
      <c r="I65" s="526"/>
      <c r="J65" s="505"/>
      <c r="K65" s="505"/>
      <c r="L65" s="505"/>
      <c r="M65" s="506"/>
      <c r="N65" s="507"/>
      <c r="O65" s="508"/>
      <c r="P65" s="511"/>
      <c r="Q65" s="511"/>
      <c r="R65" s="509"/>
      <c r="S65" s="509"/>
      <c r="T65" s="504"/>
      <c r="U65" s="504"/>
      <c r="V65" s="504"/>
      <c r="W65" s="504"/>
      <c r="X65" s="504"/>
    </row>
    <row r="66" spans="3:24" x14ac:dyDescent="0.4">
      <c r="C66" s="481"/>
      <c r="D66" s="524"/>
      <c r="E66" s="527"/>
      <c r="F66" s="525"/>
      <c r="G66" s="524"/>
      <c r="H66" s="526"/>
      <c r="I66" s="526"/>
      <c r="J66" s="505"/>
      <c r="K66" s="505"/>
      <c r="L66" s="505"/>
      <c r="M66" s="506"/>
      <c r="N66" s="507"/>
      <c r="O66" s="508"/>
      <c r="P66" s="511"/>
      <c r="Q66" s="511"/>
      <c r="R66" s="509"/>
      <c r="S66" s="509"/>
      <c r="T66" s="504"/>
      <c r="U66" s="504"/>
      <c r="V66" s="504"/>
      <c r="W66" s="504"/>
      <c r="X66" s="504"/>
    </row>
    <row r="67" spans="3:24" x14ac:dyDescent="0.4">
      <c r="C67" s="481"/>
      <c r="D67" s="524"/>
      <c r="E67" s="527"/>
      <c r="F67" s="525"/>
      <c r="G67" s="524"/>
      <c r="H67" s="526"/>
      <c r="I67" s="526"/>
      <c r="J67" s="505"/>
      <c r="K67" s="505"/>
      <c r="L67" s="505"/>
      <c r="M67" s="506"/>
      <c r="N67" s="507"/>
      <c r="O67" s="508"/>
      <c r="P67" s="511"/>
      <c r="Q67" s="511"/>
      <c r="R67" s="509"/>
      <c r="S67" s="509"/>
      <c r="T67" s="504"/>
      <c r="U67" s="504"/>
      <c r="V67" s="504"/>
      <c r="W67" s="504"/>
      <c r="X67" s="504"/>
    </row>
    <row r="68" spans="3:24" x14ac:dyDescent="0.4">
      <c r="C68" s="481"/>
      <c r="D68" s="524"/>
      <c r="E68" s="527"/>
      <c r="F68" s="525"/>
      <c r="G68" s="524"/>
      <c r="H68" s="526"/>
      <c r="I68" s="526"/>
      <c r="J68" s="505"/>
      <c r="K68" s="505"/>
      <c r="L68" s="505"/>
      <c r="M68" s="506"/>
      <c r="N68" s="507"/>
      <c r="O68" s="508"/>
      <c r="P68" s="511"/>
      <c r="Q68" s="511"/>
      <c r="R68" s="509"/>
      <c r="S68" s="509"/>
      <c r="T68" s="504"/>
      <c r="U68" s="504"/>
      <c r="V68" s="504"/>
      <c r="W68" s="504"/>
      <c r="X68" s="504"/>
    </row>
    <row r="69" spans="3:24" x14ac:dyDescent="0.4">
      <c r="C69" s="481"/>
      <c r="D69" s="524"/>
      <c r="E69" s="527"/>
      <c r="F69" s="525"/>
      <c r="G69" s="524"/>
      <c r="H69" s="526"/>
      <c r="I69" s="526"/>
      <c r="J69" s="505"/>
      <c r="K69" s="505"/>
      <c r="L69" s="505"/>
      <c r="M69" s="506"/>
      <c r="N69" s="507"/>
      <c r="O69" s="508"/>
      <c r="P69" s="511"/>
      <c r="Q69" s="511"/>
      <c r="R69" s="509"/>
      <c r="S69" s="509"/>
      <c r="T69" s="504"/>
      <c r="U69" s="504"/>
      <c r="V69" s="504"/>
      <c r="W69" s="504"/>
      <c r="X69" s="504"/>
    </row>
    <row r="70" spans="3:24" x14ac:dyDescent="0.4">
      <c r="C70" s="481"/>
      <c r="D70" s="524"/>
      <c r="E70" s="527"/>
      <c r="F70" s="525"/>
      <c r="G70" s="524"/>
      <c r="H70" s="526"/>
      <c r="I70" s="526"/>
      <c r="J70" s="505"/>
      <c r="K70" s="505"/>
      <c r="L70" s="505"/>
      <c r="M70" s="506"/>
      <c r="N70" s="507"/>
      <c r="O70" s="508"/>
      <c r="P70" s="511"/>
      <c r="Q70" s="511"/>
      <c r="R70" s="509"/>
      <c r="S70" s="509"/>
      <c r="T70" s="504"/>
      <c r="U70" s="504"/>
      <c r="V70" s="504"/>
      <c r="W70" s="504"/>
      <c r="X70" s="504"/>
    </row>
    <row r="71" spans="3:24" x14ac:dyDescent="0.4">
      <c r="C71" s="481"/>
      <c r="D71" s="524"/>
      <c r="E71" s="527"/>
      <c r="F71" s="525"/>
      <c r="G71" s="524"/>
      <c r="H71" s="526"/>
      <c r="I71" s="526"/>
      <c r="J71" s="505"/>
      <c r="K71" s="505"/>
      <c r="L71" s="505"/>
      <c r="M71" s="506"/>
      <c r="N71" s="507"/>
      <c r="O71" s="508"/>
      <c r="P71" s="511"/>
      <c r="Q71" s="511"/>
      <c r="R71" s="509"/>
      <c r="S71" s="509"/>
      <c r="T71" s="504"/>
      <c r="U71" s="504"/>
      <c r="V71" s="504"/>
      <c r="W71" s="504"/>
      <c r="X71" s="504"/>
    </row>
    <row r="72" spans="3:24" x14ac:dyDescent="0.4">
      <c r="C72" s="481"/>
      <c r="D72" s="524"/>
      <c r="E72" s="527"/>
      <c r="F72" s="525"/>
      <c r="G72" s="524"/>
      <c r="H72" s="526"/>
      <c r="I72" s="526"/>
      <c r="J72" s="505"/>
      <c r="K72" s="505"/>
      <c r="L72" s="505"/>
      <c r="M72" s="506"/>
      <c r="N72" s="507"/>
      <c r="O72" s="508"/>
      <c r="P72" s="511"/>
      <c r="Q72" s="511"/>
      <c r="R72" s="509"/>
      <c r="S72" s="509"/>
      <c r="T72" s="504"/>
      <c r="U72" s="504"/>
      <c r="V72" s="504"/>
      <c r="W72" s="504"/>
      <c r="X72" s="504"/>
    </row>
    <row r="73" spans="3:24" x14ac:dyDescent="0.4">
      <c r="C73" s="481"/>
      <c r="D73" s="524"/>
      <c r="E73" s="527"/>
      <c r="F73" s="525"/>
      <c r="G73" s="524"/>
      <c r="H73" s="526"/>
      <c r="I73" s="526"/>
      <c r="J73" s="505"/>
      <c r="K73" s="505"/>
      <c r="L73" s="505"/>
      <c r="M73" s="506"/>
      <c r="N73" s="507"/>
      <c r="O73" s="508"/>
      <c r="P73" s="511"/>
      <c r="Q73" s="511"/>
      <c r="R73" s="509"/>
      <c r="S73" s="509"/>
      <c r="T73" s="504"/>
      <c r="U73" s="504"/>
      <c r="V73" s="504"/>
      <c r="W73" s="504"/>
      <c r="X73" s="504"/>
    </row>
    <row r="74" spans="3:24" x14ac:dyDescent="0.4">
      <c r="C74" s="481"/>
      <c r="D74" s="524"/>
      <c r="E74" s="527"/>
      <c r="F74" s="525"/>
      <c r="G74" s="524"/>
      <c r="H74" s="526"/>
      <c r="I74" s="526"/>
      <c r="J74" s="505"/>
      <c r="K74" s="505"/>
      <c r="L74" s="505"/>
      <c r="M74" s="506"/>
      <c r="N74" s="507"/>
      <c r="O74" s="508"/>
      <c r="P74" s="511"/>
      <c r="Q74" s="511"/>
      <c r="R74" s="509"/>
      <c r="S74" s="509"/>
      <c r="T74" s="504"/>
      <c r="U74" s="504"/>
      <c r="V74" s="504"/>
      <c r="W74" s="504"/>
      <c r="X74" s="504"/>
    </row>
    <row r="75" spans="3:24" x14ac:dyDescent="0.4">
      <c r="C75" s="481"/>
      <c r="D75" s="524"/>
      <c r="E75" s="527"/>
      <c r="F75" s="525"/>
      <c r="G75" s="524"/>
      <c r="H75" s="526"/>
      <c r="I75" s="526"/>
      <c r="J75" s="505"/>
      <c r="K75" s="505"/>
      <c r="L75" s="505"/>
      <c r="M75" s="506"/>
      <c r="N75" s="507"/>
      <c r="O75" s="508"/>
      <c r="P75" s="511"/>
      <c r="Q75" s="511"/>
      <c r="R75" s="509"/>
      <c r="S75" s="509"/>
      <c r="T75" s="504"/>
      <c r="U75" s="504"/>
      <c r="V75" s="504"/>
      <c r="W75" s="504"/>
      <c r="X75" s="504"/>
    </row>
    <row r="76" spans="3:24" x14ac:dyDescent="0.4">
      <c r="C76" s="481"/>
      <c r="D76" s="524"/>
      <c r="E76" s="527"/>
      <c r="F76" s="525"/>
      <c r="G76" s="524"/>
      <c r="H76" s="526"/>
      <c r="I76" s="526"/>
      <c r="J76" s="505"/>
      <c r="K76" s="505"/>
      <c r="L76" s="505"/>
      <c r="M76" s="506"/>
      <c r="N76" s="507"/>
      <c r="O76" s="508"/>
      <c r="P76" s="511"/>
      <c r="Q76" s="511"/>
      <c r="R76" s="509"/>
      <c r="S76" s="509"/>
      <c r="T76" s="504"/>
      <c r="U76" s="504"/>
      <c r="V76" s="504"/>
      <c r="W76" s="504"/>
      <c r="X76" s="504"/>
    </row>
    <row r="77" spans="3:24" x14ac:dyDescent="0.4">
      <c r="C77" s="481"/>
      <c r="D77" s="524"/>
      <c r="E77" s="527"/>
      <c r="F77" s="525"/>
      <c r="G77" s="524"/>
      <c r="H77" s="526"/>
      <c r="I77" s="526"/>
      <c r="J77" s="505"/>
      <c r="K77" s="505"/>
      <c r="L77" s="505"/>
      <c r="M77" s="506"/>
      <c r="N77" s="507"/>
      <c r="O77" s="508"/>
      <c r="P77" s="511"/>
      <c r="Q77" s="511"/>
      <c r="R77" s="509"/>
      <c r="S77" s="509"/>
      <c r="T77" s="504"/>
      <c r="U77" s="504"/>
      <c r="V77" s="504"/>
      <c r="W77" s="504"/>
      <c r="X77" s="504"/>
    </row>
    <row r="78" spans="3:24" x14ac:dyDescent="0.4">
      <c r="C78" s="481"/>
      <c r="D78" s="524"/>
      <c r="E78" s="527"/>
      <c r="F78" s="525"/>
      <c r="G78" s="524"/>
      <c r="H78" s="526"/>
      <c r="I78" s="526"/>
      <c r="J78" s="505"/>
      <c r="K78" s="505"/>
      <c r="L78" s="505"/>
      <c r="M78" s="506"/>
      <c r="N78" s="507"/>
      <c r="O78" s="508"/>
      <c r="P78" s="511"/>
      <c r="Q78" s="511"/>
      <c r="R78" s="509"/>
      <c r="S78" s="509"/>
      <c r="T78" s="504"/>
      <c r="U78" s="504"/>
      <c r="V78" s="504"/>
      <c r="W78" s="504"/>
      <c r="X78" s="504"/>
    </row>
    <row r="79" spans="3:24" x14ac:dyDescent="0.4">
      <c r="C79" s="481"/>
      <c r="D79" s="524"/>
      <c r="E79" s="527"/>
      <c r="F79" s="525"/>
      <c r="G79" s="524"/>
      <c r="H79" s="526"/>
      <c r="I79" s="526"/>
      <c r="J79" s="505"/>
      <c r="K79" s="505"/>
      <c r="L79" s="505"/>
      <c r="M79" s="506"/>
      <c r="N79" s="507"/>
      <c r="O79" s="508"/>
      <c r="P79" s="511"/>
      <c r="Q79" s="511"/>
      <c r="R79" s="509"/>
      <c r="S79" s="509"/>
      <c r="T79" s="504"/>
      <c r="U79" s="504"/>
      <c r="V79" s="504"/>
      <c r="W79" s="504"/>
      <c r="X79" s="504"/>
    </row>
    <row r="80" spans="3:24" x14ac:dyDescent="0.4">
      <c r="C80" s="481"/>
      <c r="D80" s="524"/>
      <c r="E80" s="527"/>
      <c r="F80" s="525"/>
      <c r="G80" s="524"/>
      <c r="H80" s="526"/>
      <c r="I80" s="526"/>
      <c r="J80" s="505"/>
      <c r="K80" s="505"/>
      <c r="L80" s="505"/>
      <c r="M80" s="506"/>
      <c r="N80" s="507"/>
      <c r="O80" s="508"/>
      <c r="P80" s="511"/>
      <c r="Q80" s="511"/>
      <c r="R80" s="509"/>
      <c r="S80" s="509"/>
      <c r="T80" s="504"/>
      <c r="U80" s="504"/>
      <c r="V80" s="504"/>
      <c r="W80" s="504"/>
      <c r="X80" s="504"/>
    </row>
    <row r="81" spans="3:24" x14ac:dyDescent="0.4">
      <c r="C81" s="481"/>
      <c r="D81" s="524"/>
      <c r="E81" s="527"/>
      <c r="F81" s="525"/>
      <c r="G81" s="524"/>
      <c r="H81" s="526"/>
      <c r="I81" s="526"/>
      <c r="J81" s="505"/>
      <c r="K81" s="505"/>
      <c r="L81" s="505"/>
      <c r="M81" s="506"/>
      <c r="N81" s="507"/>
      <c r="O81" s="508"/>
      <c r="P81" s="511"/>
      <c r="Q81" s="511"/>
      <c r="R81" s="509"/>
      <c r="S81" s="509"/>
      <c r="T81" s="504"/>
      <c r="U81" s="504"/>
      <c r="V81" s="504"/>
      <c r="W81" s="504"/>
      <c r="X81" s="504"/>
    </row>
    <row r="82" spans="3:24" x14ac:dyDescent="0.4">
      <c r="C82" s="481"/>
      <c r="D82" s="524"/>
      <c r="E82" s="527"/>
      <c r="F82" s="525"/>
      <c r="G82" s="524"/>
      <c r="H82" s="526"/>
      <c r="I82" s="526"/>
      <c r="J82" s="505"/>
      <c r="K82" s="505"/>
      <c r="L82" s="505"/>
      <c r="M82" s="506"/>
      <c r="N82" s="507"/>
      <c r="O82" s="508"/>
      <c r="P82" s="511"/>
      <c r="Q82" s="511"/>
      <c r="R82" s="509"/>
      <c r="S82" s="509"/>
      <c r="T82" s="504"/>
      <c r="U82" s="504"/>
      <c r="V82" s="504"/>
      <c r="W82" s="504"/>
      <c r="X82" s="504"/>
    </row>
    <row r="83" spans="3:24" x14ac:dyDescent="0.4">
      <c r="C83" s="481"/>
      <c r="D83" s="524"/>
      <c r="E83" s="527"/>
      <c r="F83" s="525"/>
      <c r="G83" s="524"/>
      <c r="H83" s="526"/>
      <c r="I83" s="526"/>
      <c r="J83" s="505"/>
      <c r="K83" s="505"/>
      <c r="L83" s="505"/>
      <c r="M83" s="506"/>
      <c r="N83" s="507"/>
      <c r="O83" s="508"/>
      <c r="P83" s="511"/>
      <c r="Q83" s="511"/>
      <c r="R83" s="509"/>
      <c r="S83" s="509"/>
      <c r="T83" s="504"/>
      <c r="U83" s="504"/>
      <c r="V83" s="504"/>
      <c r="W83" s="504"/>
      <c r="X83" s="504"/>
    </row>
    <row r="84" spans="3:24" x14ac:dyDescent="0.4">
      <c r="C84" s="481"/>
      <c r="D84" s="524"/>
      <c r="E84" s="527"/>
      <c r="F84" s="525"/>
      <c r="G84" s="524"/>
      <c r="H84" s="526"/>
      <c r="I84" s="526"/>
      <c r="J84" s="505"/>
      <c r="K84" s="505"/>
      <c r="L84" s="505"/>
      <c r="M84" s="506"/>
      <c r="N84" s="507"/>
      <c r="O84" s="508"/>
      <c r="P84" s="511"/>
      <c r="Q84" s="511"/>
      <c r="R84" s="509"/>
      <c r="S84" s="509"/>
      <c r="T84" s="504"/>
      <c r="U84" s="504"/>
      <c r="V84" s="504"/>
      <c r="W84" s="504"/>
      <c r="X84" s="504"/>
    </row>
    <row r="85" spans="3:24" x14ac:dyDescent="0.4">
      <c r="C85" s="481"/>
      <c r="D85" s="524"/>
      <c r="E85" s="527"/>
      <c r="F85" s="525"/>
      <c r="G85" s="524"/>
      <c r="H85" s="526"/>
      <c r="I85" s="526"/>
      <c r="J85" s="505"/>
      <c r="K85" s="505"/>
      <c r="L85" s="505"/>
      <c r="M85" s="506"/>
      <c r="N85" s="507"/>
      <c r="O85" s="508"/>
      <c r="P85" s="511"/>
      <c r="Q85" s="511"/>
      <c r="R85" s="509"/>
      <c r="S85" s="509"/>
      <c r="T85" s="504"/>
      <c r="U85" s="504"/>
      <c r="V85" s="504"/>
      <c r="W85" s="504"/>
      <c r="X85" s="504"/>
    </row>
    <row r="86" spans="3:24" x14ac:dyDescent="0.4">
      <c r="C86" s="481"/>
      <c r="D86" s="524"/>
      <c r="E86" s="527"/>
      <c r="F86" s="525"/>
      <c r="G86" s="524"/>
      <c r="H86" s="526"/>
      <c r="I86" s="526"/>
      <c r="J86" s="505"/>
      <c r="K86" s="505"/>
      <c r="L86" s="505"/>
      <c r="M86" s="506"/>
      <c r="N86" s="507"/>
      <c r="O86" s="508"/>
      <c r="P86" s="511"/>
      <c r="Q86" s="511"/>
      <c r="R86" s="509"/>
      <c r="S86" s="509"/>
      <c r="T86" s="504"/>
      <c r="U86" s="504"/>
      <c r="V86" s="504"/>
      <c r="W86" s="504"/>
      <c r="X86" s="504"/>
    </row>
    <row r="87" spans="3:24" x14ac:dyDescent="0.4">
      <c r="C87" s="481"/>
      <c r="D87" s="524"/>
      <c r="E87" s="527"/>
      <c r="F87" s="525"/>
      <c r="G87" s="524"/>
      <c r="H87" s="526"/>
      <c r="I87" s="526"/>
      <c r="J87" s="505"/>
      <c r="K87" s="505"/>
      <c r="L87" s="505"/>
      <c r="M87" s="506"/>
      <c r="N87" s="507"/>
      <c r="O87" s="508"/>
      <c r="P87" s="511"/>
      <c r="Q87" s="511"/>
      <c r="R87" s="509"/>
      <c r="S87" s="509"/>
      <c r="T87" s="504"/>
      <c r="U87" s="504"/>
      <c r="V87" s="504"/>
      <c r="W87" s="504"/>
      <c r="X87" s="504"/>
    </row>
    <row r="88" spans="3:24" x14ac:dyDescent="0.4">
      <c r="C88" s="481"/>
      <c r="D88" s="524"/>
      <c r="E88" s="527"/>
      <c r="F88" s="525"/>
      <c r="G88" s="524"/>
      <c r="H88" s="526"/>
      <c r="I88" s="526"/>
      <c r="J88" s="505"/>
      <c r="K88" s="505"/>
      <c r="L88" s="505"/>
      <c r="M88" s="506"/>
      <c r="N88" s="507"/>
      <c r="O88" s="508"/>
      <c r="P88" s="511"/>
      <c r="Q88" s="511"/>
      <c r="R88" s="509"/>
      <c r="S88" s="509"/>
      <c r="T88" s="504"/>
      <c r="U88" s="504"/>
      <c r="V88" s="504"/>
      <c r="W88" s="504"/>
      <c r="X88" s="504"/>
    </row>
    <row r="89" spans="3:24" x14ac:dyDescent="0.4">
      <c r="C89" s="481"/>
      <c r="D89" s="524"/>
      <c r="E89" s="527"/>
      <c r="F89" s="525"/>
      <c r="G89" s="524"/>
      <c r="H89" s="526"/>
      <c r="I89" s="526"/>
      <c r="J89" s="505"/>
      <c r="K89" s="505"/>
      <c r="L89" s="505"/>
      <c r="M89" s="506"/>
      <c r="N89" s="507"/>
      <c r="O89" s="508"/>
      <c r="P89" s="511"/>
      <c r="Q89" s="511"/>
      <c r="R89" s="509"/>
      <c r="S89" s="509"/>
      <c r="T89" s="504"/>
      <c r="U89" s="504"/>
      <c r="V89" s="504"/>
      <c r="W89" s="504"/>
      <c r="X89" s="504"/>
    </row>
    <row r="90" spans="3:24" x14ac:dyDescent="0.4">
      <c r="C90" s="481"/>
      <c r="D90" s="524"/>
      <c r="E90" s="527"/>
      <c r="F90" s="525"/>
      <c r="G90" s="524"/>
      <c r="H90" s="526"/>
      <c r="I90" s="526"/>
      <c r="J90" s="505"/>
      <c r="K90" s="505"/>
      <c r="L90" s="505"/>
      <c r="M90" s="506"/>
      <c r="N90" s="507"/>
      <c r="O90" s="508"/>
      <c r="P90" s="511"/>
      <c r="Q90" s="511"/>
      <c r="R90" s="509"/>
      <c r="S90" s="509"/>
      <c r="T90" s="504"/>
      <c r="U90" s="504"/>
      <c r="V90" s="504"/>
      <c r="W90" s="504"/>
      <c r="X90" s="504"/>
    </row>
    <row r="91" spans="3:24" x14ac:dyDescent="0.4">
      <c r="C91" s="481"/>
      <c r="D91" s="524"/>
      <c r="E91" s="527"/>
      <c r="F91" s="525"/>
      <c r="G91" s="524"/>
      <c r="H91" s="526"/>
      <c r="I91" s="526"/>
      <c r="J91" s="505"/>
      <c r="K91" s="505"/>
      <c r="L91" s="505"/>
      <c r="M91" s="506"/>
      <c r="N91" s="507"/>
      <c r="O91" s="508"/>
      <c r="P91" s="511"/>
      <c r="Q91" s="511"/>
      <c r="R91" s="509"/>
      <c r="S91" s="509"/>
      <c r="T91" s="504"/>
      <c r="U91" s="504"/>
      <c r="V91" s="504"/>
      <c r="W91" s="504"/>
      <c r="X91" s="504"/>
    </row>
    <row r="92" spans="3:24" x14ac:dyDescent="0.4">
      <c r="C92" s="481"/>
      <c r="D92" s="524"/>
      <c r="E92" s="527"/>
      <c r="F92" s="525"/>
      <c r="G92" s="524"/>
      <c r="H92" s="526"/>
      <c r="I92" s="526"/>
      <c r="J92" s="505"/>
      <c r="K92" s="505"/>
      <c r="L92" s="505"/>
      <c r="M92" s="506"/>
      <c r="N92" s="507"/>
      <c r="O92" s="508"/>
      <c r="P92" s="511"/>
      <c r="Q92" s="511"/>
      <c r="R92" s="509"/>
      <c r="S92" s="509"/>
      <c r="T92" s="504"/>
      <c r="U92" s="504"/>
      <c r="V92" s="504"/>
      <c r="W92" s="504"/>
      <c r="X92" s="504"/>
    </row>
    <row r="93" spans="3:24" x14ac:dyDescent="0.4">
      <c r="C93" s="481"/>
      <c r="D93" s="524"/>
      <c r="E93" s="527"/>
      <c r="F93" s="525"/>
      <c r="G93" s="524"/>
      <c r="H93" s="526"/>
      <c r="I93" s="526"/>
      <c r="J93" s="505"/>
      <c r="K93" s="505"/>
      <c r="L93" s="505"/>
      <c r="M93" s="506"/>
      <c r="N93" s="507"/>
      <c r="O93" s="508"/>
      <c r="P93" s="511"/>
      <c r="Q93" s="511"/>
      <c r="R93" s="509"/>
      <c r="S93" s="509"/>
      <c r="T93" s="504"/>
      <c r="U93" s="504"/>
      <c r="V93" s="504"/>
      <c r="W93" s="504"/>
      <c r="X93" s="504"/>
    </row>
    <row r="94" spans="3:24" x14ac:dyDescent="0.4">
      <c r="C94" s="481"/>
      <c r="D94" s="524"/>
      <c r="E94" s="527"/>
      <c r="F94" s="525"/>
      <c r="G94" s="524"/>
      <c r="H94" s="526"/>
      <c r="I94" s="526"/>
      <c r="J94" s="505"/>
      <c r="K94" s="505"/>
      <c r="L94" s="505"/>
      <c r="M94" s="506"/>
      <c r="N94" s="507"/>
      <c r="O94" s="508"/>
      <c r="P94" s="511"/>
      <c r="Q94" s="511"/>
      <c r="R94" s="509"/>
      <c r="S94" s="509"/>
      <c r="T94" s="504"/>
      <c r="U94" s="504"/>
      <c r="V94" s="504"/>
      <c r="W94" s="504"/>
      <c r="X94" s="504"/>
    </row>
    <row r="95" spans="3:24" x14ac:dyDescent="0.4">
      <c r="C95" s="481"/>
      <c r="D95" s="524"/>
      <c r="E95" s="527"/>
      <c r="F95" s="525"/>
      <c r="G95" s="524"/>
      <c r="H95" s="526"/>
      <c r="I95" s="526"/>
      <c r="J95" s="505"/>
      <c r="K95" s="505"/>
      <c r="L95" s="505"/>
      <c r="M95" s="506"/>
      <c r="N95" s="507"/>
      <c r="O95" s="508"/>
      <c r="P95" s="511"/>
      <c r="Q95" s="511"/>
      <c r="R95" s="509"/>
      <c r="S95" s="509"/>
      <c r="T95" s="504"/>
      <c r="U95" s="504"/>
      <c r="V95" s="504"/>
      <c r="W95" s="504"/>
      <c r="X95" s="504"/>
    </row>
    <row r="96" spans="3:24" x14ac:dyDescent="0.4">
      <c r="C96" s="481"/>
      <c r="D96" s="524"/>
      <c r="E96" s="527"/>
      <c r="F96" s="525"/>
      <c r="G96" s="524"/>
      <c r="H96" s="526"/>
      <c r="I96" s="526"/>
      <c r="J96" s="505"/>
      <c r="K96" s="505"/>
      <c r="L96" s="505"/>
      <c r="M96" s="506"/>
      <c r="N96" s="507"/>
      <c r="O96" s="508"/>
      <c r="P96" s="511"/>
      <c r="Q96" s="511"/>
      <c r="R96" s="509"/>
      <c r="S96" s="509"/>
      <c r="T96" s="504"/>
      <c r="U96" s="504"/>
      <c r="V96" s="504"/>
      <c r="W96" s="504"/>
      <c r="X96" s="504"/>
    </row>
    <row r="97" spans="3:24" x14ac:dyDescent="0.4">
      <c r="C97" s="481"/>
      <c r="D97" s="524"/>
      <c r="E97" s="527"/>
      <c r="F97" s="525"/>
      <c r="G97" s="524"/>
      <c r="H97" s="526"/>
      <c r="I97" s="526"/>
      <c r="J97" s="505"/>
      <c r="K97" s="505"/>
      <c r="L97" s="505"/>
      <c r="M97" s="506"/>
      <c r="N97" s="507"/>
      <c r="O97" s="508"/>
      <c r="P97" s="511"/>
      <c r="Q97" s="511"/>
      <c r="R97" s="509"/>
      <c r="S97" s="509"/>
      <c r="T97" s="504"/>
      <c r="U97" s="504"/>
      <c r="V97" s="504"/>
      <c r="W97" s="504"/>
      <c r="X97" s="504"/>
    </row>
    <row r="98" spans="3:24" x14ac:dyDescent="0.4">
      <c r="C98" s="481"/>
      <c r="D98" s="524"/>
      <c r="E98" s="527"/>
      <c r="F98" s="525"/>
      <c r="G98" s="524"/>
      <c r="H98" s="526"/>
      <c r="I98" s="526"/>
      <c r="J98" s="505"/>
      <c r="K98" s="505"/>
      <c r="L98" s="505"/>
      <c r="M98" s="506"/>
      <c r="N98" s="507"/>
      <c r="O98" s="508"/>
      <c r="P98" s="511"/>
      <c r="Q98" s="511"/>
      <c r="R98" s="509"/>
      <c r="S98" s="509"/>
      <c r="T98" s="504"/>
      <c r="U98" s="504"/>
      <c r="V98" s="504"/>
      <c r="W98" s="504"/>
      <c r="X98" s="504"/>
    </row>
    <row r="99" spans="3:24" x14ac:dyDescent="0.4">
      <c r="C99" s="481"/>
      <c r="D99" s="524"/>
      <c r="E99" s="527"/>
      <c r="F99" s="525"/>
      <c r="G99" s="524"/>
      <c r="H99" s="526"/>
      <c r="I99" s="526"/>
      <c r="J99" s="505"/>
      <c r="K99" s="505"/>
      <c r="L99" s="505"/>
      <c r="M99" s="506"/>
      <c r="N99" s="507"/>
      <c r="O99" s="508"/>
      <c r="P99" s="511"/>
      <c r="Q99" s="511"/>
      <c r="R99" s="509"/>
      <c r="S99" s="509"/>
      <c r="T99" s="504"/>
      <c r="U99" s="504"/>
      <c r="V99" s="504"/>
      <c r="W99" s="504"/>
      <c r="X99" s="504"/>
    </row>
    <row r="100" spans="3:24" x14ac:dyDescent="0.4">
      <c r="C100" s="481"/>
      <c r="D100" s="524"/>
      <c r="E100" s="527"/>
      <c r="F100" s="525"/>
      <c r="G100" s="524"/>
      <c r="H100" s="526"/>
      <c r="I100" s="526"/>
      <c r="J100" s="505"/>
      <c r="K100" s="505"/>
      <c r="L100" s="505"/>
      <c r="M100" s="506"/>
      <c r="N100" s="507"/>
      <c r="O100" s="508"/>
      <c r="P100" s="511"/>
      <c r="Q100" s="511"/>
      <c r="R100" s="509"/>
      <c r="S100" s="509"/>
      <c r="T100" s="504"/>
      <c r="U100" s="504"/>
      <c r="V100" s="504"/>
      <c r="W100" s="504"/>
      <c r="X100" s="504"/>
    </row>
    <row r="101" spans="3:24" x14ac:dyDescent="0.4">
      <c r="C101" s="481"/>
      <c r="D101" s="524"/>
      <c r="E101" s="527"/>
      <c r="F101" s="525"/>
      <c r="G101" s="524"/>
      <c r="H101" s="526"/>
      <c r="I101" s="526"/>
      <c r="J101" s="505"/>
      <c r="K101" s="505"/>
      <c r="L101" s="505"/>
      <c r="M101" s="506"/>
      <c r="N101" s="507"/>
      <c r="O101" s="508"/>
      <c r="P101" s="511"/>
      <c r="Q101" s="511"/>
      <c r="R101" s="509"/>
      <c r="S101" s="509"/>
      <c r="T101" s="504"/>
      <c r="U101" s="504"/>
      <c r="V101" s="504"/>
      <c r="W101" s="504"/>
      <c r="X101" s="504"/>
    </row>
    <row r="102" spans="3:24" x14ac:dyDescent="0.4">
      <c r="C102" s="481"/>
      <c r="D102" s="524"/>
      <c r="E102" s="527"/>
      <c r="F102" s="525"/>
      <c r="G102" s="524"/>
      <c r="H102" s="526"/>
      <c r="I102" s="526"/>
      <c r="J102" s="505"/>
      <c r="K102" s="505"/>
      <c r="L102" s="505"/>
      <c r="M102" s="506"/>
      <c r="N102" s="507"/>
      <c r="O102" s="508"/>
      <c r="P102" s="511"/>
      <c r="Q102" s="511"/>
      <c r="R102" s="509"/>
      <c r="S102" s="509"/>
      <c r="T102" s="504"/>
      <c r="U102" s="504"/>
      <c r="V102" s="504"/>
      <c r="W102" s="504"/>
      <c r="X102" s="504"/>
    </row>
    <row r="103" spans="3:24" x14ac:dyDescent="0.4">
      <c r="C103" s="481"/>
      <c r="D103" s="524"/>
      <c r="E103" s="527"/>
      <c r="F103" s="525"/>
      <c r="G103" s="524"/>
      <c r="H103" s="526"/>
      <c r="I103" s="526"/>
      <c r="J103" s="505"/>
      <c r="K103" s="505"/>
      <c r="L103" s="505"/>
      <c r="M103" s="506"/>
      <c r="N103" s="507"/>
      <c r="O103" s="508"/>
      <c r="P103" s="511"/>
      <c r="Q103" s="511"/>
      <c r="R103" s="509"/>
      <c r="S103" s="509"/>
      <c r="T103" s="504"/>
      <c r="U103" s="504"/>
      <c r="V103" s="504"/>
      <c r="W103" s="504"/>
      <c r="X103" s="504"/>
    </row>
    <row r="104" spans="3:24" x14ac:dyDescent="0.4">
      <c r="C104" s="481"/>
      <c r="D104" s="524"/>
      <c r="E104" s="527"/>
      <c r="F104" s="525"/>
      <c r="G104" s="524"/>
      <c r="H104" s="526"/>
      <c r="I104" s="526"/>
      <c r="J104" s="505"/>
      <c r="K104" s="505"/>
      <c r="L104" s="505"/>
      <c r="M104" s="506"/>
      <c r="N104" s="507"/>
      <c r="O104" s="508"/>
      <c r="P104" s="511"/>
      <c r="Q104" s="511"/>
      <c r="R104" s="509"/>
      <c r="S104" s="509"/>
      <c r="T104" s="504"/>
      <c r="U104" s="504"/>
      <c r="V104" s="504"/>
      <c r="W104" s="504"/>
      <c r="X104" s="504"/>
    </row>
    <row r="105" spans="3:24" x14ac:dyDescent="0.4">
      <c r="C105" s="481"/>
      <c r="D105" s="524"/>
      <c r="E105" s="527"/>
      <c r="F105" s="525"/>
      <c r="G105" s="524"/>
      <c r="H105" s="526"/>
      <c r="I105" s="526"/>
      <c r="J105" s="505"/>
      <c r="K105" s="505"/>
      <c r="L105" s="505"/>
      <c r="M105" s="506"/>
      <c r="N105" s="507"/>
      <c r="O105" s="508"/>
      <c r="P105" s="511"/>
      <c r="Q105" s="511"/>
      <c r="R105" s="509"/>
      <c r="S105" s="509"/>
      <c r="T105" s="504"/>
      <c r="U105" s="504"/>
      <c r="V105" s="504"/>
      <c r="W105" s="504"/>
      <c r="X105" s="504"/>
    </row>
    <row r="106" spans="3:24" x14ac:dyDescent="0.4">
      <c r="C106" s="481"/>
      <c r="D106" s="524"/>
      <c r="E106" s="527"/>
      <c r="F106" s="525"/>
      <c r="G106" s="524"/>
      <c r="H106" s="526"/>
      <c r="I106" s="526"/>
      <c r="J106" s="505"/>
      <c r="K106" s="505"/>
      <c r="L106" s="505"/>
      <c r="M106" s="506"/>
      <c r="N106" s="507"/>
      <c r="O106" s="508"/>
      <c r="P106" s="511"/>
      <c r="Q106" s="511"/>
      <c r="R106" s="509"/>
      <c r="S106" s="509"/>
      <c r="T106" s="504"/>
      <c r="U106" s="504"/>
      <c r="V106" s="504"/>
      <c r="W106" s="504"/>
      <c r="X106" s="504"/>
    </row>
    <row r="107" spans="3:24" x14ac:dyDescent="0.4">
      <c r="C107" s="481"/>
      <c r="D107" s="524"/>
      <c r="E107" s="527"/>
      <c r="F107" s="525"/>
      <c r="G107" s="524"/>
      <c r="H107" s="526"/>
      <c r="I107" s="526"/>
      <c r="J107" s="505"/>
      <c r="K107" s="505"/>
      <c r="L107" s="505"/>
      <c r="M107" s="506"/>
      <c r="N107" s="507"/>
      <c r="O107" s="508"/>
      <c r="P107" s="511"/>
      <c r="Q107" s="511"/>
      <c r="R107" s="509"/>
      <c r="S107" s="509"/>
      <c r="T107" s="504"/>
      <c r="U107" s="504"/>
      <c r="V107" s="504"/>
      <c r="W107" s="504"/>
      <c r="X107" s="504"/>
    </row>
    <row r="108" spans="3:24" x14ac:dyDescent="0.4">
      <c r="C108" s="481"/>
      <c r="D108" s="524"/>
      <c r="E108" s="527"/>
      <c r="F108" s="525"/>
      <c r="G108" s="524"/>
      <c r="H108" s="526"/>
      <c r="I108" s="526"/>
      <c r="J108" s="505"/>
      <c r="K108" s="505"/>
      <c r="L108" s="505"/>
      <c r="M108" s="506"/>
      <c r="N108" s="507"/>
      <c r="O108" s="508"/>
      <c r="P108" s="511"/>
      <c r="Q108" s="511"/>
      <c r="R108" s="509"/>
      <c r="S108" s="509"/>
      <c r="T108" s="504"/>
      <c r="U108" s="504"/>
      <c r="V108" s="504"/>
      <c r="W108" s="504"/>
      <c r="X108" s="504"/>
    </row>
    <row r="109" spans="3:24" x14ac:dyDescent="0.4">
      <c r="C109" s="481"/>
      <c r="D109" s="524"/>
      <c r="E109" s="527"/>
      <c r="F109" s="525"/>
      <c r="G109" s="524"/>
      <c r="H109" s="526"/>
      <c r="I109" s="526"/>
      <c r="J109" s="505"/>
      <c r="K109" s="505"/>
      <c r="L109" s="505"/>
      <c r="M109" s="506"/>
      <c r="N109" s="507"/>
      <c r="O109" s="508"/>
      <c r="P109" s="511"/>
      <c r="Q109" s="511"/>
      <c r="R109" s="509"/>
      <c r="S109" s="509"/>
      <c r="T109" s="504"/>
      <c r="U109" s="504"/>
      <c r="V109" s="504"/>
      <c r="W109" s="504"/>
      <c r="X109" s="504"/>
    </row>
    <row r="110" spans="3:24" x14ac:dyDescent="0.4">
      <c r="C110" s="481"/>
      <c r="D110" s="524"/>
      <c r="E110" s="527"/>
      <c r="F110" s="525"/>
      <c r="G110" s="524"/>
      <c r="H110" s="526"/>
      <c r="I110" s="526"/>
      <c r="J110" s="505"/>
      <c r="K110" s="505"/>
      <c r="L110" s="505"/>
      <c r="M110" s="506"/>
      <c r="N110" s="507"/>
      <c r="O110" s="508"/>
      <c r="P110" s="511"/>
      <c r="Q110" s="511"/>
      <c r="R110" s="509"/>
      <c r="S110" s="509"/>
      <c r="T110" s="504"/>
      <c r="U110" s="504"/>
      <c r="V110" s="504"/>
      <c r="W110" s="504"/>
      <c r="X110" s="504"/>
    </row>
    <row r="111" spans="3:24" x14ac:dyDescent="0.4">
      <c r="C111" s="481"/>
      <c r="D111" s="524"/>
      <c r="E111" s="527"/>
      <c r="F111" s="525"/>
      <c r="G111" s="524"/>
      <c r="H111" s="526"/>
      <c r="I111" s="526"/>
      <c r="J111" s="505"/>
      <c r="K111" s="505"/>
      <c r="L111" s="505"/>
      <c r="M111" s="506"/>
      <c r="N111" s="507"/>
      <c r="O111" s="508"/>
      <c r="P111" s="511"/>
      <c r="Q111" s="511"/>
      <c r="R111" s="509"/>
      <c r="S111" s="509"/>
      <c r="T111" s="504"/>
      <c r="U111" s="504"/>
      <c r="V111" s="504"/>
      <c r="W111" s="504"/>
      <c r="X111" s="504"/>
    </row>
    <row r="112" spans="3:24" x14ac:dyDescent="0.4">
      <c r="C112" s="481"/>
      <c r="D112" s="524"/>
      <c r="E112" s="527"/>
      <c r="F112" s="525"/>
      <c r="G112" s="524"/>
      <c r="H112" s="526"/>
      <c r="I112" s="526"/>
      <c r="J112" s="505"/>
      <c r="K112" s="505"/>
      <c r="L112" s="505"/>
      <c r="M112" s="506"/>
      <c r="N112" s="507"/>
      <c r="O112" s="508"/>
      <c r="P112" s="511"/>
      <c r="Q112" s="511"/>
      <c r="R112" s="509"/>
      <c r="S112" s="509"/>
      <c r="T112" s="504"/>
      <c r="U112" s="504"/>
      <c r="V112" s="504"/>
      <c r="W112" s="504"/>
      <c r="X112" s="504"/>
    </row>
    <row r="113" spans="3:24" x14ac:dyDescent="0.4">
      <c r="C113" s="481"/>
      <c r="D113" s="524"/>
      <c r="E113" s="527"/>
      <c r="F113" s="525"/>
      <c r="G113" s="524"/>
      <c r="H113" s="526"/>
      <c r="I113" s="526"/>
      <c r="J113" s="505"/>
      <c r="K113" s="505"/>
      <c r="L113" s="505"/>
      <c r="M113" s="506"/>
      <c r="N113" s="507"/>
      <c r="O113" s="508"/>
      <c r="P113" s="511"/>
      <c r="Q113" s="511"/>
      <c r="R113" s="509"/>
      <c r="S113" s="509"/>
      <c r="T113" s="504"/>
      <c r="U113" s="504"/>
      <c r="V113" s="504"/>
      <c r="W113" s="504"/>
      <c r="X113" s="504"/>
    </row>
    <row r="114" spans="3:24" x14ac:dyDescent="0.4">
      <c r="C114" s="481"/>
      <c r="D114" s="524"/>
      <c r="E114" s="527"/>
      <c r="F114" s="525"/>
      <c r="G114" s="524"/>
      <c r="H114" s="526"/>
      <c r="I114" s="526"/>
      <c r="J114" s="505"/>
      <c r="K114" s="505"/>
      <c r="L114" s="505"/>
      <c r="M114" s="506"/>
      <c r="N114" s="507"/>
      <c r="O114" s="508"/>
      <c r="P114" s="511"/>
      <c r="Q114" s="511"/>
      <c r="R114" s="509"/>
      <c r="S114" s="509"/>
      <c r="T114" s="504"/>
      <c r="U114" s="504"/>
      <c r="V114" s="504"/>
      <c r="W114" s="504"/>
      <c r="X114" s="504"/>
    </row>
    <row r="115" spans="3:24" x14ac:dyDescent="0.4">
      <c r="C115" s="481"/>
      <c r="D115" s="524"/>
      <c r="E115" s="527"/>
      <c r="F115" s="525"/>
      <c r="G115" s="524"/>
      <c r="H115" s="526"/>
      <c r="I115" s="526"/>
      <c r="J115" s="505"/>
      <c r="K115" s="505"/>
      <c r="L115" s="505"/>
      <c r="M115" s="506"/>
      <c r="N115" s="507"/>
      <c r="O115" s="508"/>
      <c r="P115" s="511"/>
      <c r="Q115" s="511"/>
      <c r="R115" s="509"/>
      <c r="S115" s="509"/>
      <c r="T115" s="504"/>
      <c r="U115" s="504"/>
      <c r="V115" s="504"/>
      <c r="W115" s="504"/>
      <c r="X115" s="504"/>
    </row>
    <row r="116" spans="3:24" x14ac:dyDescent="0.4">
      <c r="C116" s="481"/>
      <c r="D116" s="524"/>
      <c r="E116" s="527"/>
      <c r="F116" s="525"/>
      <c r="G116" s="524"/>
      <c r="H116" s="526"/>
      <c r="I116" s="526"/>
      <c r="J116" s="505"/>
      <c r="K116" s="505"/>
      <c r="L116" s="505"/>
      <c r="M116" s="506"/>
      <c r="N116" s="507"/>
      <c r="O116" s="508"/>
      <c r="P116" s="511"/>
      <c r="Q116" s="511"/>
      <c r="R116" s="509"/>
      <c r="S116" s="509"/>
      <c r="T116" s="504"/>
      <c r="U116" s="504"/>
      <c r="V116" s="504"/>
      <c r="W116" s="504"/>
      <c r="X116" s="504"/>
    </row>
    <row r="117" spans="3:24" x14ac:dyDescent="0.4">
      <c r="C117" s="481"/>
      <c r="D117" s="524"/>
      <c r="E117" s="527"/>
      <c r="F117" s="525"/>
      <c r="G117" s="524"/>
      <c r="H117" s="526"/>
      <c r="I117" s="526"/>
      <c r="J117" s="505"/>
      <c r="K117" s="505"/>
      <c r="L117" s="505"/>
      <c r="M117" s="506"/>
      <c r="N117" s="507"/>
      <c r="O117" s="508"/>
      <c r="P117" s="511"/>
      <c r="Q117" s="511"/>
      <c r="R117" s="509"/>
      <c r="S117" s="509"/>
      <c r="T117" s="504"/>
      <c r="U117" s="504"/>
      <c r="V117" s="504"/>
      <c r="W117" s="504"/>
      <c r="X117" s="504"/>
    </row>
    <row r="118" spans="3:24" x14ac:dyDescent="0.4">
      <c r="C118" s="481"/>
      <c r="D118" s="524"/>
      <c r="E118" s="527"/>
      <c r="F118" s="525"/>
      <c r="G118" s="524"/>
      <c r="H118" s="526"/>
      <c r="I118" s="526"/>
      <c r="J118" s="505"/>
      <c r="K118" s="505"/>
      <c r="L118" s="505"/>
      <c r="M118" s="506"/>
      <c r="N118" s="507"/>
      <c r="O118" s="508"/>
      <c r="P118" s="511"/>
      <c r="Q118" s="511"/>
      <c r="R118" s="509"/>
      <c r="S118" s="509"/>
      <c r="T118" s="504"/>
      <c r="U118" s="504"/>
      <c r="V118" s="504"/>
      <c r="W118" s="504"/>
      <c r="X118" s="504"/>
    </row>
    <row r="119" spans="3:24" x14ac:dyDescent="0.4">
      <c r="C119" s="481"/>
      <c r="D119" s="524"/>
      <c r="E119" s="527"/>
      <c r="F119" s="525"/>
      <c r="G119" s="524"/>
      <c r="H119" s="526"/>
      <c r="I119" s="526"/>
      <c r="J119" s="505"/>
      <c r="K119" s="505"/>
      <c r="L119" s="505"/>
      <c r="M119" s="506"/>
      <c r="N119" s="507"/>
      <c r="O119" s="508"/>
      <c r="P119" s="511"/>
      <c r="Q119" s="511"/>
      <c r="R119" s="509"/>
      <c r="S119" s="509"/>
      <c r="T119" s="504"/>
      <c r="U119" s="504"/>
      <c r="V119" s="504"/>
      <c r="W119" s="504"/>
      <c r="X119" s="504"/>
    </row>
    <row r="120" spans="3:24" x14ac:dyDescent="0.4">
      <c r="C120" s="481"/>
      <c r="D120" s="524"/>
      <c r="E120" s="527"/>
      <c r="F120" s="525"/>
      <c r="G120" s="524"/>
      <c r="H120" s="526"/>
      <c r="I120" s="526"/>
      <c r="J120" s="505"/>
      <c r="K120" s="505"/>
      <c r="L120" s="505"/>
      <c r="M120" s="506"/>
      <c r="N120" s="507"/>
      <c r="O120" s="508"/>
      <c r="P120" s="511"/>
      <c r="Q120" s="511"/>
      <c r="R120" s="509"/>
      <c r="S120" s="509"/>
      <c r="T120" s="504"/>
      <c r="U120" s="504"/>
      <c r="V120" s="504"/>
      <c r="W120" s="504"/>
      <c r="X120" s="504"/>
    </row>
    <row r="121" spans="3:24" x14ac:dyDescent="0.4">
      <c r="C121" s="481"/>
      <c r="D121" s="524"/>
      <c r="E121" s="527"/>
      <c r="F121" s="525"/>
      <c r="G121" s="524"/>
      <c r="H121" s="526"/>
      <c r="I121" s="526"/>
      <c r="J121" s="505"/>
      <c r="K121" s="505"/>
      <c r="L121" s="505"/>
      <c r="M121" s="506"/>
      <c r="N121" s="507"/>
      <c r="O121" s="508"/>
      <c r="P121" s="511"/>
      <c r="Q121" s="511"/>
      <c r="R121" s="509"/>
      <c r="S121" s="509"/>
      <c r="T121" s="504"/>
      <c r="U121" s="504"/>
      <c r="V121" s="504"/>
      <c r="W121" s="504"/>
      <c r="X121" s="504"/>
    </row>
    <row r="122" spans="3:24" x14ac:dyDescent="0.4">
      <c r="C122" s="481"/>
      <c r="D122" s="524"/>
      <c r="E122" s="527"/>
      <c r="F122" s="525"/>
      <c r="G122" s="524"/>
      <c r="H122" s="526"/>
      <c r="I122" s="526"/>
      <c r="J122" s="505"/>
      <c r="K122" s="505"/>
      <c r="L122" s="505"/>
      <c r="M122" s="506"/>
      <c r="N122" s="507"/>
      <c r="O122" s="508"/>
      <c r="P122" s="511"/>
      <c r="Q122" s="511"/>
      <c r="R122" s="509"/>
      <c r="S122" s="509"/>
      <c r="T122" s="504"/>
      <c r="U122" s="504"/>
      <c r="V122" s="504"/>
      <c r="W122" s="504"/>
      <c r="X122" s="504"/>
    </row>
    <row r="123" spans="3:24" x14ac:dyDescent="0.4">
      <c r="C123" s="481"/>
      <c r="D123" s="524"/>
      <c r="E123" s="527"/>
      <c r="F123" s="525"/>
      <c r="G123" s="524"/>
      <c r="H123" s="526"/>
      <c r="I123" s="526"/>
      <c r="J123" s="505"/>
      <c r="K123" s="505"/>
      <c r="L123" s="505"/>
      <c r="M123" s="506"/>
      <c r="N123" s="507"/>
      <c r="O123" s="508"/>
      <c r="P123" s="511"/>
      <c r="Q123" s="511"/>
      <c r="R123" s="509"/>
      <c r="S123" s="509"/>
      <c r="T123" s="504"/>
      <c r="U123" s="504"/>
      <c r="V123" s="504"/>
      <c r="W123" s="504"/>
      <c r="X123" s="504"/>
    </row>
    <row r="124" spans="3:24" x14ac:dyDescent="0.4">
      <c r="C124" s="481"/>
      <c r="D124" s="524"/>
      <c r="E124" s="527"/>
      <c r="F124" s="525"/>
      <c r="G124" s="524"/>
      <c r="H124" s="526"/>
      <c r="I124" s="526"/>
      <c r="J124" s="505"/>
      <c r="K124" s="505"/>
      <c r="L124" s="505"/>
      <c r="M124" s="506"/>
      <c r="N124" s="507"/>
      <c r="O124" s="508"/>
      <c r="P124" s="511"/>
      <c r="Q124" s="511"/>
      <c r="R124" s="509"/>
      <c r="S124" s="509"/>
      <c r="T124" s="504"/>
      <c r="U124" s="504"/>
      <c r="V124" s="504"/>
      <c r="W124" s="504"/>
      <c r="X124" s="504"/>
    </row>
    <row r="125" spans="3:24" x14ac:dyDescent="0.4">
      <c r="C125" s="481"/>
      <c r="D125" s="524"/>
      <c r="E125" s="527"/>
      <c r="F125" s="525"/>
      <c r="G125" s="524"/>
      <c r="H125" s="526"/>
      <c r="I125" s="526"/>
      <c r="J125" s="505"/>
      <c r="K125" s="505"/>
      <c r="L125" s="505"/>
      <c r="M125" s="506"/>
      <c r="N125" s="507"/>
      <c r="O125" s="508"/>
      <c r="P125" s="511"/>
      <c r="Q125" s="511"/>
      <c r="R125" s="509"/>
      <c r="S125" s="509"/>
      <c r="T125" s="504"/>
      <c r="U125" s="504"/>
      <c r="V125" s="504"/>
      <c r="W125" s="504"/>
      <c r="X125" s="504"/>
    </row>
    <row r="126" spans="3:24" x14ac:dyDescent="0.4">
      <c r="C126" s="481"/>
      <c r="D126" s="524"/>
      <c r="E126" s="527"/>
      <c r="F126" s="525"/>
      <c r="G126" s="524"/>
      <c r="H126" s="526"/>
      <c r="I126" s="526"/>
      <c r="J126" s="505"/>
      <c r="K126" s="505"/>
      <c r="L126" s="505"/>
      <c r="M126" s="506"/>
      <c r="N126" s="507"/>
      <c r="O126" s="508"/>
      <c r="P126" s="511"/>
      <c r="Q126" s="511"/>
      <c r="R126" s="509"/>
      <c r="S126" s="509"/>
      <c r="T126" s="504"/>
      <c r="U126" s="504"/>
      <c r="V126" s="504"/>
      <c r="W126" s="504"/>
      <c r="X126" s="504"/>
    </row>
    <row r="127" spans="3:24" x14ac:dyDescent="0.4">
      <c r="C127" s="481"/>
      <c r="D127" s="524"/>
      <c r="E127" s="527"/>
      <c r="F127" s="525"/>
      <c r="G127" s="524"/>
      <c r="H127" s="526"/>
      <c r="I127" s="526"/>
      <c r="J127" s="505"/>
      <c r="K127" s="505"/>
      <c r="L127" s="505"/>
      <c r="M127" s="506"/>
      <c r="N127" s="507"/>
      <c r="O127" s="508"/>
      <c r="P127" s="511"/>
      <c r="Q127" s="511"/>
      <c r="R127" s="509"/>
      <c r="S127" s="509"/>
      <c r="T127" s="504"/>
      <c r="U127" s="504"/>
      <c r="V127" s="504"/>
      <c r="W127" s="504"/>
      <c r="X127" s="504"/>
    </row>
    <row r="128" spans="3:24" x14ac:dyDescent="0.4">
      <c r="C128" s="481"/>
      <c r="D128" s="524"/>
      <c r="E128" s="527"/>
      <c r="F128" s="525"/>
      <c r="G128" s="524"/>
      <c r="H128" s="526"/>
      <c r="I128" s="526"/>
      <c r="J128" s="505"/>
      <c r="K128" s="505"/>
      <c r="L128" s="505"/>
      <c r="M128" s="506"/>
      <c r="N128" s="507"/>
      <c r="O128" s="508"/>
      <c r="P128" s="511"/>
      <c r="Q128" s="511"/>
      <c r="R128" s="509"/>
      <c r="S128" s="509"/>
      <c r="T128" s="504"/>
      <c r="U128" s="504"/>
      <c r="V128" s="504"/>
      <c r="W128" s="504"/>
      <c r="X128" s="504"/>
    </row>
    <row r="129" spans="3:24" x14ac:dyDescent="0.4">
      <c r="C129" s="481"/>
      <c r="D129" s="524"/>
      <c r="E129" s="527"/>
      <c r="F129" s="525"/>
      <c r="G129" s="524"/>
      <c r="H129" s="526"/>
      <c r="I129" s="526"/>
      <c r="J129" s="505"/>
      <c r="K129" s="505"/>
      <c r="L129" s="505"/>
      <c r="M129" s="506"/>
      <c r="N129" s="507"/>
      <c r="O129" s="508"/>
      <c r="P129" s="511"/>
      <c r="Q129" s="511"/>
      <c r="R129" s="509"/>
      <c r="S129" s="509"/>
      <c r="T129" s="504"/>
      <c r="U129" s="504"/>
      <c r="V129" s="504"/>
      <c r="W129" s="504"/>
      <c r="X129" s="504"/>
    </row>
    <row r="130" spans="3:24" x14ac:dyDescent="0.4">
      <c r="C130" s="481"/>
      <c r="D130" s="524"/>
      <c r="E130" s="527"/>
      <c r="F130" s="525"/>
      <c r="G130" s="524"/>
      <c r="H130" s="526"/>
      <c r="I130" s="526"/>
      <c r="J130" s="505"/>
      <c r="K130" s="505"/>
      <c r="L130" s="505"/>
      <c r="M130" s="506"/>
      <c r="N130" s="507"/>
      <c r="O130" s="508"/>
      <c r="P130" s="511"/>
      <c r="Q130" s="511"/>
      <c r="R130" s="509"/>
      <c r="S130" s="509"/>
      <c r="T130" s="504"/>
      <c r="U130" s="504"/>
      <c r="V130" s="504"/>
      <c r="W130" s="504"/>
      <c r="X130" s="504"/>
    </row>
    <row r="131" spans="3:24" x14ac:dyDescent="0.4">
      <c r="C131" s="481"/>
      <c r="D131" s="524"/>
      <c r="E131" s="527"/>
      <c r="F131" s="525"/>
      <c r="G131" s="524"/>
      <c r="H131" s="526"/>
      <c r="I131" s="526"/>
      <c r="J131" s="505"/>
      <c r="K131" s="505"/>
      <c r="L131" s="505"/>
      <c r="M131" s="506"/>
      <c r="N131" s="507"/>
      <c r="O131" s="508"/>
      <c r="P131" s="511"/>
      <c r="Q131" s="511"/>
      <c r="R131" s="509"/>
      <c r="S131" s="509"/>
      <c r="T131" s="504"/>
      <c r="U131" s="504"/>
      <c r="V131" s="504"/>
      <c r="W131" s="504"/>
      <c r="X131" s="504"/>
    </row>
    <row r="132" spans="3:24" x14ac:dyDescent="0.4">
      <c r="C132" s="481"/>
      <c r="D132" s="524"/>
      <c r="E132" s="527"/>
      <c r="F132" s="525"/>
      <c r="G132" s="524"/>
      <c r="H132" s="526"/>
      <c r="I132" s="526"/>
      <c r="J132" s="505"/>
      <c r="K132" s="505"/>
      <c r="L132" s="505"/>
      <c r="M132" s="506"/>
      <c r="N132" s="507"/>
      <c r="O132" s="508"/>
      <c r="P132" s="511"/>
      <c r="Q132" s="511"/>
      <c r="R132" s="509"/>
      <c r="S132" s="509"/>
      <c r="T132" s="504"/>
      <c r="U132" s="504"/>
      <c r="V132" s="504"/>
      <c r="W132" s="504"/>
      <c r="X132" s="504"/>
    </row>
    <row r="133" spans="3:24" x14ac:dyDescent="0.4">
      <c r="C133" s="481"/>
      <c r="D133" s="524"/>
      <c r="E133" s="527"/>
      <c r="F133" s="525"/>
      <c r="G133" s="524"/>
      <c r="H133" s="526"/>
      <c r="I133" s="526"/>
      <c r="J133" s="505"/>
      <c r="K133" s="505"/>
      <c r="L133" s="505"/>
      <c r="M133" s="506"/>
      <c r="N133" s="507"/>
      <c r="O133" s="508"/>
      <c r="P133" s="511"/>
      <c r="Q133" s="511"/>
      <c r="R133" s="509"/>
      <c r="S133" s="509"/>
      <c r="T133" s="504"/>
      <c r="U133" s="504"/>
      <c r="V133" s="504"/>
      <c r="W133" s="504"/>
      <c r="X133" s="504"/>
    </row>
    <row r="134" spans="3:24" x14ac:dyDescent="0.4">
      <c r="C134" s="481"/>
      <c r="D134" s="524"/>
      <c r="E134" s="527"/>
      <c r="F134" s="525"/>
      <c r="G134" s="524"/>
      <c r="H134" s="526"/>
      <c r="I134" s="526"/>
      <c r="J134" s="505"/>
      <c r="K134" s="505"/>
      <c r="L134" s="505"/>
      <c r="M134" s="506"/>
      <c r="N134" s="507"/>
      <c r="O134" s="508"/>
      <c r="P134" s="511"/>
      <c r="Q134" s="511"/>
      <c r="R134" s="509"/>
      <c r="S134" s="509"/>
      <c r="T134" s="504"/>
      <c r="U134" s="504"/>
      <c r="V134" s="504"/>
      <c r="W134" s="504"/>
      <c r="X134" s="504"/>
    </row>
    <row r="135" spans="3:24" x14ac:dyDescent="0.4">
      <c r="C135" s="481"/>
      <c r="D135" s="524"/>
      <c r="E135" s="527"/>
      <c r="F135" s="525"/>
      <c r="G135" s="524"/>
      <c r="H135" s="526"/>
      <c r="I135" s="526"/>
      <c r="J135" s="505"/>
      <c r="K135" s="505"/>
      <c r="L135" s="505"/>
      <c r="M135" s="506"/>
      <c r="N135" s="507"/>
      <c r="O135" s="508"/>
      <c r="P135" s="511"/>
      <c r="Q135" s="511"/>
      <c r="R135" s="509"/>
      <c r="S135" s="509"/>
      <c r="T135" s="504"/>
      <c r="U135" s="504"/>
      <c r="V135" s="504"/>
      <c r="W135" s="504"/>
      <c r="X135" s="504"/>
    </row>
    <row r="136" spans="3:24" x14ac:dyDescent="0.4">
      <c r="C136" s="481"/>
      <c r="D136" s="524"/>
      <c r="E136" s="527"/>
      <c r="F136" s="525"/>
      <c r="G136" s="524"/>
      <c r="H136" s="526"/>
      <c r="I136" s="526"/>
      <c r="J136" s="505"/>
      <c r="K136" s="505"/>
      <c r="L136" s="505"/>
      <c r="M136" s="506"/>
      <c r="N136" s="507"/>
      <c r="O136" s="508"/>
      <c r="P136" s="511"/>
      <c r="Q136" s="511"/>
      <c r="R136" s="509"/>
      <c r="S136" s="509"/>
      <c r="T136" s="504"/>
      <c r="U136" s="504"/>
      <c r="V136" s="504"/>
      <c r="W136" s="504"/>
      <c r="X136" s="504"/>
    </row>
    <row r="137" spans="3:24" x14ac:dyDescent="0.4">
      <c r="C137" s="481"/>
      <c r="D137" s="524"/>
      <c r="E137" s="527"/>
      <c r="F137" s="525"/>
      <c r="G137" s="524"/>
      <c r="H137" s="526"/>
      <c r="I137" s="526"/>
      <c r="J137" s="505"/>
      <c r="K137" s="505"/>
      <c r="L137" s="505"/>
      <c r="M137" s="506"/>
      <c r="N137" s="507"/>
      <c r="O137" s="508"/>
      <c r="P137" s="511"/>
      <c r="Q137" s="511"/>
      <c r="R137" s="509"/>
      <c r="S137" s="509"/>
      <c r="T137" s="504"/>
      <c r="U137" s="504"/>
      <c r="V137" s="504"/>
      <c r="W137" s="504"/>
      <c r="X137" s="504"/>
    </row>
    <row r="138" spans="3:24" x14ac:dyDescent="0.4">
      <c r="C138" s="481"/>
      <c r="D138" s="524"/>
      <c r="E138" s="527"/>
      <c r="F138" s="525"/>
      <c r="G138" s="524"/>
      <c r="H138" s="526"/>
      <c r="I138" s="526"/>
      <c r="J138" s="505"/>
      <c r="K138" s="505"/>
      <c r="L138" s="505"/>
      <c r="M138" s="506"/>
      <c r="N138" s="507"/>
      <c r="O138" s="508"/>
      <c r="P138" s="511"/>
      <c r="Q138" s="511"/>
      <c r="R138" s="509"/>
      <c r="S138" s="509"/>
      <c r="T138" s="504"/>
      <c r="U138" s="504"/>
      <c r="V138" s="504"/>
      <c r="W138" s="504"/>
      <c r="X138" s="504"/>
    </row>
    <row r="139" spans="3:24" x14ac:dyDescent="0.4">
      <c r="C139" s="481"/>
      <c r="D139" s="524"/>
      <c r="E139" s="527"/>
      <c r="F139" s="525"/>
      <c r="G139" s="524"/>
      <c r="H139" s="526"/>
      <c r="I139" s="526"/>
      <c r="J139" s="505"/>
      <c r="K139" s="505"/>
      <c r="L139" s="505"/>
      <c r="M139" s="506"/>
      <c r="N139" s="507"/>
      <c r="O139" s="508"/>
      <c r="P139" s="511"/>
      <c r="Q139" s="511"/>
      <c r="R139" s="509"/>
      <c r="S139" s="509"/>
      <c r="T139" s="504"/>
      <c r="U139" s="504"/>
      <c r="V139" s="504"/>
      <c r="W139" s="504"/>
      <c r="X139" s="504"/>
    </row>
    <row r="140" spans="3:24" x14ac:dyDescent="0.4">
      <c r="C140" s="481"/>
      <c r="D140" s="524"/>
      <c r="E140" s="527"/>
      <c r="F140" s="525"/>
      <c r="G140" s="524"/>
      <c r="H140" s="526"/>
      <c r="I140" s="526"/>
      <c r="J140" s="505"/>
      <c r="K140" s="505"/>
      <c r="L140" s="505"/>
      <c r="M140" s="506"/>
      <c r="N140" s="507"/>
      <c r="O140" s="508"/>
      <c r="P140" s="511"/>
      <c r="Q140" s="511"/>
      <c r="R140" s="509"/>
      <c r="S140" s="509"/>
      <c r="T140" s="504"/>
      <c r="U140" s="504"/>
      <c r="V140" s="504"/>
      <c r="W140" s="504"/>
      <c r="X140" s="504"/>
    </row>
    <row r="141" spans="3:24" x14ac:dyDescent="0.4">
      <c r="C141" s="481"/>
      <c r="D141" s="524"/>
      <c r="E141" s="527"/>
      <c r="F141" s="525"/>
      <c r="G141" s="524"/>
      <c r="H141" s="526"/>
      <c r="I141" s="526"/>
      <c r="J141" s="505"/>
      <c r="K141" s="505"/>
      <c r="L141" s="505"/>
      <c r="M141" s="506"/>
      <c r="N141" s="507"/>
      <c r="O141" s="508"/>
      <c r="P141" s="511"/>
      <c r="Q141" s="511"/>
      <c r="R141" s="509"/>
      <c r="S141" s="509"/>
      <c r="T141" s="504"/>
      <c r="U141" s="504"/>
      <c r="V141" s="504"/>
      <c r="W141" s="504"/>
      <c r="X141" s="504"/>
    </row>
    <row r="142" spans="3:24" x14ac:dyDescent="0.4">
      <c r="C142" s="481"/>
      <c r="D142" s="524"/>
      <c r="E142" s="527"/>
      <c r="F142" s="525"/>
      <c r="G142" s="524"/>
      <c r="H142" s="526"/>
      <c r="I142" s="526"/>
      <c r="J142" s="505"/>
      <c r="K142" s="505"/>
      <c r="L142" s="505"/>
      <c r="M142" s="506"/>
      <c r="N142" s="507"/>
      <c r="O142" s="508"/>
      <c r="P142" s="511"/>
      <c r="Q142" s="511"/>
      <c r="R142" s="509"/>
      <c r="S142" s="509"/>
      <c r="T142" s="504"/>
      <c r="U142" s="504"/>
      <c r="V142" s="504"/>
      <c r="W142" s="504"/>
      <c r="X142" s="504"/>
    </row>
    <row r="143" spans="3:24" x14ac:dyDescent="0.4">
      <c r="C143" s="481"/>
      <c r="D143" s="524"/>
      <c r="E143" s="527"/>
      <c r="F143" s="525"/>
      <c r="G143" s="524"/>
      <c r="H143" s="526"/>
      <c r="I143" s="526"/>
      <c r="J143" s="505"/>
      <c r="K143" s="505"/>
      <c r="L143" s="505"/>
      <c r="M143" s="506"/>
      <c r="N143" s="507"/>
      <c r="O143" s="508"/>
      <c r="P143" s="511"/>
      <c r="Q143" s="511"/>
      <c r="R143" s="509"/>
      <c r="S143" s="509"/>
      <c r="T143" s="504"/>
      <c r="U143" s="504"/>
      <c r="V143" s="504"/>
      <c r="W143" s="504"/>
      <c r="X143" s="504"/>
    </row>
    <row r="144" spans="3:24" x14ac:dyDescent="0.4">
      <c r="C144" s="481"/>
      <c r="D144" s="524"/>
      <c r="E144" s="527"/>
      <c r="F144" s="525"/>
      <c r="G144" s="524"/>
      <c r="H144" s="526"/>
      <c r="I144" s="526"/>
      <c r="J144" s="505"/>
      <c r="K144" s="505"/>
      <c r="L144" s="505"/>
      <c r="M144" s="506"/>
      <c r="N144" s="507"/>
      <c r="O144" s="508"/>
      <c r="P144" s="511"/>
      <c r="Q144" s="511"/>
      <c r="R144" s="509"/>
      <c r="S144" s="509"/>
      <c r="T144" s="504"/>
      <c r="U144" s="504"/>
      <c r="V144" s="504"/>
      <c r="W144" s="504"/>
      <c r="X144" s="504"/>
    </row>
    <row r="145" spans="3:24" x14ac:dyDescent="0.4">
      <c r="C145" s="481"/>
      <c r="D145" s="524"/>
      <c r="E145" s="527"/>
      <c r="F145" s="525"/>
      <c r="G145" s="524"/>
      <c r="H145" s="526"/>
      <c r="I145" s="526"/>
      <c r="J145" s="505"/>
      <c r="K145" s="505"/>
      <c r="L145" s="505"/>
      <c r="M145" s="506"/>
      <c r="N145" s="507"/>
      <c r="O145" s="508"/>
      <c r="P145" s="511"/>
      <c r="Q145" s="511"/>
      <c r="R145" s="509"/>
      <c r="S145" s="509"/>
      <c r="T145" s="504"/>
      <c r="U145" s="504"/>
      <c r="V145" s="504"/>
      <c r="W145" s="504"/>
      <c r="X145" s="504"/>
    </row>
    <row r="146" spans="3:24" x14ac:dyDescent="0.4">
      <c r="C146" s="481"/>
      <c r="D146" s="524"/>
      <c r="E146" s="527"/>
      <c r="F146" s="525"/>
      <c r="G146" s="524"/>
      <c r="H146" s="526"/>
      <c r="I146" s="526"/>
      <c r="J146" s="505"/>
      <c r="K146" s="505"/>
      <c r="L146" s="505"/>
      <c r="M146" s="506"/>
      <c r="N146" s="507"/>
      <c r="O146" s="508"/>
      <c r="P146" s="511"/>
      <c r="Q146" s="511"/>
      <c r="R146" s="509"/>
      <c r="S146" s="509"/>
      <c r="T146" s="504"/>
      <c r="U146" s="504"/>
      <c r="V146" s="504"/>
      <c r="W146" s="504"/>
      <c r="X146" s="504"/>
    </row>
    <row r="147" spans="3:24" x14ac:dyDescent="0.4">
      <c r="C147" s="481"/>
      <c r="D147" s="524"/>
      <c r="E147" s="527"/>
      <c r="F147" s="525"/>
      <c r="G147" s="524"/>
      <c r="H147" s="526"/>
      <c r="I147" s="526"/>
      <c r="J147" s="505"/>
      <c r="K147" s="505"/>
      <c r="L147" s="505"/>
      <c r="M147" s="506"/>
      <c r="N147" s="507"/>
      <c r="O147" s="508"/>
      <c r="P147" s="511"/>
      <c r="Q147" s="511"/>
      <c r="R147" s="509"/>
      <c r="S147" s="509"/>
      <c r="T147" s="504"/>
      <c r="U147" s="504"/>
      <c r="V147" s="504"/>
      <c r="W147" s="504"/>
      <c r="X147" s="504"/>
    </row>
    <row r="148" spans="3:24" x14ac:dyDescent="0.4">
      <c r="C148" s="481"/>
      <c r="D148" s="524"/>
      <c r="E148" s="527"/>
      <c r="F148" s="525"/>
      <c r="G148" s="524"/>
      <c r="H148" s="526"/>
      <c r="I148" s="526"/>
      <c r="J148" s="505"/>
      <c r="K148" s="505"/>
      <c r="L148" s="505"/>
      <c r="M148" s="506"/>
      <c r="N148" s="507"/>
      <c r="O148" s="508"/>
      <c r="P148" s="511"/>
      <c r="Q148" s="511"/>
      <c r="R148" s="509"/>
      <c r="S148" s="509"/>
      <c r="T148" s="504"/>
      <c r="U148" s="504"/>
      <c r="V148" s="504"/>
      <c r="W148" s="504"/>
      <c r="X148" s="504"/>
    </row>
    <row r="149" spans="3:24" x14ac:dyDescent="0.4">
      <c r="C149" s="481"/>
      <c r="D149" s="524"/>
      <c r="E149" s="527"/>
      <c r="F149" s="525"/>
      <c r="G149" s="524"/>
      <c r="H149" s="526"/>
      <c r="I149" s="526"/>
      <c r="J149" s="505"/>
      <c r="K149" s="505"/>
      <c r="L149" s="505"/>
      <c r="M149" s="506"/>
      <c r="N149" s="507"/>
      <c r="O149" s="508"/>
      <c r="P149" s="511"/>
      <c r="Q149" s="511"/>
      <c r="R149" s="509"/>
      <c r="S149" s="509"/>
      <c r="T149" s="504"/>
      <c r="U149" s="504"/>
      <c r="V149" s="504"/>
      <c r="W149" s="504"/>
      <c r="X149" s="504"/>
    </row>
    <row r="150" spans="3:24" x14ac:dyDescent="0.4">
      <c r="C150" s="481"/>
      <c r="D150" s="524"/>
      <c r="E150" s="527"/>
      <c r="F150" s="525"/>
      <c r="G150" s="524"/>
      <c r="H150" s="526"/>
      <c r="I150" s="526"/>
      <c r="J150" s="505"/>
      <c r="K150" s="505"/>
      <c r="L150" s="505"/>
      <c r="M150" s="506"/>
      <c r="N150" s="507"/>
      <c r="O150" s="508"/>
      <c r="P150" s="511"/>
      <c r="Q150" s="511"/>
      <c r="R150" s="509"/>
      <c r="S150" s="509"/>
      <c r="T150" s="504"/>
      <c r="U150" s="504"/>
      <c r="V150" s="504"/>
      <c r="W150" s="504"/>
      <c r="X150" s="504"/>
    </row>
    <row r="151" spans="3:24" x14ac:dyDescent="0.4">
      <c r="C151" s="481"/>
      <c r="D151" s="524"/>
      <c r="E151" s="527"/>
      <c r="F151" s="525"/>
      <c r="G151" s="524"/>
      <c r="H151" s="526"/>
      <c r="I151" s="526"/>
      <c r="J151" s="505"/>
      <c r="K151" s="505"/>
      <c r="L151" s="505"/>
      <c r="M151" s="506"/>
      <c r="N151" s="507"/>
      <c r="O151" s="508"/>
      <c r="P151" s="511"/>
      <c r="Q151" s="511"/>
      <c r="R151" s="509"/>
      <c r="S151" s="509"/>
      <c r="T151" s="504"/>
      <c r="U151" s="504"/>
      <c r="V151" s="504"/>
      <c r="W151" s="504"/>
      <c r="X151" s="504"/>
    </row>
    <row r="152" spans="3:24" x14ac:dyDescent="0.4">
      <c r="C152" s="481"/>
      <c r="D152" s="524"/>
      <c r="E152" s="527"/>
      <c r="F152" s="525"/>
      <c r="G152" s="524"/>
      <c r="H152" s="526"/>
      <c r="I152" s="526"/>
      <c r="J152" s="505"/>
      <c r="K152" s="505"/>
      <c r="L152" s="505"/>
      <c r="M152" s="506"/>
      <c r="N152" s="507"/>
      <c r="O152" s="508"/>
      <c r="P152" s="511"/>
      <c r="Q152" s="511"/>
      <c r="R152" s="509"/>
      <c r="S152" s="509"/>
      <c r="T152" s="504"/>
      <c r="U152" s="504"/>
      <c r="V152" s="504"/>
      <c r="W152" s="504"/>
      <c r="X152" s="504"/>
    </row>
    <row r="153" spans="3:24" x14ac:dyDescent="0.4">
      <c r="C153" s="481"/>
      <c r="D153" s="524"/>
      <c r="E153" s="527"/>
      <c r="F153" s="525"/>
      <c r="G153" s="524"/>
      <c r="H153" s="526"/>
      <c r="I153" s="526"/>
      <c r="J153" s="505"/>
      <c r="K153" s="505"/>
      <c r="L153" s="505"/>
      <c r="M153" s="506"/>
      <c r="N153" s="507"/>
      <c r="O153" s="508"/>
      <c r="P153" s="511"/>
      <c r="Q153" s="511"/>
      <c r="R153" s="509"/>
      <c r="S153" s="509"/>
      <c r="T153" s="504"/>
      <c r="U153" s="504"/>
      <c r="V153" s="504"/>
      <c r="W153" s="504"/>
      <c r="X153" s="504"/>
    </row>
    <row r="154" spans="3:24" x14ac:dyDescent="0.4">
      <c r="C154" s="481"/>
      <c r="D154" s="524"/>
      <c r="E154" s="527"/>
      <c r="F154" s="525"/>
      <c r="G154" s="524"/>
      <c r="H154" s="526"/>
      <c r="I154" s="526"/>
      <c r="J154" s="505"/>
      <c r="K154" s="505"/>
      <c r="L154" s="505"/>
      <c r="M154" s="506"/>
      <c r="N154" s="507"/>
      <c r="O154" s="508"/>
      <c r="P154" s="511"/>
      <c r="Q154" s="511"/>
      <c r="R154" s="509"/>
      <c r="S154" s="509"/>
      <c r="T154" s="504"/>
      <c r="U154" s="504"/>
      <c r="V154" s="504"/>
      <c r="W154" s="504"/>
      <c r="X154" s="504"/>
    </row>
    <row r="155" spans="3:24" x14ac:dyDescent="0.4">
      <c r="C155" s="481"/>
      <c r="D155" s="524"/>
      <c r="E155" s="527"/>
      <c r="F155" s="525"/>
      <c r="G155" s="524"/>
      <c r="H155" s="526"/>
      <c r="I155" s="526"/>
      <c r="J155" s="505"/>
      <c r="K155" s="505"/>
      <c r="L155" s="505"/>
      <c r="M155" s="506"/>
      <c r="N155" s="507"/>
      <c r="O155" s="508"/>
      <c r="P155" s="511"/>
      <c r="Q155" s="511"/>
      <c r="R155" s="509"/>
      <c r="S155" s="509"/>
      <c r="T155" s="504"/>
      <c r="U155" s="504"/>
      <c r="V155" s="504"/>
      <c r="W155" s="504"/>
      <c r="X155" s="504"/>
    </row>
    <row r="156" spans="3:24" x14ac:dyDescent="0.4">
      <c r="C156" s="481"/>
      <c r="D156" s="524"/>
      <c r="E156" s="527"/>
      <c r="F156" s="525"/>
      <c r="G156" s="524"/>
      <c r="H156" s="526"/>
      <c r="I156" s="526"/>
      <c r="J156" s="505"/>
      <c r="K156" s="505"/>
      <c r="L156" s="505"/>
      <c r="M156" s="506"/>
      <c r="N156" s="507"/>
      <c r="O156" s="508"/>
      <c r="P156" s="511"/>
      <c r="Q156" s="511"/>
      <c r="R156" s="509"/>
      <c r="S156" s="509"/>
      <c r="T156" s="504"/>
      <c r="U156" s="504"/>
      <c r="V156" s="504"/>
      <c r="W156" s="504"/>
      <c r="X156" s="504"/>
    </row>
    <row r="157" spans="3:24" x14ac:dyDescent="0.4">
      <c r="C157" s="481"/>
      <c r="D157" s="524"/>
      <c r="E157" s="527"/>
      <c r="F157" s="525"/>
      <c r="G157" s="524"/>
      <c r="H157" s="526"/>
      <c r="I157" s="526"/>
      <c r="J157" s="505"/>
      <c r="K157" s="505"/>
      <c r="L157" s="505"/>
      <c r="M157" s="506"/>
      <c r="N157" s="507"/>
      <c r="O157" s="508"/>
      <c r="P157" s="511"/>
      <c r="Q157" s="511"/>
      <c r="R157" s="509"/>
      <c r="S157" s="509"/>
      <c r="T157" s="504"/>
      <c r="U157" s="504"/>
      <c r="V157" s="504"/>
      <c r="W157" s="504"/>
      <c r="X157" s="504"/>
    </row>
    <row r="158" spans="3:24" x14ac:dyDescent="0.4">
      <c r="C158" s="481"/>
      <c r="D158" s="524"/>
      <c r="E158" s="527"/>
      <c r="F158" s="525"/>
      <c r="G158" s="524"/>
      <c r="H158" s="526"/>
      <c r="I158" s="526"/>
      <c r="J158" s="505"/>
      <c r="K158" s="505"/>
      <c r="L158" s="505"/>
      <c r="M158" s="506"/>
      <c r="N158" s="507"/>
      <c r="O158" s="508"/>
      <c r="P158" s="511"/>
      <c r="Q158" s="511"/>
      <c r="R158" s="509"/>
      <c r="S158" s="509"/>
      <c r="T158" s="504"/>
      <c r="U158" s="504"/>
      <c r="V158" s="504"/>
      <c r="W158" s="504"/>
      <c r="X158" s="504"/>
    </row>
    <row r="159" spans="3:24" x14ac:dyDescent="0.4">
      <c r="C159" s="481"/>
      <c r="D159" s="524"/>
      <c r="E159" s="527"/>
      <c r="F159" s="525"/>
      <c r="G159" s="524"/>
      <c r="H159" s="526"/>
      <c r="I159" s="526"/>
      <c r="J159" s="505"/>
      <c r="K159" s="505"/>
      <c r="L159" s="505"/>
      <c r="M159" s="506"/>
      <c r="N159" s="507"/>
      <c r="O159" s="508"/>
      <c r="P159" s="511"/>
      <c r="Q159" s="511"/>
      <c r="R159" s="509"/>
      <c r="S159" s="509"/>
      <c r="T159" s="504"/>
      <c r="U159" s="504"/>
      <c r="V159" s="504"/>
      <c r="W159" s="504"/>
      <c r="X159" s="504"/>
    </row>
    <row r="160" spans="3:24" x14ac:dyDescent="0.4">
      <c r="C160" s="481"/>
      <c r="D160" s="524"/>
      <c r="E160" s="527"/>
      <c r="F160" s="525"/>
      <c r="G160" s="524"/>
      <c r="H160" s="526"/>
      <c r="I160" s="526"/>
      <c r="J160" s="505"/>
      <c r="K160" s="505"/>
      <c r="L160" s="505"/>
      <c r="M160" s="506"/>
      <c r="N160" s="507"/>
      <c r="O160" s="508"/>
      <c r="P160" s="511"/>
      <c r="Q160" s="511"/>
      <c r="R160" s="509"/>
      <c r="S160" s="509"/>
      <c r="T160" s="504"/>
      <c r="U160" s="504"/>
      <c r="V160" s="504"/>
      <c r="W160" s="504"/>
      <c r="X160" s="504"/>
    </row>
    <row r="161" spans="3:24" x14ac:dyDescent="0.4">
      <c r="C161" s="481"/>
      <c r="D161" s="524"/>
      <c r="E161" s="527"/>
      <c r="F161" s="525"/>
      <c r="G161" s="524"/>
      <c r="H161" s="526"/>
      <c r="I161" s="526"/>
      <c r="J161" s="505"/>
      <c r="K161" s="505"/>
      <c r="L161" s="505"/>
      <c r="M161" s="506"/>
      <c r="N161" s="507"/>
      <c r="O161" s="508"/>
      <c r="P161" s="511"/>
      <c r="Q161" s="511"/>
      <c r="R161" s="509"/>
      <c r="S161" s="509"/>
      <c r="T161" s="504"/>
      <c r="U161" s="504"/>
      <c r="V161" s="504"/>
      <c r="W161" s="504"/>
      <c r="X161" s="504"/>
    </row>
    <row r="162" spans="3:24" x14ac:dyDescent="0.4">
      <c r="C162" s="481"/>
      <c r="D162" s="524"/>
      <c r="E162" s="527"/>
      <c r="F162" s="525"/>
      <c r="G162" s="524"/>
      <c r="H162" s="526"/>
      <c r="I162" s="526"/>
      <c r="J162" s="505"/>
      <c r="K162" s="505"/>
      <c r="L162" s="505"/>
      <c r="M162" s="506"/>
      <c r="N162" s="507"/>
      <c r="O162" s="508"/>
      <c r="P162" s="511"/>
      <c r="Q162" s="511"/>
      <c r="R162" s="509"/>
      <c r="S162" s="509"/>
      <c r="T162" s="504"/>
      <c r="U162" s="504"/>
      <c r="V162" s="504"/>
      <c r="W162" s="504"/>
      <c r="X162" s="504"/>
    </row>
    <row r="163" spans="3:24" x14ac:dyDescent="0.4">
      <c r="C163" s="481"/>
      <c r="D163" s="524"/>
      <c r="E163" s="527"/>
      <c r="F163" s="525"/>
      <c r="G163" s="524"/>
      <c r="H163" s="526"/>
      <c r="I163" s="526"/>
      <c r="J163" s="505"/>
      <c r="K163" s="505"/>
      <c r="L163" s="505"/>
      <c r="M163" s="506"/>
      <c r="N163" s="507"/>
      <c r="O163" s="508"/>
      <c r="P163" s="511"/>
      <c r="Q163" s="511"/>
      <c r="R163" s="509"/>
      <c r="S163" s="509"/>
      <c r="T163" s="504"/>
      <c r="U163" s="504"/>
      <c r="V163" s="504"/>
      <c r="W163" s="504"/>
      <c r="X163" s="504"/>
    </row>
    <row r="164" spans="3:24" x14ac:dyDescent="0.4">
      <c r="C164" s="481"/>
      <c r="D164" s="524"/>
      <c r="E164" s="527"/>
      <c r="F164" s="525"/>
      <c r="G164" s="524"/>
      <c r="H164" s="526"/>
      <c r="I164" s="526"/>
      <c r="J164" s="505"/>
      <c r="K164" s="505"/>
      <c r="L164" s="505"/>
      <c r="M164" s="506"/>
      <c r="N164" s="507"/>
      <c r="O164" s="508"/>
      <c r="P164" s="511"/>
      <c r="Q164" s="511"/>
      <c r="R164" s="509"/>
      <c r="S164" s="509"/>
      <c r="T164" s="504"/>
      <c r="U164" s="504"/>
      <c r="V164" s="504"/>
      <c r="W164" s="504"/>
      <c r="X164" s="504"/>
    </row>
    <row r="165" spans="3:24" x14ac:dyDescent="0.4">
      <c r="C165" s="481"/>
      <c r="D165" s="524"/>
      <c r="E165" s="527"/>
      <c r="F165" s="525"/>
      <c r="G165" s="524"/>
      <c r="H165" s="526"/>
      <c r="I165" s="526"/>
      <c r="J165" s="505"/>
      <c r="K165" s="505"/>
      <c r="L165" s="505"/>
      <c r="M165" s="506"/>
      <c r="N165" s="507"/>
      <c r="O165" s="508"/>
      <c r="P165" s="511"/>
      <c r="Q165" s="511"/>
      <c r="R165" s="509"/>
      <c r="S165" s="509"/>
      <c r="T165" s="504"/>
      <c r="U165" s="504"/>
      <c r="V165" s="504"/>
      <c r="W165" s="504"/>
      <c r="X165" s="504"/>
    </row>
    <row r="166" spans="3:24" x14ac:dyDescent="0.4">
      <c r="C166" s="481"/>
      <c r="D166" s="524"/>
      <c r="E166" s="527"/>
      <c r="F166" s="525"/>
      <c r="G166" s="524"/>
      <c r="H166" s="526"/>
      <c r="I166" s="526"/>
      <c r="J166" s="505"/>
      <c r="K166" s="505"/>
      <c r="L166" s="505"/>
      <c r="M166" s="506"/>
      <c r="N166" s="507"/>
      <c r="O166" s="508"/>
      <c r="P166" s="511"/>
      <c r="Q166" s="511"/>
      <c r="R166" s="509"/>
      <c r="S166" s="509"/>
      <c r="T166" s="504"/>
      <c r="U166" s="504"/>
      <c r="V166" s="504"/>
      <c r="W166" s="504"/>
      <c r="X166" s="504"/>
    </row>
    <row r="167" spans="3:24" x14ac:dyDescent="0.4">
      <c r="C167" s="481"/>
      <c r="D167" s="524"/>
      <c r="E167" s="527"/>
      <c r="F167" s="525"/>
      <c r="G167" s="524"/>
      <c r="H167" s="526"/>
      <c r="I167" s="526"/>
      <c r="J167" s="505"/>
      <c r="K167" s="505"/>
      <c r="L167" s="505"/>
      <c r="M167" s="506"/>
      <c r="N167" s="507"/>
      <c r="O167" s="508"/>
      <c r="P167" s="511"/>
      <c r="Q167" s="511"/>
      <c r="R167" s="509"/>
      <c r="S167" s="509"/>
      <c r="T167" s="504"/>
      <c r="U167" s="504"/>
      <c r="V167" s="504"/>
      <c r="W167" s="504"/>
      <c r="X167" s="504"/>
    </row>
    <row r="168" spans="3:24" x14ac:dyDescent="0.4">
      <c r="C168" s="481"/>
      <c r="D168" s="524"/>
      <c r="E168" s="527"/>
      <c r="F168" s="525"/>
      <c r="G168" s="524"/>
      <c r="H168" s="526"/>
      <c r="I168" s="526"/>
      <c r="J168" s="505"/>
      <c r="K168" s="505"/>
      <c r="L168" s="505"/>
      <c r="M168" s="506"/>
      <c r="N168" s="507"/>
      <c r="O168" s="508"/>
      <c r="P168" s="511"/>
      <c r="Q168" s="511"/>
      <c r="R168" s="509"/>
      <c r="S168" s="509"/>
      <c r="T168" s="504"/>
      <c r="U168" s="504"/>
      <c r="V168" s="504"/>
      <c r="W168" s="504"/>
      <c r="X168" s="504"/>
    </row>
    <row r="169" spans="3:24" x14ac:dyDescent="0.4">
      <c r="C169" s="481"/>
      <c r="D169" s="524"/>
      <c r="E169" s="527"/>
      <c r="F169" s="525"/>
      <c r="G169" s="524"/>
      <c r="H169" s="526"/>
      <c r="I169" s="526"/>
      <c r="J169" s="505"/>
      <c r="K169" s="505"/>
      <c r="L169" s="505"/>
      <c r="M169" s="506"/>
      <c r="N169" s="507"/>
      <c r="O169" s="508"/>
      <c r="P169" s="511"/>
      <c r="Q169" s="511"/>
      <c r="R169" s="509"/>
      <c r="S169" s="509"/>
      <c r="T169" s="504"/>
      <c r="U169" s="504"/>
      <c r="V169" s="504"/>
      <c r="W169" s="504"/>
      <c r="X169" s="504"/>
    </row>
    <row r="170" spans="3:24" x14ac:dyDescent="0.4">
      <c r="C170" s="481"/>
      <c r="D170" s="524"/>
      <c r="E170" s="527"/>
      <c r="F170" s="525"/>
      <c r="G170" s="524"/>
      <c r="H170" s="526"/>
      <c r="I170" s="526"/>
      <c r="J170" s="505"/>
      <c r="K170" s="505"/>
      <c r="L170" s="505"/>
      <c r="M170" s="506"/>
      <c r="N170" s="507"/>
      <c r="O170" s="508"/>
      <c r="P170" s="511"/>
      <c r="Q170" s="511"/>
      <c r="R170" s="509"/>
      <c r="S170" s="509"/>
      <c r="T170" s="504"/>
      <c r="U170" s="504"/>
      <c r="V170" s="504"/>
      <c r="W170" s="504"/>
      <c r="X170" s="504"/>
    </row>
    <row r="171" spans="3:24" x14ac:dyDescent="0.4">
      <c r="C171" s="481"/>
      <c r="D171" s="524"/>
      <c r="E171" s="527"/>
      <c r="F171" s="525"/>
      <c r="G171" s="524"/>
      <c r="H171" s="526"/>
      <c r="I171" s="526"/>
      <c r="J171" s="505"/>
      <c r="K171" s="505"/>
      <c r="L171" s="505"/>
      <c r="M171" s="506"/>
      <c r="N171" s="507"/>
      <c r="O171" s="508"/>
      <c r="P171" s="511"/>
      <c r="Q171" s="511"/>
      <c r="R171" s="509"/>
      <c r="S171" s="509"/>
      <c r="T171" s="504"/>
      <c r="U171" s="504"/>
      <c r="V171" s="504"/>
      <c r="W171" s="504"/>
      <c r="X171" s="504"/>
    </row>
    <row r="172" spans="3:24" x14ac:dyDescent="0.4">
      <c r="C172" s="481"/>
      <c r="D172" s="524"/>
      <c r="E172" s="527"/>
      <c r="F172" s="525"/>
      <c r="G172" s="524"/>
      <c r="H172" s="526"/>
      <c r="I172" s="526"/>
      <c r="J172" s="505"/>
      <c r="K172" s="505"/>
      <c r="L172" s="505"/>
      <c r="M172" s="506"/>
      <c r="N172" s="507"/>
      <c r="O172" s="508"/>
      <c r="P172" s="511"/>
      <c r="Q172" s="511"/>
      <c r="R172" s="509"/>
      <c r="S172" s="509"/>
      <c r="T172" s="504"/>
      <c r="U172" s="504"/>
      <c r="V172" s="504"/>
      <c r="W172" s="504"/>
      <c r="X172" s="504"/>
    </row>
    <row r="173" spans="3:24" x14ac:dyDescent="0.4">
      <c r="C173" s="481"/>
      <c r="D173" s="524"/>
      <c r="E173" s="527"/>
      <c r="F173" s="525"/>
      <c r="G173" s="524"/>
      <c r="H173" s="526"/>
      <c r="I173" s="526"/>
      <c r="J173" s="505"/>
      <c r="K173" s="505"/>
      <c r="L173" s="505"/>
      <c r="M173" s="506"/>
      <c r="N173" s="507"/>
      <c r="O173" s="508"/>
      <c r="P173" s="511"/>
      <c r="Q173" s="511"/>
      <c r="R173" s="509"/>
      <c r="S173" s="509"/>
      <c r="T173" s="504"/>
      <c r="U173" s="504"/>
      <c r="V173" s="504"/>
      <c r="W173" s="504"/>
      <c r="X173" s="504"/>
    </row>
    <row r="174" spans="3:24" x14ac:dyDescent="0.4">
      <c r="C174" s="481"/>
      <c r="D174" s="524"/>
      <c r="E174" s="527"/>
      <c r="F174" s="525"/>
      <c r="G174" s="524"/>
      <c r="H174" s="526"/>
      <c r="I174" s="526"/>
      <c r="J174" s="505"/>
      <c r="K174" s="505"/>
      <c r="L174" s="505"/>
      <c r="M174" s="506"/>
      <c r="N174" s="507"/>
      <c r="O174" s="508"/>
      <c r="P174" s="511"/>
      <c r="Q174" s="511"/>
      <c r="R174" s="509"/>
      <c r="S174" s="509"/>
      <c r="T174" s="504"/>
      <c r="U174" s="504"/>
      <c r="V174" s="504"/>
      <c r="W174" s="504"/>
      <c r="X174" s="504"/>
    </row>
    <row r="175" spans="3:24" x14ac:dyDescent="0.4">
      <c r="C175" s="481"/>
      <c r="D175" s="524"/>
      <c r="E175" s="527"/>
      <c r="F175" s="525"/>
      <c r="G175" s="524"/>
      <c r="H175" s="526"/>
      <c r="I175" s="526"/>
      <c r="J175" s="505"/>
      <c r="K175" s="505"/>
      <c r="L175" s="505"/>
      <c r="M175" s="506"/>
      <c r="N175" s="507"/>
      <c r="O175" s="508"/>
      <c r="P175" s="511"/>
      <c r="Q175" s="511"/>
      <c r="R175" s="509"/>
      <c r="S175" s="509"/>
      <c r="T175" s="504"/>
      <c r="U175" s="504"/>
      <c r="V175" s="504"/>
      <c r="W175" s="504"/>
      <c r="X175" s="504"/>
    </row>
    <row r="176" spans="3:24" x14ac:dyDescent="0.4">
      <c r="C176" s="481"/>
      <c r="D176" s="524"/>
      <c r="E176" s="527"/>
      <c r="F176" s="525"/>
      <c r="G176" s="524"/>
      <c r="H176" s="526"/>
      <c r="I176" s="526"/>
      <c r="J176" s="505"/>
      <c r="K176" s="505"/>
      <c r="L176" s="505"/>
      <c r="M176" s="506"/>
      <c r="N176" s="507"/>
      <c r="O176" s="508"/>
      <c r="P176" s="511"/>
      <c r="Q176" s="511"/>
      <c r="R176" s="509"/>
      <c r="S176" s="509"/>
      <c r="T176" s="504"/>
      <c r="U176" s="504"/>
      <c r="V176" s="504"/>
      <c r="W176" s="504"/>
      <c r="X176" s="504"/>
    </row>
    <row r="177" spans="3:24" x14ac:dyDescent="0.4">
      <c r="C177" s="481"/>
      <c r="D177" s="524"/>
      <c r="E177" s="527"/>
      <c r="F177" s="525"/>
      <c r="G177" s="524"/>
      <c r="H177" s="526"/>
      <c r="I177" s="526"/>
      <c r="J177" s="505"/>
      <c r="K177" s="505"/>
      <c r="L177" s="505"/>
      <c r="M177" s="506"/>
      <c r="N177" s="507"/>
      <c r="O177" s="508"/>
      <c r="P177" s="511"/>
      <c r="Q177" s="511"/>
      <c r="R177" s="509"/>
      <c r="S177" s="509"/>
      <c r="T177" s="504"/>
      <c r="U177" s="504"/>
      <c r="V177" s="504"/>
      <c r="W177" s="504"/>
      <c r="X177" s="504"/>
    </row>
    <row r="178" spans="3:24" x14ac:dyDescent="0.4">
      <c r="C178" s="481"/>
      <c r="D178" s="524"/>
      <c r="E178" s="527"/>
      <c r="F178" s="525"/>
      <c r="G178" s="524"/>
      <c r="H178" s="526"/>
      <c r="I178" s="526"/>
      <c r="J178" s="505"/>
      <c r="K178" s="505"/>
      <c r="L178" s="505"/>
      <c r="M178" s="506"/>
      <c r="N178" s="507"/>
      <c r="O178" s="508"/>
      <c r="P178" s="511"/>
      <c r="Q178" s="511"/>
      <c r="R178" s="509"/>
      <c r="S178" s="509"/>
      <c r="T178" s="504"/>
      <c r="U178" s="504"/>
      <c r="V178" s="504"/>
      <c r="W178" s="504"/>
      <c r="X178" s="504"/>
    </row>
    <row r="179" spans="3:24" x14ac:dyDescent="0.4">
      <c r="C179" s="481"/>
      <c r="D179" s="524"/>
      <c r="E179" s="527"/>
      <c r="F179" s="525"/>
      <c r="G179" s="524"/>
      <c r="H179" s="526"/>
      <c r="I179" s="526"/>
      <c r="J179" s="505"/>
      <c r="K179" s="505"/>
      <c r="L179" s="505"/>
      <c r="M179" s="506"/>
      <c r="N179" s="507"/>
      <c r="O179" s="508"/>
      <c r="P179" s="511"/>
      <c r="Q179" s="511"/>
      <c r="R179" s="509"/>
      <c r="S179" s="509"/>
      <c r="T179" s="504"/>
      <c r="U179" s="504"/>
      <c r="V179" s="504"/>
      <c r="W179" s="504"/>
      <c r="X179" s="504"/>
    </row>
    <row r="180" spans="3:24" x14ac:dyDescent="0.4">
      <c r="C180" s="481"/>
      <c r="D180" s="524"/>
      <c r="E180" s="527"/>
      <c r="F180" s="525"/>
      <c r="G180" s="524"/>
      <c r="H180" s="526"/>
      <c r="I180" s="526"/>
      <c r="J180" s="505"/>
      <c r="K180" s="505"/>
      <c r="L180" s="505"/>
      <c r="M180" s="506"/>
      <c r="N180" s="507"/>
      <c r="O180" s="508"/>
      <c r="P180" s="511"/>
      <c r="Q180" s="511"/>
      <c r="R180" s="509"/>
      <c r="S180" s="509"/>
      <c r="T180" s="504"/>
      <c r="U180" s="504"/>
      <c r="V180" s="504"/>
      <c r="W180" s="504"/>
      <c r="X180" s="504"/>
    </row>
    <row r="181" spans="3:24" x14ac:dyDescent="0.4">
      <c r="C181" s="481"/>
      <c r="D181" s="524"/>
      <c r="E181" s="527"/>
      <c r="F181" s="525"/>
      <c r="G181" s="524"/>
      <c r="H181" s="526"/>
      <c r="I181" s="526"/>
      <c r="J181" s="505"/>
      <c r="K181" s="505"/>
      <c r="L181" s="505"/>
      <c r="M181" s="506"/>
      <c r="N181" s="507"/>
      <c r="O181" s="508"/>
      <c r="P181" s="511"/>
      <c r="Q181" s="511"/>
      <c r="R181" s="509"/>
      <c r="S181" s="509"/>
      <c r="T181" s="504"/>
      <c r="U181" s="504"/>
      <c r="V181" s="504"/>
      <c r="W181" s="504"/>
      <c r="X181" s="504"/>
    </row>
    <row r="182" spans="3:24" x14ac:dyDescent="0.4">
      <c r="C182" s="481"/>
      <c r="D182" s="524"/>
      <c r="E182" s="527"/>
      <c r="F182" s="525"/>
      <c r="G182" s="524"/>
      <c r="H182" s="526"/>
      <c r="I182" s="526"/>
      <c r="J182" s="505"/>
      <c r="K182" s="505"/>
      <c r="L182" s="505"/>
      <c r="M182" s="506"/>
      <c r="N182" s="507"/>
      <c r="O182" s="508"/>
      <c r="P182" s="511"/>
      <c r="Q182" s="511"/>
      <c r="R182" s="509"/>
      <c r="S182" s="509"/>
      <c r="T182" s="504"/>
      <c r="U182" s="504"/>
      <c r="V182" s="504"/>
      <c r="W182" s="504"/>
      <c r="X182" s="504"/>
    </row>
    <row r="183" spans="3:24" x14ac:dyDescent="0.4">
      <c r="C183" s="481"/>
      <c r="D183" s="524"/>
      <c r="E183" s="527"/>
      <c r="F183" s="525"/>
      <c r="G183" s="524"/>
      <c r="H183" s="526"/>
      <c r="I183" s="526"/>
      <c r="J183" s="505"/>
      <c r="K183" s="505"/>
      <c r="L183" s="505"/>
      <c r="M183" s="506"/>
      <c r="N183" s="507"/>
      <c r="O183" s="508"/>
      <c r="P183" s="511"/>
      <c r="Q183" s="511"/>
      <c r="R183" s="509"/>
      <c r="S183" s="509"/>
      <c r="T183" s="504"/>
      <c r="U183" s="504"/>
      <c r="V183" s="504"/>
      <c r="W183" s="504"/>
      <c r="X183" s="504"/>
    </row>
    <row r="184" spans="3:24" x14ac:dyDescent="0.4">
      <c r="C184" s="481"/>
      <c r="D184" s="524"/>
      <c r="E184" s="527"/>
      <c r="F184" s="525"/>
      <c r="G184" s="524"/>
      <c r="H184" s="526"/>
      <c r="I184" s="526"/>
      <c r="J184" s="505"/>
      <c r="K184" s="505"/>
      <c r="L184" s="505"/>
      <c r="M184" s="506"/>
      <c r="N184" s="507"/>
      <c r="O184" s="508"/>
      <c r="P184" s="511"/>
      <c r="Q184" s="511"/>
      <c r="R184" s="509"/>
      <c r="S184" s="509"/>
      <c r="T184" s="504"/>
      <c r="U184" s="504"/>
      <c r="V184" s="504"/>
      <c r="W184" s="504"/>
      <c r="X184" s="504"/>
    </row>
    <row r="185" spans="3:24" x14ac:dyDescent="0.4">
      <c r="C185" s="481"/>
      <c r="D185" s="524"/>
      <c r="E185" s="527"/>
      <c r="F185" s="525"/>
      <c r="G185" s="524"/>
      <c r="H185" s="526"/>
      <c r="I185" s="526"/>
      <c r="J185" s="505"/>
      <c r="K185" s="505"/>
      <c r="L185" s="505"/>
      <c r="M185" s="506"/>
      <c r="N185" s="507"/>
      <c r="O185" s="508"/>
      <c r="P185" s="511"/>
      <c r="Q185" s="511"/>
      <c r="R185" s="509"/>
      <c r="S185" s="509"/>
      <c r="T185" s="504"/>
      <c r="U185" s="504"/>
      <c r="V185" s="504"/>
      <c r="W185" s="504"/>
      <c r="X185" s="504"/>
    </row>
    <row r="186" spans="3:24" x14ac:dyDescent="0.4">
      <c r="C186" s="481"/>
      <c r="D186" s="524"/>
      <c r="E186" s="527"/>
      <c r="F186" s="525"/>
      <c r="G186" s="524"/>
      <c r="H186" s="526"/>
      <c r="I186" s="526"/>
      <c r="J186" s="505"/>
      <c r="K186" s="505"/>
      <c r="L186" s="505"/>
      <c r="M186" s="506"/>
      <c r="N186" s="507"/>
      <c r="O186" s="508"/>
      <c r="P186" s="511"/>
      <c r="Q186" s="511"/>
      <c r="R186" s="509"/>
      <c r="S186" s="509"/>
      <c r="T186" s="504"/>
      <c r="U186" s="504"/>
      <c r="V186" s="504"/>
      <c r="W186" s="504"/>
      <c r="X186" s="504"/>
    </row>
    <row r="187" spans="3:24" x14ac:dyDescent="0.4">
      <c r="C187" s="481"/>
      <c r="D187" s="524"/>
      <c r="E187" s="527"/>
      <c r="F187" s="525"/>
      <c r="G187" s="524"/>
      <c r="H187" s="526"/>
      <c r="I187" s="526"/>
      <c r="J187" s="505"/>
      <c r="K187" s="505"/>
      <c r="L187" s="505"/>
      <c r="M187" s="506"/>
      <c r="N187" s="507"/>
      <c r="O187" s="508"/>
      <c r="P187" s="511"/>
      <c r="Q187" s="511"/>
      <c r="R187" s="509"/>
      <c r="S187" s="509"/>
      <c r="T187" s="504"/>
      <c r="U187" s="504"/>
      <c r="V187" s="504"/>
      <c r="W187" s="504"/>
      <c r="X187" s="504"/>
    </row>
    <row r="188" spans="3:24" x14ac:dyDescent="0.4">
      <c r="C188" s="481"/>
      <c r="D188" s="524"/>
      <c r="E188" s="527"/>
      <c r="F188" s="525"/>
      <c r="G188" s="524"/>
      <c r="H188" s="526"/>
      <c r="I188" s="526"/>
      <c r="J188" s="505"/>
      <c r="K188" s="505"/>
      <c r="L188" s="505"/>
      <c r="M188" s="506"/>
      <c r="N188" s="507"/>
      <c r="O188" s="508"/>
      <c r="P188" s="511"/>
      <c r="Q188" s="511"/>
      <c r="R188" s="509"/>
      <c r="S188" s="509"/>
      <c r="T188" s="504"/>
      <c r="U188" s="504"/>
      <c r="V188" s="504"/>
      <c r="W188" s="504"/>
      <c r="X188" s="504"/>
    </row>
    <row r="189" spans="3:24" x14ac:dyDescent="0.4">
      <c r="C189" s="481"/>
      <c r="D189" s="524"/>
      <c r="E189" s="527"/>
      <c r="F189" s="525"/>
      <c r="G189" s="524"/>
      <c r="H189" s="526"/>
      <c r="I189" s="526"/>
      <c r="J189" s="505"/>
      <c r="K189" s="505"/>
      <c r="L189" s="505"/>
      <c r="M189" s="506"/>
      <c r="N189" s="507"/>
      <c r="O189" s="508"/>
      <c r="P189" s="511"/>
      <c r="Q189" s="511"/>
      <c r="R189" s="509"/>
      <c r="S189" s="509"/>
      <c r="T189" s="504"/>
      <c r="U189" s="504"/>
      <c r="V189" s="504"/>
      <c r="W189" s="504"/>
      <c r="X189" s="504"/>
    </row>
    <row r="190" spans="3:24" x14ac:dyDescent="0.4">
      <c r="C190" s="481"/>
      <c r="D190" s="524"/>
      <c r="E190" s="527"/>
      <c r="F190" s="525"/>
      <c r="G190" s="524"/>
      <c r="H190" s="526"/>
      <c r="I190" s="526"/>
      <c r="J190" s="505"/>
      <c r="K190" s="505"/>
      <c r="L190" s="505"/>
      <c r="M190" s="506"/>
      <c r="N190" s="507"/>
      <c r="O190" s="508"/>
      <c r="P190" s="511"/>
      <c r="Q190" s="511"/>
      <c r="R190" s="509"/>
      <c r="S190" s="509"/>
      <c r="T190" s="504"/>
      <c r="U190" s="504"/>
      <c r="V190" s="504"/>
      <c r="W190" s="504"/>
      <c r="X190" s="504"/>
    </row>
    <row r="191" spans="3:24" x14ac:dyDescent="0.4">
      <c r="C191" s="481"/>
      <c r="D191" s="524"/>
      <c r="E191" s="527"/>
      <c r="F191" s="525"/>
      <c r="G191" s="524"/>
      <c r="H191" s="526"/>
      <c r="I191" s="526"/>
      <c r="J191" s="505"/>
      <c r="K191" s="505"/>
      <c r="L191" s="505"/>
      <c r="M191" s="506"/>
      <c r="N191" s="507"/>
      <c r="O191" s="508"/>
      <c r="P191" s="511"/>
      <c r="Q191" s="511"/>
      <c r="R191" s="509"/>
      <c r="S191" s="509"/>
      <c r="T191" s="504"/>
      <c r="U191" s="504"/>
      <c r="V191" s="504"/>
      <c r="W191" s="504"/>
      <c r="X191" s="504"/>
    </row>
    <row r="192" spans="3:24" x14ac:dyDescent="0.4">
      <c r="C192" s="481"/>
      <c r="D192" s="524"/>
      <c r="E192" s="527"/>
      <c r="F192" s="525"/>
      <c r="G192" s="524"/>
      <c r="H192" s="526"/>
      <c r="I192" s="526"/>
      <c r="J192" s="505"/>
      <c r="K192" s="505"/>
      <c r="L192" s="505"/>
      <c r="M192" s="506"/>
      <c r="N192" s="507"/>
      <c r="O192" s="508"/>
      <c r="P192" s="511"/>
      <c r="Q192" s="511"/>
      <c r="R192" s="509"/>
      <c r="S192" s="509"/>
      <c r="T192" s="504"/>
      <c r="U192" s="504"/>
      <c r="V192" s="504"/>
      <c r="W192" s="504"/>
      <c r="X192" s="504"/>
    </row>
    <row r="193" spans="3:24" x14ac:dyDescent="0.4">
      <c r="C193" s="481"/>
      <c r="D193" s="524"/>
      <c r="E193" s="527"/>
      <c r="F193" s="525"/>
      <c r="G193" s="524"/>
      <c r="H193" s="526"/>
      <c r="I193" s="526"/>
      <c r="J193" s="505"/>
      <c r="K193" s="505"/>
      <c r="L193" s="505"/>
      <c r="M193" s="506"/>
      <c r="N193" s="507"/>
      <c r="O193" s="508"/>
      <c r="P193" s="511"/>
      <c r="Q193" s="511"/>
      <c r="R193" s="509"/>
      <c r="S193" s="509"/>
      <c r="T193" s="504"/>
      <c r="U193" s="504"/>
      <c r="V193" s="504"/>
      <c r="W193" s="504"/>
      <c r="X193" s="504"/>
    </row>
    <row r="194" spans="3:24" x14ac:dyDescent="0.4">
      <c r="C194" s="481"/>
      <c r="D194" s="524"/>
      <c r="E194" s="527"/>
      <c r="F194" s="525"/>
      <c r="G194" s="524"/>
      <c r="H194" s="526"/>
      <c r="I194" s="526"/>
      <c r="J194" s="505"/>
      <c r="K194" s="505"/>
      <c r="L194" s="505"/>
      <c r="M194" s="506"/>
      <c r="N194" s="507"/>
      <c r="O194" s="508"/>
      <c r="P194" s="511"/>
      <c r="Q194" s="511"/>
      <c r="R194" s="509"/>
      <c r="S194" s="509"/>
      <c r="T194" s="504"/>
      <c r="U194" s="504"/>
      <c r="V194" s="504"/>
      <c r="W194" s="504"/>
      <c r="X194" s="504"/>
    </row>
    <row r="195" spans="3:24" x14ac:dyDescent="0.4">
      <c r="C195" s="481"/>
      <c r="D195" s="524"/>
      <c r="E195" s="527"/>
      <c r="F195" s="525"/>
      <c r="G195" s="524"/>
      <c r="H195" s="526"/>
      <c r="I195" s="526"/>
      <c r="J195" s="505"/>
      <c r="K195" s="505"/>
      <c r="L195" s="505"/>
      <c r="M195" s="506"/>
      <c r="N195" s="507"/>
      <c r="O195" s="508"/>
      <c r="P195" s="511"/>
      <c r="Q195" s="511"/>
      <c r="R195" s="509"/>
      <c r="S195" s="509"/>
      <c r="T195" s="504"/>
      <c r="U195" s="504"/>
      <c r="V195" s="504"/>
      <c r="W195" s="504"/>
      <c r="X195" s="504"/>
    </row>
    <row r="196" spans="3:24" x14ac:dyDescent="0.4">
      <c r="C196" s="481"/>
      <c r="D196" s="524"/>
      <c r="E196" s="527"/>
      <c r="F196" s="525"/>
      <c r="G196" s="524"/>
      <c r="H196" s="526"/>
      <c r="I196" s="526"/>
      <c r="J196" s="505"/>
      <c r="K196" s="505"/>
      <c r="L196" s="505"/>
      <c r="M196" s="506"/>
      <c r="N196" s="507"/>
      <c r="O196" s="508"/>
      <c r="P196" s="511"/>
      <c r="Q196" s="511"/>
      <c r="R196" s="509"/>
      <c r="S196" s="509"/>
      <c r="T196" s="504"/>
      <c r="U196" s="504"/>
      <c r="V196" s="504"/>
      <c r="W196" s="504"/>
      <c r="X196" s="504"/>
    </row>
    <row r="197" spans="3:24" x14ac:dyDescent="0.4">
      <c r="C197" s="481"/>
      <c r="D197" s="524"/>
      <c r="E197" s="527"/>
      <c r="F197" s="525"/>
      <c r="G197" s="524"/>
      <c r="H197" s="526"/>
      <c r="I197" s="526"/>
      <c r="J197" s="505"/>
      <c r="K197" s="505"/>
      <c r="L197" s="505"/>
      <c r="M197" s="506"/>
      <c r="N197" s="507"/>
      <c r="O197" s="508"/>
      <c r="P197" s="511"/>
      <c r="Q197" s="511"/>
      <c r="R197" s="509"/>
      <c r="S197" s="509"/>
      <c r="T197" s="504"/>
      <c r="U197" s="504"/>
      <c r="V197" s="504"/>
      <c r="W197" s="504"/>
      <c r="X197" s="504"/>
    </row>
    <row r="198" spans="3:24" x14ac:dyDescent="0.4">
      <c r="C198" s="481"/>
      <c r="D198" s="524"/>
      <c r="E198" s="527"/>
      <c r="F198" s="525"/>
      <c r="G198" s="524"/>
      <c r="H198" s="526"/>
      <c r="I198" s="526"/>
      <c r="J198" s="505"/>
      <c r="K198" s="505"/>
      <c r="L198" s="505"/>
      <c r="M198" s="506"/>
      <c r="N198" s="507"/>
      <c r="O198" s="508"/>
      <c r="P198" s="511"/>
      <c r="Q198" s="511"/>
      <c r="R198" s="509"/>
      <c r="S198" s="509"/>
      <c r="T198" s="504"/>
      <c r="U198" s="504"/>
      <c r="V198" s="504"/>
      <c r="W198" s="504"/>
      <c r="X198" s="504"/>
    </row>
    <row r="199" spans="3:24" x14ac:dyDescent="0.4">
      <c r="C199" s="481"/>
      <c r="D199" s="524"/>
      <c r="E199" s="527"/>
      <c r="F199" s="525"/>
      <c r="G199" s="524"/>
      <c r="H199" s="526"/>
      <c r="I199" s="526"/>
      <c r="J199" s="505"/>
      <c r="K199" s="505"/>
      <c r="L199" s="505"/>
      <c r="M199" s="506"/>
      <c r="N199" s="507"/>
      <c r="O199" s="508"/>
      <c r="P199" s="511"/>
      <c r="Q199" s="511"/>
      <c r="R199" s="509"/>
      <c r="S199" s="509"/>
      <c r="T199" s="504"/>
      <c r="U199" s="504"/>
      <c r="V199" s="504"/>
      <c r="W199" s="504"/>
      <c r="X199" s="504"/>
    </row>
    <row r="200" spans="3:24" x14ac:dyDescent="0.4">
      <c r="C200" s="481"/>
      <c r="D200" s="524"/>
      <c r="E200" s="527"/>
      <c r="F200" s="525"/>
      <c r="G200" s="524"/>
      <c r="H200" s="526"/>
      <c r="I200" s="526"/>
      <c r="J200" s="505"/>
      <c r="K200" s="505"/>
      <c r="L200" s="505"/>
      <c r="M200" s="506"/>
      <c r="N200" s="507"/>
      <c r="O200" s="508"/>
      <c r="P200" s="511"/>
      <c r="Q200" s="511"/>
      <c r="R200" s="509"/>
      <c r="S200" s="509"/>
      <c r="T200" s="504"/>
      <c r="U200" s="504"/>
      <c r="V200" s="504"/>
      <c r="W200" s="504"/>
      <c r="X200" s="504"/>
    </row>
    <row r="201" spans="3:24" x14ac:dyDescent="0.4">
      <c r="C201" s="481"/>
      <c r="D201" s="524"/>
      <c r="E201" s="527"/>
      <c r="F201" s="525"/>
      <c r="G201" s="524"/>
      <c r="H201" s="526"/>
      <c r="I201" s="526"/>
      <c r="J201" s="505"/>
      <c r="K201" s="505"/>
      <c r="L201" s="505"/>
      <c r="M201" s="506"/>
      <c r="N201" s="507"/>
      <c r="O201" s="508"/>
      <c r="P201" s="511"/>
      <c r="Q201" s="511"/>
      <c r="R201" s="509"/>
      <c r="S201" s="509"/>
      <c r="T201" s="504"/>
      <c r="U201" s="504"/>
      <c r="V201" s="504"/>
      <c r="W201" s="504"/>
      <c r="X201" s="504"/>
    </row>
    <row r="202" spans="3:24" x14ac:dyDescent="0.4">
      <c r="C202" s="481"/>
      <c r="D202" s="524"/>
      <c r="E202" s="527"/>
      <c r="F202" s="525"/>
      <c r="G202" s="524"/>
      <c r="H202" s="526"/>
      <c r="I202" s="526"/>
      <c r="J202" s="505"/>
      <c r="K202" s="505"/>
      <c r="L202" s="505"/>
      <c r="M202" s="506"/>
      <c r="N202" s="507"/>
      <c r="O202" s="508"/>
      <c r="P202" s="511"/>
      <c r="Q202" s="511"/>
      <c r="R202" s="509"/>
      <c r="S202" s="509"/>
      <c r="T202" s="504"/>
      <c r="U202" s="504"/>
      <c r="V202" s="504"/>
      <c r="W202" s="504"/>
      <c r="X202" s="504"/>
    </row>
    <row r="203" spans="3:24" x14ac:dyDescent="0.4">
      <c r="C203" s="481"/>
      <c r="D203" s="524"/>
      <c r="E203" s="527"/>
      <c r="F203" s="525"/>
      <c r="G203" s="524"/>
      <c r="H203" s="526"/>
      <c r="I203" s="526"/>
      <c r="J203" s="505"/>
      <c r="K203" s="505"/>
      <c r="L203" s="505"/>
      <c r="M203" s="506"/>
      <c r="N203" s="507"/>
      <c r="O203" s="508"/>
      <c r="P203" s="511"/>
      <c r="Q203" s="511"/>
      <c r="R203" s="509"/>
      <c r="S203" s="509"/>
      <c r="T203" s="504"/>
      <c r="U203" s="504"/>
      <c r="V203" s="504"/>
      <c r="W203" s="504"/>
      <c r="X203" s="504"/>
    </row>
    <row r="204" spans="3:24" x14ac:dyDescent="0.4">
      <c r="C204" s="481"/>
      <c r="D204" s="524"/>
      <c r="E204" s="527"/>
      <c r="F204" s="525"/>
      <c r="G204" s="524"/>
      <c r="H204" s="526"/>
      <c r="I204" s="526"/>
      <c r="J204" s="505"/>
      <c r="K204" s="505"/>
      <c r="L204" s="505"/>
      <c r="M204" s="506"/>
      <c r="N204" s="507"/>
      <c r="O204" s="508"/>
      <c r="P204" s="511"/>
      <c r="Q204" s="511"/>
      <c r="R204" s="509"/>
      <c r="S204" s="509"/>
      <c r="T204" s="504"/>
      <c r="U204" s="504"/>
      <c r="V204" s="504"/>
      <c r="W204" s="504"/>
      <c r="X204" s="504"/>
    </row>
    <row r="205" spans="3:24" x14ac:dyDescent="0.4">
      <c r="C205" s="481"/>
      <c r="D205" s="524"/>
      <c r="E205" s="527"/>
      <c r="F205" s="525"/>
      <c r="G205" s="524"/>
      <c r="H205" s="526"/>
      <c r="I205" s="526"/>
      <c r="J205" s="505"/>
      <c r="K205" s="505"/>
      <c r="L205" s="505"/>
      <c r="M205" s="506"/>
      <c r="N205" s="507"/>
      <c r="O205" s="508"/>
      <c r="P205" s="511"/>
      <c r="Q205" s="511"/>
      <c r="R205" s="509"/>
      <c r="S205" s="509"/>
      <c r="T205" s="504"/>
      <c r="U205" s="504"/>
      <c r="V205" s="504"/>
      <c r="W205" s="504"/>
      <c r="X205" s="504"/>
    </row>
    <row r="206" spans="3:24" x14ac:dyDescent="0.4">
      <c r="C206" s="481"/>
      <c r="D206" s="524"/>
      <c r="E206" s="527"/>
      <c r="F206" s="525"/>
      <c r="G206" s="524"/>
      <c r="H206" s="526"/>
      <c r="I206" s="526"/>
      <c r="J206" s="505"/>
      <c r="K206" s="505"/>
      <c r="L206" s="505"/>
      <c r="M206" s="506"/>
      <c r="N206" s="507"/>
      <c r="O206" s="508"/>
      <c r="P206" s="511"/>
      <c r="Q206" s="511"/>
      <c r="R206" s="509"/>
      <c r="S206" s="509"/>
      <c r="T206" s="504"/>
      <c r="U206" s="504"/>
      <c r="V206" s="504"/>
      <c r="W206" s="504"/>
      <c r="X206" s="504"/>
    </row>
    <row r="207" spans="3:24" x14ac:dyDescent="0.4">
      <c r="C207" s="481"/>
      <c r="D207" s="524"/>
      <c r="E207" s="527"/>
      <c r="F207" s="525"/>
      <c r="G207" s="524"/>
      <c r="H207" s="526"/>
      <c r="I207" s="526"/>
      <c r="J207" s="505"/>
      <c r="K207" s="505"/>
      <c r="L207" s="505"/>
      <c r="M207" s="506"/>
      <c r="N207" s="507"/>
      <c r="O207" s="508"/>
      <c r="P207" s="511"/>
      <c r="Q207" s="511"/>
      <c r="R207" s="509"/>
      <c r="S207" s="509"/>
      <c r="T207" s="504"/>
      <c r="U207" s="504"/>
      <c r="V207" s="504"/>
      <c r="W207" s="504"/>
      <c r="X207" s="504"/>
    </row>
    <row r="208" spans="3:24" x14ac:dyDescent="0.4">
      <c r="C208" s="481"/>
      <c r="D208" s="524"/>
      <c r="E208" s="527"/>
      <c r="F208" s="525"/>
      <c r="G208" s="524"/>
      <c r="H208" s="526"/>
      <c r="I208" s="526"/>
      <c r="J208" s="505"/>
      <c r="K208" s="505"/>
      <c r="L208" s="505"/>
      <c r="M208" s="506"/>
      <c r="N208" s="507"/>
      <c r="O208" s="508"/>
      <c r="P208" s="511"/>
      <c r="Q208" s="511"/>
      <c r="R208" s="509"/>
      <c r="S208" s="509"/>
      <c r="T208" s="504"/>
      <c r="U208" s="504"/>
      <c r="V208" s="504"/>
      <c r="W208" s="504"/>
      <c r="X208" s="504"/>
    </row>
    <row r="209" spans="3:24" x14ac:dyDescent="0.4">
      <c r="C209" s="481"/>
      <c r="D209" s="524"/>
      <c r="E209" s="527"/>
      <c r="F209" s="525"/>
      <c r="G209" s="524"/>
      <c r="H209" s="526"/>
      <c r="I209" s="526"/>
      <c r="J209" s="505"/>
      <c r="K209" s="505"/>
      <c r="L209" s="505"/>
      <c r="M209" s="506"/>
      <c r="N209" s="507"/>
      <c r="O209" s="508"/>
      <c r="P209" s="511"/>
      <c r="Q209" s="511"/>
      <c r="R209" s="509"/>
      <c r="S209" s="509"/>
      <c r="T209" s="504"/>
      <c r="U209" s="504"/>
      <c r="V209" s="504"/>
      <c r="W209" s="504"/>
      <c r="X209" s="504"/>
    </row>
    <row r="210" spans="3:24" x14ac:dyDescent="0.4">
      <c r="C210" s="481"/>
      <c r="D210" s="524"/>
      <c r="E210" s="527"/>
      <c r="F210" s="525"/>
      <c r="G210" s="524"/>
      <c r="H210" s="526"/>
      <c r="I210" s="526"/>
      <c r="J210" s="505"/>
      <c r="K210" s="505"/>
      <c r="L210" s="505"/>
      <c r="M210" s="506"/>
      <c r="N210" s="507"/>
      <c r="O210" s="508"/>
      <c r="P210" s="511"/>
      <c r="Q210" s="511"/>
      <c r="R210" s="509"/>
      <c r="S210" s="509"/>
      <c r="T210" s="504"/>
      <c r="U210" s="504"/>
      <c r="V210" s="504"/>
      <c r="W210" s="504"/>
      <c r="X210" s="504"/>
    </row>
    <row r="211" spans="3:24" x14ac:dyDescent="0.4">
      <c r="C211" s="481"/>
      <c r="D211" s="524"/>
      <c r="E211" s="527"/>
      <c r="F211" s="525"/>
      <c r="G211" s="524"/>
      <c r="H211" s="526"/>
      <c r="I211" s="526"/>
      <c r="J211" s="505"/>
      <c r="K211" s="505"/>
      <c r="L211" s="505"/>
      <c r="M211" s="506"/>
      <c r="N211" s="507"/>
      <c r="O211" s="508"/>
      <c r="P211" s="511"/>
      <c r="Q211" s="511"/>
      <c r="R211" s="509"/>
      <c r="S211" s="509"/>
      <c r="T211" s="504"/>
      <c r="U211" s="504"/>
      <c r="V211" s="504"/>
      <c r="W211" s="504"/>
      <c r="X211" s="504"/>
    </row>
    <row r="212" spans="3:24" x14ac:dyDescent="0.4">
      <c r="C212" s="481"/>
      <c r="D212" s="524"/>
      <c r="E212" s="527"/>
      <c r="F212" s="525"/>
      <c r="G212" s="524"/>
      <c r="H212" s="526"/>
      <c r="I212" s="526"/>
      <c r="J212" s="505"/>
      <c r="K212" s="505"/>
      <c r="L212" s="505"/>
      <c r="M212" s="506"/>
      <c r="N212" s="507"/>
      <c r="O212" s="508"/>
      <c r="P212" s="511"/>
      <c r="Q212" s="511"/>
      <c r="R212" s="509"/>
      <c r="S212" s="509"/>
      <c r="T212" s="504"/>
      <c r="U212" s="504"/>
      <c r="V212" s="504"/>
      <c r="W212" s="504"/>
      <c r="X212" s="504"/>
    </row>
    <row r="213" spans="3:24" x14ac:dyDescent="0.4">
      <c r="C213" s="481"/>
      <c r="D213" s="524"/>
      <c r="E213" s="527"/>
      <c r="F213" s="525"/>
      <c r="G213" s="524"/>
      <c r="H213" s="526"/>
      <c r="I213" s="526"/>
      <c r="J213" s="505"/>
      <c r="K213" s="505"/>
      <c r="L213" s="505"/>
      <c r="M213" s="506"/>
      <c r="N213" s="507"/>
      <c r="O213" s="508"/>
      <c r="P213" s="511"/>
      <c r="Q213" s="511"/>
      <c r="R213" s="509"/>
      <c r="S213" s="509"/>
      <c r="T213" s="504"/>
      <c r="U213" s="504"/>
      <c r="V213" s="504"/>
      <c r="W213" s="504"/>
      <c r="X213" s="504"/>
    </row>
    <row r="214" spans="3:24" x14ac:dyDescent="0.4">
      <c r="C214" s="481"/>
      <c r="D214" s="524"/>
      <c r="E214" s="527"/>
      <c r="F214" s="525"/>
      <c r="G214" s="524"/>
      <c r="H214" s="526"/>
      <c r="I214" s="526"/>
      <c r="J214" s="505"/>
      <c r="K214" s="505"/>
      <c r="L214" s="505"/>
      <c r="M214" s="506"/>
      <c r="N214" s="507"/>
      <c r="O214" s="508"/>
      <c r="P214" s="511"/>
      <c r="Q214" s="511"/>
      <c r="R214" s="509"/>
      <c r="S214" s="509"/>
      <c r="T214" s="504"/>
      <c r="U214" s="504"/>
      <c r="V214" s="504"/>
      <c r="W214" s="504"/>
      <c r="X214" s="504"/>
    </row>
    <row r="215" spans="3:24" x14ac:dyDescent="0.4">
      <c r="C215" s="481"/>
      <c r="D215" s="524"/>
      <c r="E215" s="527"/>
      <c r="F215" s="525"/>
      <c r="G215" s="524"/>
      <c r="H215" s="526"/>
      <c r="I215" s="526"/>
      <c r="J215" s="505"/>
      <c r="K215" s="505"/>
      <c r="L215" s="505"/>
      <c r="M215" s="506"/>
      <c r="N215" s="507"/>
      <c r="O215" s="508"/>
      <c r="P215" s="511"/>
      <c r="Q215" s="511"/>
      <c r="R215" s="509"/>
      <c r="S215" s="509"/>
      <c r="T215" s="504"/>
      <c r="U215" s="504"/>
      <c r="V215" s="504"/>
      <c r="W215" s="504"/>
      <c r="X215" s="504"/>
    </row>
    <row r="216" spans="3:24" x14ac:dyDescent="0.4">
      <c r="C216" s="481"/>
      <c r="D216" s="524"/>
      <c r="E216" s="527"/>
      <c r="F216" s="525"/>
      <c r="G216" s="524"/>
      <c r="H216" s="526"/>
      <c r="I216" s="526"/>
      <c r="J216" s="505"/>
      <c r="K216" s="505"/>
      <c r="L216" s="505"/>
      <c r="M216" s="506"/>
      <c r="N216" s="507"/>
      <c r="O216" s="508"/>
      <c r="P216" s="511"/>
      <c r="Q216" s="511"/>
      <c r="R216" s="509"/>
      <c r="S216" s="509"/>
      <c r="T216" s="504"/>
      <c r="U216" s="504"/>
      <c r="V216" s="504"/>
      <c r="W216" s="504"/>
      <c r="X216" s="504"/>
    </row>
    <row r="217" spans="3:24" x14ac:dyDescent="0.4">
      <c r="C217" s="481"/>
      <c r="D217" s="524"/>
      <c r="E217" s="527"/>
      <c r="F217" s="525"/>
      <c r="G217" s="524"/>
      <c r="H217" s="526"/>
      <c r="I217" s="526"/>
      <c r="J217" s="505"/>
      <c r="K217" s="505"/>
      <c r="L217" s="505"/>
      <c r="M217" s="506"/>
      <c r="N217" s="507"/>
      <c r="O217" s="508"/>
      <c r="P217" s="511"/>
      <c r="Q217" s="511"/>
      <c r="R217" s="509"/>
      <c r="S217" s="509"/>
      <c r="T217" s="504"/>
      <c r="U217" s="504"/>
      <c r="V217" s="504"/>
      <c r="W217" s="504"/>
      <c r="X217" s="504"/>
    </row>
    <row r="218" spans="3:24" x14ac:dyDescent="0.4">
      <c r="C218" s="481"/>
      <c r="D218" s="524"/>
      <c r="E218" s="527"/>
      <c r="F218" s="525"/>
      <c r="G218" s="524"/>
      <c r="H218" s="526"/>
      <c r="I218" s="526"/>
      <c r="J218" s="505"/>
      <c r="K218" s="505"/>
      <c r="L218" s="505"/>
      <c r="M218" s="506"/>
      <c r="N218" s="507"/>
      <c r="O218" s="508"/>
      <c r="P218" s="511"/>
      <c r="Q218" s="511"/>
      <c r="R218" s="509"/>
      <c r="S218" s="509"/>
      <c r="T218" s="504"/>
      <c r="U218" s="504"/>
      <c r="V218" s="504"/>
      <c r="W218" s="504"/>
      <c r="X218" s="504"/>
    </row>
    <row r="219" spans="3:24" x14ac:dyDescent="0.4">
      <c r="C219" s="481"/>
      <c r="D219" s="524"/>
      <c r="E219" s="527"/>
      <c r="F219" s="525"/>
      <c r="G219" s="524"/>
      <c r="H219" s="526"/>
      <c r="I219" s="526"/>
      <c r="J219" s="505"/>
      <c r="K219" s="505"/>
      <c r="L219" s="505"/>
      <c r="M219" s="506"/>
      <c r="N219" s="507"/>
      <c r="O219" s="508"/>
      <c r="P219" s="511"/>
      <c r="Q219" s="511"/>
      <c r="R219" s="509"/>
      <c r="S219" s="509"/>
    </row>
    <row r="220" spans="3:24" x14ac:dyDescent="0.4">
      <c r="C220" s="481"/>
      <c r="D220" s="524"/>
      <c r="E220" s="527"/>
      <c r="F220" s="525"/>
      <c r="G220" s="524"/>
      <c r="H220" s="526"/>
      <c r="I220" s="526"/>
      <c r="J220" s="505"/>
      <c r="K220" s="505"/>
      <c r="L220" s="505"/>
      <c r="M220" s="506"/>
      <c r="N220" s="507"/>
      <c r="O220" s="508"/>
      <c r="P220" s="511"/>
      <c r="Q220" s="511"/>
      <c r="R220" s="509"/>
      <c r="S220" s="509"/>
    </row>
    <row r="221" spans="3:24" x14ac:dyDescent="0.4">
      <c r="C221" s="481"/>
      <c r="D221" s="524"/>
      <c r="E221" s="527"/>
      <c r="F221" s="525"/>
      <c r="G221" s="524"/>
      <c r="H221" s="526"/>
      <c r="I221" s="526"/>
      <c r="J221" s="505"/>
      <c r="K221" s="505"/>
      <c r="L221" s="505"/>
      <c r="M221" s="506"/>
      <c r="N221" s="507"/>
      <c r="O221" s="508"/>
      <c r="P221" s="511"/>
      <c r="Q221" s="511"/>
      <c r="R221" s="509"/>
      <c r="S221" s="509"/>
    </row>
    <row r="222" spans="3:24" x14ac:dyDescent="0.4">
      <c r="C222" s="481"/>
      <c r="D222" s="524"/>
      <c r="E222" s="527"/>
      <c r="F222" s="525"/>
      <c r="G222" s="524"/>
      <c r="H222" s="526"/>
      <c r="I222" s="526"/>
      <c r="J222" s="505"/>
      <c r="K222" s="505"/>
      <c r="L222" s="505"/>
      <c r="M222" s="506"/>
      <c r="N222" s="507"/>
      <c r="O222" s="508"/>
      <c r="P222" s="511"/>
      <c r="Q222" s="511"/>
      <c r="R222" s="509"/>
      <c r="S222" s="509"/>
    </row>
    <row r="223" spans="3:24" x14ac:dyDescent="0.4">
      <c r="C223" s="481"/>
      <c r="D223" s="524"/>
      <c r="E223" s="527"/>
      <c r="F223" s="525"/>
      <c r="G223" s="524"/>
      <c r="H223" s="526"/>
      <c r="I223" s="526"/>
      <c r="J223" s="505"/>
      <c r="K223" s="505"/>
      <c r="L223" s="505"/>
      <c r="M223" s="506"/>
      <c r="N223" s="507"/>
      <c r="O223" s="508"/>
      <c r="P223" s="511"/>
      <c r="Q223" s="511"/>
      <c r="R223" s="509"/>
      <c r="S223" s="509"/>
    </row>
    <row r="224" spans="3:24" x14ac:dyDescent="0.4">
      <c r="C224" s="481"/>
      <c r="D224" s="524"/>
      <c r="E224" s="527"/>
      <c r="F224" s="525"/>
      <c r="G224" s="524"/>
      <c r="H224" s="526"/>
      <c r="I224" s="526"/>
      <c r="J224" s="505"/>
      <c r="K224" s="505"/>
      <c r="L224" s="505"/>
      <c r="M224" s="506"/>
      <c r="N224" s="507"/>
      <c r="O224" s="508"/>
      <c r="P224" s="511"/>
      <c r="Q224" s="511"/>
      <c r="R224" s="509"/>
      <c r="S224" s="509"/>
    </row>
    <row r="225" spans="8:19" x14ac:dyDescent="0.4">
      <c r="H225" s="498"/>
      <c r="J225" s="505"/>
      <c r="K225" s="505"/>
      <c r="L225" s="505"/>
      <c r="M225" s="506"/>
      <c r="N225" s="507"/>
      <c r="O225" s="508"/>
      <c r="P225" s="511"/>
      <c r="Q225" s="511"/>
      <c r="R225" s="509"/>
      <c r="S225" s="509"/>
    </row>
    <row r="226" spans="8:19" x14ac:dyDescent="0.4">
      <c r="H226" s="498"/>
      <c r="J226" s="505"/>
      <c r="K226" s="505"/>
      <c r="L226" s="505"/>
      <c r="M226" s="506"/>
      <c r="N226" s="507"/>
      <c r="O226" s="508"/>
      <c r="P226" s="511"/>
      <c r="Q226" s="511"/>
      <c r="R226" s="509"/>
      <c r="S226" s="509"/>
    </row>
    <row r="227" spans="8:19" x14ac:dyDescent="0.4">
      <c r="H227" s="498"/>
      <c r="J227" s="505"/>
      <c r="K227" s="505"/>
      <c r="L227" s="505"/>
      <c r="M227" s="506"/>
      <c r="N227" s="507"/>
      <c r="O227" s="508"/>
      <c r="P227" s="511"/>
      <c r="Q227" s="511"/>
      <c r="R227" s="509"/>
      <c r="S227" s="509"/>
    </row>
    <row r="228" spans="8:19" x14ac:dyDescent="0.4">
      <c r="H228" s="498"/>
      <c r="J228" s="505"/>
      <c r="K228" s="505"/>
      <c r="L228" s="505"/>
      <c r="M228" s="506"/>
      <c r="N228" s="507"/>
      <c r="O228" s="508"/>
      <c r="P228" s="511"/>
      <c r="Q228" s="511"/>
      <c r="R228" s="509"/>
      <c r="S228" s="509"/>
    </row>
    <row r="229" spans="8:19" x14ac:dyDescent="0.4">
      <c r="H229" s="498"/>
      <c r="J229" s="505"/>
      <c r="K229" s="505"/>
      <c r="L229" s="505"/>
      <c r="M229" s="506"/>
      <c r="N229" s="507"/>
      <c r="O229" s="508"/>
      <c r="P229" s="511"/>
      <c r="Q229" s="511"/>
      <c r="R229" s="509"/>
      <c r="S229" s="509"/>
    </row>
    <row r="230" spans="8:19" x14ac:dyDescent="0.4">
      <c r="H230" s="498"/>
      <c r="J230" s="505"/>
      <c r="K230" s="505"/>
      <c r="L230" s="505"/>
      <c r="M230" s="506"/>
      <c r="N230" s="507"/>
      <c r="O230" s="508"/>
      <c r="P230" s="511"/>
      <c r="Q230" s="511"/>
      <c r="R230" s="509"/>
      <c r="S230" s="509"/>
    </row>
    <row r="231" spans="8:19" x14ac:dyDescent="0.4">
      <c r="H231" s="498"/>
      <c r="J231" s="505"/>
      <c r="K231" s="505"/>
      <c r="L231" s="505"/>
      <c r="M231" s="506"/>
      <c r="N231" s="507"/>
      <c r="O231" s="508"/>
      <c r="P231" s="511"/>
      <c r="Q231" s="511"/>
      <c r="R231" s="509"/>
      <c r="S231" s="509"/>
    </row>
    <row r="232" spans="8:19" x14ac:dyDescent="0.4">
      <c r="H232" s="498"/>
      <c r="J232" s="505"/>
      <c r="K232" s="505"/>
      <c r="L232" s="505"/>
      <c r="M232" s="506"/>
      <c r="N232" s="507"/>
      <c r="O232" s="508"/>
      <c r="P232" s="511"/>
      <c r="Q232" s="511"/>
      <c r="R232" s="509"/>
      <c r="S232" s="509"/>
    </row>
    <row r="233" spans="8:19" x14ac:dyDescent="0.4">
      <c r="H233" s="498"/>
      <c r="J233" s="505"/>
      <c r="K233" s="505"/>
      <c r="L233" s="505"/>
      <c r="M233" s="506"/>
      <c r="N233" s="507"/>
      <c r="O233" s="508"/>
      <c r="P233" s="511"/>
      <c r="Q233" s="511"/>
      <c r="R233" s="509"/>
      <c r="S233" s="509"/>
    </row>
    <row r="234" spans="8:19" x14ac:dyDescent="0.4">
      <c r="H234" s="498"/>
      <c r="J234" s="505"/>
      <c r="K234" s="505"/>
      <c r="L234" s="505"/>
      <c r="M234" s="506"/>
      <c r="N234" s="507"/>
      <c r="O234" s="508"/>
      <c r="P234" s="511"/>
      <c r="Q234" s="511"/>
      <c r="R234" s="509"/>
      <c r="S234" s="509"/>
    </row>
    <row r="235" spans="8:19" x14ac:dyDescent="0.4">
      <c r="H235" s="498"/>
      <c r="J235" s="505"/>
      <c r="K235" s="505"/>
      <c r="L235" s="505"/>
      <c r="M235" s="506"/>
      <c r="N235" s="507"/>
      <c r="O235" s="508"/>
      <c r="P235" s="511"/>
      <c r="Q235" s="511"/>
      <c r="R235" s="509"/>
      <c r="S235" s="509"/>
    </row>
    <row r="236" spans="8:19" x14ac:dyDescent="0.4">
      <c r="H236" s="498"/>
      <c r="J236" s="505"/>
      <c r="K236" s="505"/>
      <c r="L236" s="505"/>
      <c r="M236" s="506"/>
      <c r="N236" s="507"/>
      <c r="O236" s="508"/>
      <c r="P236" s="511"/>
      <c r="Q236" s="511"/>
      <c r="R236" s="509"/>
      <c r="S236" s="509"/>
    </row>
    <row r="237" spans="8:19" x14ac:dyDescent="0.4">
      <c r="H237" s="498"/>
      <c r="J237" s="505"/>
      <c r="K237" s="505"/>
      <c r="L237" s="505"/>
      <c r="M237" s="506"/>
      <c r="N237" s="507"/>
      <c r="O237" s="508"/>
      <c r="P237" s="511"/>
      <c r="Q237" s="511"/>
      <c r="R237" s="509"/>
      <c r="S237" s="509"/>
    </row>
    <row r="238" spans="8:19" x14ac:dyDescent="0.4">
      <c r="H238" s="498"/>
      <c r="J238" s="505"/>
      <c r="K238" s="505"/>
      <c r="L238" s="505"/>
      <c r="M238" s="506"/>
      <c r="N238" s="507"/>
      <c r="O238" s="508"/>
      <c r="P238" s="511"/>
      <c r="Q238" s="511"/>
      <c r="R238" s="509"/>
      <c r="S238" s="509"/>
    </row>
    <row r="239" spans="8:19" x14ac:dyDescent="0.4">
      <c r="H239" s="498"/>
      <c r="J239" s="505"/>
      <c r="K239" s="505"/>
      <c r="L239" s="505"/>
      <c r="M239" s="506"/>
      <c r="N239" s="507"/>
      <c r="O239" s="508"/>
      <c r="P239" s="511"/>
      <c r="Q239" s="511"/>
      <c r="R239" s="509"/>
      <c r="S239" s="509"/>
    </row>
    <row r="240" spans="8:19" x14ac:dyDescent="0.4">
      <c r="H240" s="498"/>
      <c r="J240" s="505"/>
      <c r="K240" s="505"/>
      <c r="L240" s="505"/>
      <c r="M240" s="506"/>
      <c r="N240" s="507"/>
      <c r="O240" s="508"/>
      <c r="P240" s="511"/>
      <c r="Q240" s="511"/>
      <c r="R240" s="509"/>
      <c r="S240" s="509"/>
    </row>
    <row r="241" spans="8:19" x14ac:dyDescent="0.4">
      <c r="H241" s="498"/>
      <c r="J241" s="505"/>
      <c r="K241" s="505"/>
      <c r="L241" s="505"/>
      <c r="M241" s="506"/>
      <c r="N241" s="507"/>
      <c r="O241" s="508"/>
      <c r="P241" s="511"/>
      <c r="Q241" s="511"/>
      <c r="R241" s="509"/>
      <c r="S241" s="509"/>
    </row>
    <row r="242" spans="8:19" x14ac:dyDescent="0.4">
      <c r="H242" s="498"/>
      <c r="J242" s="505"/>
      <c r="K242" s="505"/>
      <c r="L242" s="505"/>
      <c r="M242" s="506"/>
      <c r="N242" s="507"/>
      <c r="O242" s="508"/>
      <c r="P242" s="511"/>
      <c r="Q242" s="511"/>
      <c r="R242" s="509"/>
      <c r="S242" s="509"/>
    </row>
    <row r="243" spans="8:19" x14ac:dyDescent="0.4">
      <c r="H243" s="498"/>
      <c r="J243" s="505"/>
      <c r="K243" s="505"/>
      <c r="L243" s="505"/>
      <c r="M243" s="506"/>
      <c r="N243" s="507"/>
      <c r="O243" s="508"/>
      <c r="P243" s="511"/>
      <c r="Q243" s="511"/>
      <c r="R243" s="509"/>
      <c r="S243" s="509"/>
    </row>
    <row r="244" spans="8:19" x14ac:dyDescent="0.4">
      <c r="H244" s="498"/>
      <c r="J244" s="505"/>
      <c r="K244" s="505"/>
      <c r="L244" s="505"/>
      <c r="M244" s="506"/>
      <c r="N244" s="507"/>
      <c r="O244" s="508"/>
      <c r="P244" s="511"/>
      <c r="Q244" s="511"/>
      <c r="R244" s="509"/>
      <c r="S244" s="509"/>
    </row>
    <row r="245" spans="8:19" x14ac:dyDescent="0.4">
      <c r="H245" s="498"/>
      <c r="J245" s="505"/>
      <c r="K245" s="505"/>
      <c r="L245" s="505"/>
      <c r="M245" s="506"/>
      <c r="N245" s="507"/>
      <c r="O245" s="508"/>
      <c r="P245" s="511"/>
      <c r="Q245" s="511"/>
      <c r="R245" s="509"/>
      <c r="S245" s="509"/>
    </row>
    <row r="246" spans="8:19" x14ac:dyDescent="0.4">
      <c r="H246" s="498"/>
      <c r="J246" s="505"/>
      <c r="K246" s="505"/>
      <c r="L246" s="505"/>
      <c r="M246" s="506"/>
      <c r="N246" s="507"/>
      <c r="O246" s="508"/>
      <c r="P246" s="511"/>
      <c r="Q246" s="511"/>
      <c r="R246" s="509"/>
      <c r="S246" s="509"/>
    </row>
    <row r="247" spans="8:19" x14ac:dyDescent="0.4">
      <c r="H247" s="498"/>
      <c r="J247" s="505"/>
      <c r="K247" s="505"/>
      <c r="L247" s="505"/>
      <c r="M247" s="506"/>
      <c r="N247" s="507"/>
      <c r="O247" s="508"/>
      <c r="P247" s="511"/>
      <c r="Q247" s="511"/>
      <c r="R247" s="509"/>
      <c r="S247" s="509"/>
    </row>
    <row r="248" spans="8:19" x14ac:dyDescent="0.4">
      <c r="H248" s="498"/>
      <c r="J248" s="505"/>
      <c r="K248" s="505"/>
      <c r="L248" s="505"/>
      <c r="M248" s="506"/>
      <c r="N248" s="507"/>
      <c r="O248" s="508"/>
      <c r="P248" s="511"/>
      <c r="Q248" s="511"/>
      <c r="R248" s="509"/>
      <c r="S248" s="509"/>
    </row>
    <row r="249" spans="8:19" x14ac:dyDescent="0.4">
      <c r="H249" s="498"/>
      <c r="J249" s="505"/>
      <c r="K249" s="505"/>
      <c r="L249" s="505"/>
      <c r="M249" s="506"/>
      <c r="N249" s="507"/>
      <c r="O249" s="508"/>
      <c r="P249" s="511"/>
      <c r="Q249" s="511"/>
      <c r="R249" s="509"/>
      <c r="S249" s="509"/>
    </row>
    <row r="250" spans="8:19" x14ac:dyDescent="0.4">
      <c r="H250" s="498"/>
      <c r="J250" s="505"/>
      <c r="K250" s="505"/>
      <c r="L250" s="505"/>
      <c r="M250" s="506"/>
      <c r="N250" s="507"/>
      <c r="O250" s="508"/>
      <c r="P250" s="511"/>
      <c r="Q250" s="511"/>
      <c r="R250" s="509"/>
      <c r="S250" s="509"/>
    </row>
    <row r="251" spans="8:19" x14ac:dyDescent="0.4">
      <c r="H251" s="498"/>
      <c r="J251" s="505"/>
      <c r="K251" s="505"/>
      <c r="L251" s="505"/>
      <c r="M251" s="506"/>
      <c r="N251" s="507"/>
      <c r="O251" s="508"/>
      <c r="P251" s="511"/>
      <c r="Q251" s="511"/>
      <c r="R251" s="509"/>
      <c r="S251" s="509"/>
    </row>
    <row r="252" spans="8:19" x14ac:dyDescent="0.4">
      <c r="H252" s="498"/>
      <c r="J252" s="505"/>
      <c r="K252" s="505"/>
      <c r="L252" s="505"/>
      <c r="M252" s="506"/>
      <c r="N252" s="507"/>
      <c r="O252" s="508"/>
      <c r="P252" s="511"/>
      <c r="Q252" s="511"/>
      <c r="R252" s="509"/>
      <c r="S252" s="509"/>
    </row>
    <row r="253" spans="8:19" x14ac:dyDescent="0.4">
      <c r="H253" s="498"/>
      <c r="J253" s="505"/>
      <c r="K253" s="505"/>
      <c r="L253" s="505"/>
      <c r="M253" s="506"/>
      <c r="N253" s="507"/>
      <c r="O253" s="508"/>
      <c r="P253" s="511"/>
      <c r="Q253" s="511"/>
      <c r="R253" s="509"/>
      <c r="S253" s="509"/>
    </row>
    <row r="254" spans="8:19" x14ac:dyDescent="0.4">
      <c r="H254" s="498"/>
      <c r="J254" s="505"/>
      <c r="K254" s="505"/>
      <c r="L254" s="505"/>
      <c r="M254" s="506"/>
      <c r="N254" s="507"/>
      <c r="O254" s="508"/>
      <c r="P254" s="511"/>
      <c r="Q254" s="511"/>
      <c r="R254" s="509"/>
      <c r="S254" s="509"/>
    </row>
    <row r="255" spans="8:19" x14ac:dyDescent="0.4">
      <c r="H255" s="498"/>
      <c r="J255" s="505"/>
      <c r="K255" s="505"/>
      <c r="L255" s="505"/>
      <c r="M255" s="506"/>
      <c r="N255" s="507"/>
      <c r="O255" s="508"/>
      <c r="P255" s="511"/>
      <c r="Q255" s="511"/>
      <c r="R255" s="509"/>
      <c r="S255" s="509"/>
    </row>
    <row r="256" spans="8:19" x14ac:dyDescent="0.4">
      <c r="H256" s="498"/>
      <c r="J256" s="505"/>
      <c r="K256" s="505"/>
      <c r="L256" s="505"/>
      <c r="M256" s="506"/>
      <c r="N256" s="507"/>
      <c r="O256" s="508"/>
      <c r="P256" s="511"/>
      <c r="Q256" s="511"/>
      <c r="R256" s="509"/>
      <c r="S256" s="509"/>
    </row>
    <row r="257" spans="8:19" x14ac:dyDescent="0.4">
      <c r="H257" s="498"/>
      <c r="J257" s="505"/>
      <c r="K257" s="505"/>
      <c r="L257" s="505"/>
      <c r="M257" s="506"/>
      <c r="N257" s="507"/>
      <c r="O257" s="508"/>
      <c r="P257" s="511"/>
      <c r="Q257" s="511"/>
      <c r="R257" s="509"/>
      <c r="S257" s="509"/>
    </row>
    <row r="258" spans="8:19" x14ac:dyDescent="0.4">
      <c r="H258" s="498"/>
      <c r="J258" s="505"/>
      <c r="K258" s="505"/>
      <c r="L258" s="505"/>
      <c r="M258" s="506"/>
      <c r="N258" s="507"/>
      <c r="O258" s="508"/>
      <c r="P258" s="511"/>
      <c r="Q258" s="511"/>
      <c r="R258" s="509"/>
      <c r="S258" s="509"/>
    </row>
    <row r="259" spans="8:19" x14ac:dyDescent="0.4">
      <c r="H259" s="498"/>
      <c r="J259" s="505"/>
      <c r="K259" s="505"/>
      <c r="L259" s="505"/>
      <c r="M259" s="506"/>
      <c r="N259" s="507"/>
      <c r="O259" s="508"/>
      <c r="P259" s="511"/>
      <c r="Q259" s="511"/>
      <c r="R259" s="509"/>
      <c r="S259" s="509"/>
    </row>
    <row r="260" spans="8:19" x14ac:dyDescent="0.4">
      <c r="H260" s="498"/>
      <c r="J260" s="505"/>
      <c r="K260" s="505"/>
      <c r="L260" s="505"/>
      <c r="M260" s="506"/>
      <c r="N260" s="507"/>
      <c r="O260" s="508"/>
      <c r="P260" s="511"/>
      <c r="Q260" s="511"/>
      <c r="R260" s="509"/>
      <c r="S260" s="509"/>
    </row>
    <row r="261" spans="8:19" x14ac:dyDescent="0.4">
      <c r="H261" s="498"/>
      <c r="J261" s="505"/>
      <c r="K261" s="505"/>
      <c r="L261" s="505"/>
      <c r="M261" s="506"/>
      <c r="N261" s="507"/>
      <c r="O261" s="508"/>
      <c r="P261" s="511"/>
      <c r="Q261" s="511"/>
      <c r="R261" s="509"/>
      <c r="S261" s="509"/>
    </row>
    <row r="262" spans="8:19" x14ac:dyDescent="0.4">
      <c r="H262" s="498"/>
      <c r="J262" s="505"/>
      <c r="K262" s="505"/>
      <c r="L262" s="505"/>
      <c r="M262" s="506"/>
      <c r="N262" s="507"/>
      <c r="O262" s="508"/>
      <c r="P262" s="511"/>
      <c r="Q262" s="511"/>
      <c r="R262" s="509"/>
      <c r="S262" s="509"/>
    </row>
    <row r="263" spans="8:19" x14ac:dyDescent="0.4">
      <c r="H263" s="498"/>
      <c r="J263" s="505"/>
      <c r="K263" s="505"/>
      <c r="L263" s="505"/>
      <c r="M263" s="506"/>
      <c r="N263" s="507"/>
      <c r="O263" s="508"/>
      <c r="P263" s="511"/>
      <c r="Q263" s="511"/>
      <c r="R263" s="509"/>
      <c r="S263" s="509"/>
    </row>
    <row r="264" spans="8:19" x14ac:dyDescent="0.4">
      <c r="H264" s="498"/>
      <c r="J264" s="505"/>
      <c r="K264" s="505"/>
      <c r="L264" s="505"/>
      <c r="M264" s="506"/>
      <c r="N264" s="507"/>
      <c r="O264" s="508"/>
      <c r="P264" s="511"/>
      <c r="Q264" s="511"/>
      <c r="R264" s="509"/>
      <c r="S264" s="509"/>
    </row>
    <row r="265" spans="8:19" x14ac:dyDescent="0.4">
      <c r="H265" s="498"/>
      <c r="J265" s="505"/>
      <c r="K265" s="505"/>
      <c r="L265" s="505"/>
      <c r="M265" s="506"/>
      <c r="N265" s="507"/>
      <c r="O265" s="508"/>
      <c r="P265" s="511"/>
      <c r="Q265" s="511"/>
      <c r="R265" s="509"/>
      <c r="S265" s="509"/>
    </row>
    <row r="266" spans="8:19" x14ac:dyDescent="0.4">
      <c r="H266" s="498"/>
      <c r="J266" s="505"/>
      <c r="K266" s="505"/>
      <c r="L266" s="505"/>
      <c r="M266" s="506"/>
      <c r="N266" s="507"/>
      <c r="O266" s="508"/>
      <c r="P266" s="511"/>
      <c r="Q266" s="511"/>
      <c r="R266" s="509"/>
      <c r="S266" s="509"/>
    </row>
    <row r="267" spans="8:19" x14ac:dyDescent="0.4">
      <c r="H267" s="498"/>
      <c r="J267" s="505"/>
      <c r="K267" s="505"/>
      <c r="L267" s="505"/>
      <c r="M267" s="506"/>
      <c r="N267" s="507"/>
      <c r="O267" s="508"/>
      <c r="P267" s="511"/>
      <c r="Q267" s="511"/>
      <c r="R267" s="509"/>
      <c r="S267" s="509"/>
    </row>
    <row r="268" spans="8:19" x14ac:dyDescent="0.4">
      <c r="H268" s="498"/>
      <c r="J268" s="505"/>
      <c r="K268" s="505"/>
      <c r="L268" s="505"/>
      <c r="M268" s="506"/>
      <c r="N268" s="507"/>
      <c r="O268" s="508"/>
      <c r="P268" s="511"/>
      <c r="Q268" s="511"/>
      <c r="R268" s="509"/>
      <c r="S268" s="509"/>
    </row>
    <row r="269" spans="8:19" x14ac:dyDescent="0.4">
      <c r="H269" s="498"/>
      <c r="J269" s="505"/>
      <c r="K269" s="505"/>
      <c r="L269" s="505"/>
      <c r="M269" s="506"/>
      <c r="N269" s="507"/>
      <c r="O269" s="508"/>
      <c r="P269" s="511"/>
      <c r="Q269" s="511"/>
      <c r="R269" s="509"/>
      <c r="S269" s="509"/>
    </row>
    <row r="270" spans="8:19" x14ac:dyDescent="0.4">
      <c r="H270" s="498"/>
      <c r="J270" s="505"/>
      <c r="K270" s="505"/>
      <c r="L270" s="505"/>
      <c r="M270" s="506"/>
      <c r="N270" s="507"/>
      <c r="O270" s="508"/>
      <c r="P270" s="511"/>
      <c r="Q270" s="511"/>
      <c r="R270" s="509"/>
      <c r="S270" s="509"/>
    </row>
    <row r="271" spans="8:19" x14ac:dyDescent="0.4">
      <c r="H271" s="498"/>
      <c r="J271" s="505"/>
      <c r="K271" s="505"/>
      <c r="L271" s="505"/>
      <c r="M271" s="506"/>
      <c r="N271" s="507"/>
      <c r="O271" s="508"/>
      <c r="P271" s="511"/>
      <c r="Q271" s="511"/>
      <c r="R271" s="509"/>
      <c r="S271" s="509"/>
    </row>
    <row r="272" spans="8:19" x14ac:dyDescent="0.4">
      <c r="H272" s="498"/>
      <c r="J272" s="505"/>
      <c r="K272" s="505"/>
      <c r="L272" s="505"/>
      <c r="M272" s="506"/>
      <c r="N272" s="507"/>
      <c r="O272" s="508"/>
      <c r="P272" s="511"/>
      <c r="Q272" s="511"/>
      <c r="R272" s="509"/>
      <c r="S272" s="509"/>
    </row>
    <row r="273" spans="8:19" x14ac:dyDescent="0.4">
      <c r="H273" s="498"/>
      <c r="J273" s="505"/>
      <c r="K273" s="505"/>
      <c r="L273" s="505"/>
      <c r="M273" s="506"/>
      <c r="N273" s="507"/>
      <c r="O273" s="508"/>
      <c r="P273" s="511"/>
      <c r="Q273" s="511"/>
      <c r="R273" s="509"/>
      <c r="S273" s="509"/>
    </row>
    <row r="274" spans="8:19" x14ac:dyDescent="0.4">
      <c r="H274" s="498"/>
      <c r="J274" s="505"/>
      <c r="K274" s="505"/>
      <c r="L274" s="505"/>
      <c r="M274" s="506"/>
      <c r="N274" s="507"/>
      <c r="O274" s="508"/>
      <c r="P274" s="511"/>
      <c r="Q274" s="511"/>
      <c r="R274" s="509"/>
      <c r="S274" s="509"/>
    </row>
    <row r="275" spans="8:19" x14ac:dyDescent="0.4">
      <c r="H275" s="498"/>
      <c r="J275" s="505"/>
      <c r="K275" s="505"/>
      <c r="L275" s="505"/>
      <c r="M275" s="506"/>
      <c r="N275" s="507"/>
      <c r="O275" s="508"/>
      <c r="P275" s="511"/>
      <c r="Q275" s="511"/>
      <c r="R275" s="509"/>
      <c r="S275" s="509"/>
    </row>
    <row r="276" spans="8:19" x14ac:dyDescent="0.4">
      <c r="H276" s="498"/>
      <c r="J276" s="505"/>
      <c r="K276" s="505"/>
      <c r="L276" s="505"/>
      <c r="M276" s="506"/>
      <c r="N276" s="507"/>
      <c r="O276" s="508"/>
      <c r="P276" s="511"/>
      <c r="Q276" s="511"/>
      <c r="R276" s="509"/>
      <c r="S276" s="509"/>
    </row>
    <row r="277" spans="8:19" x14ac:dyDescent="0.4">
      <c r="H277" s="498"/>
      <c r="J277" s="505"/>
      <c r="K277" s="505"/>
      <c r="L277" s="505"/>
      <c r="M277" s="506"/>
      <c r="N277" s="507"/>
      <c r="O277" s="508"/>
      <c r="P277" s="511"/>
      <c r="Q277" s="511"/>
      <c r="R277" s="509"/>
      <c r="S277" s="509"/>
    </row>
    <row r="278" spans="8:19" x14ac:dyDescent="0.4">
      <c r="H278" s="498"/>
      <c r="J278" s="505"/>
      <c r="K278" s="505"/>
      <c r="L278" s="505"/>
      <c r="M278" s="506"/>
      <c r="N278" s="507"/>
      <c r="O278" s="508"/>
      <c r="P278" s="511"/>
      <c r="Q278" s="511"/>
      <c r="R278" s="509"/>
      <c r="S278" s="509"/>
    </row>
    <row r="279" spans="8:19" x14ac:dyDescent="0.4">
      <c r="H279" s="498"/>
      <c r="J279" s="505"/>
      <c r="K279" s="505"/>
      <c r="L279" s="505"/>
      <c r="M279" s="506"/>
      <c r="N279" s="507"/>
      <c r="O279" s="508"/>
      <c r="P279" s="511"/>
      <c r="Q279" s="511"/>
      <c r="R279" s="509"/>
      <c r="S279" s="509"/>
    </row>
    <row r="280" spans="8:19" x14ac:dyDescent="0.4">
      <c r="H280" s="498"/>
      <c r="J280" s="505"/>
      <c r="K280" s="505"/>
      <c r="L280" s="505"/>
      <c r="M280" s="506"/>
      <c r="N280" s="507"/>
      <c r="O280" s="508"/>
      <c r="P280" s="511"/>
      <c r="Q280" s="511"/>
      <c r="R280" s="509"/>
      <c r="S280" s="509"/>
    </row>
    <row r="281" spans="8:19" x14ac:dyDescent="0.4">
      <c r="H281" s="498"/>
      <c r="J281" s="505"/>
      <c r="K281" s="505"/>
      <c r="L281" s="505"/>
      <c r="M281" s="506"/>
      <c r="N281" s="507"/>
      <c r="O281" s="508"/>
      <c r="P281" s="511"/>
      <c r="Q281" s="511"/>
      <c r="R281" s="509"/>
      <c r="S281" s="509"/>
    </row>
    <row r="282" spans="8:19" x14ac:dyDescent="0.4">
      <c r="H282" s="498"/>
      <c r="J282" s="505"/>
      <c r="K282" s="505"/>
      <c r="L282" s="505"/>
      <c r="M282" s="506"/>
      <c r="N282" s="507"/>
      <c r="O282" s="508"/>
      <c r="P282" s="511"/>
      <c r="Q282" s="511"/>
      <c r="R282" s="509"/>
      <c r="S282" s="509"/>
    </row>
    <row r="283" spans="8:19" x14ac:dyDescent="0.4">
      <c r="H283" s="498"/>
      <c r="J283" s="505"/>
      <c r="K283" s="505"/>
      <c r="L283" s="505"/>
      <c r="M283" s="506"/>
      <c r="N283" s="507"/>
      <c r="O283" s="508"/>
      <c r="P283" s="511"/>
      <c r="Q283" s="511"/>
      <c r="R283" s="509"/>
      <c r="S283" s="509"/>
    </row>
    <row r="284" spans="8:19" x14ac:dyDescent="0.4">
      <c r="H284" s="498"/>
      <c r="J284" s="505"/>
      <c r="K284" s="505"/>
      <c r="L284" s="505"/>
      <c r="M284" s="506"/>
      <c r="N284" s="507"/>
      <c r="O284" s="508"/>
      <c r="P284" s="511"/>
      <c r="Q284" s="511"/>
      <c r="R284" s="509"/>
      <c r="S284" s="509"/>
    </row>
    <row r="285" spans="8:19" x14ac:dyDescent="0.4">
      <c r="H285" s="498"/>
      <c r="J285" s="505"/>
      <c r="K285" s="505"/>
      <c r="L285" s="505"/>
      <c r="M285" s="506"/>
      <c r="N285" s="507"/>
      <c r="O285" s="508"/>
      <c r="P285" s="511"/>
      <c r="Q285" s="511"/>
      <c r="R285" s="509"/>
      <c r="S285" s="509"/>
    </row>
    <row r="286" spans="8:19" x14ac:dyDescent="0.4">
      <c r="H286" s="498"/>
      <c r="J286" s="505"/>
      <c r="K286" s="505"/>
      <c r="L286" s="505"/>
      <c r="M286" s="506"/>
      <c r="N286" s="507"/>
      <c r="O286" s="508"/>
      <c r="P286" s="511"/>
      <c r="Q286" s="511"/>
      <c r="R286" s="509"/>
      <c r="S286" s="509"/>
    </row>
    <row r="287" spans="8:19" x14ac:dyDescent="0.4">
      <c r="H287" s="498"/>
      <c r="J287" s="505"/>
      <c r="K287" s="505"/>
      <c r="L287" s="505"/>
      <c r="M287" s="506"/>
      <c r="N287" s="507"/>
      <c r="O287" s="508"/>
      <c r="P287" s="511"/>
      <c r="Q287" s="511"/>
      <c r="R287" s="509"/>
      <c r="S287" s="509"/>
    </row>
    <row r="288" spans="8:19" x14ac:dyDescent="0.4">
      <c r="H288" s="498"/>
      <c r="J288" s="505"/>
      <c r="K288" s="505"/>
      <c r="L288" s="505"/>
      <c r="M288" s="506"/>
      <c r="N288" s="507"/>
      <c r="O288" s="508"/>
      <c r="P288" s="511"/>
      <c r="Q288" s="511"/>
      <c r="R288" s="509"/>
      <c r="S288" s="509"/>
    </row>
    <row r="289" spans="8:19" x14ac:dyDescent="0.4">
      <c r="H289" s="498"/>
      <c r="J289" s="505"/>
      <c r="K289" s="505"/>
      <c r="L289" s="505"/>
      <c r="M289" s="506"/>
      <c r="N289" s="507"/>
      <c r="O289" s="508"/>
      <c r="P289" s="511"/>
      <c r="Q289" s="511"/>
      <c r="R289" s="509"/>
      <c r="S289" s="509"/>
    </row>
    <row r="290" spans="8:19" x14ac:dyDescent="0.4">
      <c r="H290" s="498"/>
      <c r="J290" s="505"/>
      <c r="K290" s="505"/>
      <c r="L290" s="505"/>
      <c r="M290" s="506"/>
      <c r="N290" s="507"/>
      <c r="O290" s="508"/>
      <c r="P290" s="511"/>
      <c r="Q290" s="511"/>
      <c r="R290" s="509"/>
      <c r="S290" s="509"/>
    </row>
    <row r="291" spans="8:19" x14ac:dyDescent="0.4">
      <c r="H291" s="498"/>
      <c r="J291" s="505"/>
      <c r="K291" s="505"/>
      <c r="L291" s="505"/>
      <c r="M291" s="506"/>
      <c r="N291" s="507"/>
      <c r="O291" s="508"/>
      <c r="P291" s="511"/>
      <c r="Q291" s="511"/>
      <c r="R291" s="509"/>
      <c r="S291" s="509"/>
    </row>
    <row r="292" spans="8:19" x14ac:dyDescent="0.4">
      <c r="H292" s="498"/>
      <c r="J292" s="505"/>
      <c r="K292" s="505"/>
      <c r="L292" s="505"/>
      <c r="M292" s="506"/>
      <c r="N292" s="507"/>
      <c r="O292" s="508"/>
      <c r="P292" s="511"/>
      <c r="Q292" s="511"/>
      <c r="R292" s="509"/>
      <c r="S292" s="509"/>
    </row>
    <row r="293" spans="8:19" x14ac:dyDescent="0.4">
      <c r="H293" s="498"/>
      <c r="J293" s="505"/>
      <c r="K293" s="505"/>
      <c r="L293" s="505"/>
      <c r="M293" s="506"/>
      <c r="N293" s="507"/>
      <c r="O293" s="508"/>
      <c r="P293" s="511"/>
      <c r="Q293" s="511"/>
      <c r="R293" s="509"/>
      <c r="S293" s="509"/>
    </row>
    <row r="294" spans="8:19" x14ac:dyDescent="0.4">
      <c r="H294" s="498"/>
      <c r="J294" s="505"/>
      <c r="K294" s="505"/>
      <c r="L294" s="505"/>
      <c r="M294" s="506"/>
      <c r="N294" s="507"/>
      <c r="O294" s="508"/>
      <c r="P294" s="511"/>
      <c r="Q294" s="511"/>
      <c r="R294" s="509"/>
      <c r="S294" s="509"/>
    </row>
    <row r="295" spans="8:19" x14ac:dyDescent="0.4">
      <c r="H295" s="498"/>
      <c r="J295" s="505"/>
      <c r="K295" s="505"/>
      <c r="L295" s="505"/>
      <c r="M295" s="506"/>
      <c r="N295" s="507"/>
      <c r="O295" s="508"/>
      <c r="P295" s="511"/>
      <c r="Q295" s="511"/>
      <c r="R295" s="509"/>
      <c r="S295" s="509"/>
    </row>
    <row r="296" spans="8:19" x14ac:dyDescent="0.4">
      <c r="H296" s="498"/>
      <c r="J296" s="505"/>
      <c r="K296" s="505"/>
      <c r="L296" s="505"/>
      <c r="M296" s="506"/>
      <c r="N296" s="507"/>
      <c r="O296" s="508"/>
      <c r="P296" s="511"/>
      <c r="Q296" s="511"/>
      <c r="R296" s="509"/>
      <c r="S296" s="509"/>
    </row>
    <row r="297" spans="8:19" x14ac:dyDescent="0.4">
      <c r="H297" s="498"/>
      <c r="J297" s="505"/>
      <c r="K297" s="505"/>
      <c r="L297" s="505"/>
      <c r="M297" s="506"/>
      <c r="N297" s="507"/>
      <c r="O297" s="508"/>
      <c r="P297" s="511"/>
      <c r="Q297" s="511"/>
      <c r="R297" s="509"/>
      <c r="S297" s="509"/>
    </row>
    <row r="298" spans="8:19" x14ac:dyDescent="0.4">
      <c r="H298" s="498"/>
      <c r="J298" s="505"/>
      <c r="K298" s="505"/>
      <c r="L298" s="505"/>
      <c r="M298" s="506"/>
      <c r="O298" s="508"/>
      <c r="P298" s="511"/>
      <c r="Q298" s="511"/>
      <c r="R298" s="509"/>
      <c r="S298" s="509"/>
    </row>
    <row r="299" spans="8:19" x14ac:dyDescent="0.4">
      <c r="H299" s="498"/>
      <c r="J299" s="505"/>
      <c r="K299" s="505"/>
      <c r="L299" s="505"/>
      <c r="M299" s="506"/>
      <c r="O299" s="508"/>
      <c r="P299" s="511"/>
      <c r="Q299" s="511"/>
      <c r="R299" s="509"/>
      <c r="S299" s="509"/>
    </row>
    <row r="300" spans="8:19" x14ac:dyDescent="0.4">
      <c r="H300" s="498"/>
      <c r="J300" s="505"/>
      <c r="K300" s="505"/>
      <c r="L300" s="505"/>
      <c r="M300" s="506"/>
      <c r="O300" s="508"/>
      <c r="P300" s="511"/>
      <c r="Q300" s="511"/>
      <c r="R300" s="509"/>
      <c r="S300" s="509"/>
    </row>
    <row r="301" spans="8:19" x14ac:dyDescent="0.4">
      <c r="H301" s="498"/>
      <c r="J301" s="505"/>
      <c r="K301" s="505"/>
      <c r="L301" s="505"/>
      <c r="M301" s="506"/>
      <c r="O301" s="508"/>
      <c r="P301" s="511"/>
      <c r="Q301" s="511"/>
      <c r="R301" s="509"/>
      <c r="S301" s="509"/>
    </row>
    <row r="302" spans="8:19" x14ac:dyDescent="0.4">
      <c r="H302" s="498"/>
      <c r="J302" s="505"/>
      <c r="K302" s="505"/>
      <c r="L302" s="505"/>
      <c r="M302" s="506"/>
      <c r="O302" s="508"/>
      <c r="P302" s="511"/>
      <c r="Q302" s="511"/>
      <c r="R302" s="509"/>
      <c r="S302" s="509"/>
    </row>
    <row r="303" spans="8:19" x14ac:dyDescent="0.4">
      <c r="H303" s="498"/>
      <c r="J303" s="505"/>
      <c r="K303" s="505"/>
      <c r="L303" s="505"/>
      <c r="M303" s="506"/>
      <c r="O303" s="508"/>
      <c r="P303" s="511"/>
      <c r="Q303" s="511"/>
      <c r="R303" s="509"/>
      <c r="S303" s="509"/>
    </row>
    <row r="304" spans="8:19" x14ac:dyDescent="0.4">
      <c r="H304" s="498"/>
      <c r="J304" s="505"/>
      <c r="K304" s="505"/>
      <c r="L304" s="505"/>
      <c r="M304" s="506"/>
      <c r="O304" s="508"/>
      <c r="P304" s="511"/>
      <c r="Q304" s="511"/>
      <c r="R304" s="509"/>
      <c r="S304" s="509"/>
    </row>
    <row r="305" spans="8:19" x14ac:dyDescent="0.4">
      <c r="H305" s="498"/>
      <c r="J305" s="505"/>
      <c r="K305" s="505"/>
      <c r="L305" s="505"/>
      <c r="M305" s="506"/>
      <c r="O305" s="508"/>
      <c r="P305" s="511"/>
      <c r="Q305" s="511"/>
      <c r="R305" s="509"/>
      <c r="S305" s="509"/>
    </row>
    <row r="306" spans="8:19" x14ac:dyDescent="0.4">
      <c r="H306" s="498"/>
      <c r="J306" s="505"/>
      <c r="K306" s="505"/>
      <c r="L306" s="505"/>
      <c r="M306" s="506"/>
      <c r="O306" s="508"/>
      <c r="P306" s="511"/>
      <c r="Q306" s="511"/>
      <c r="R306" s="509"/>
      <c r="S306" s="509"/>
    </row>
    <row r="307" spans="8:19" x14ac:dyDescent="0.4">
      <c r="H307" s="498"/>
      <c r="J307" s="505"/>
      <c r="K307" s="505"/>
      <c r="L307" s="505"/>
      <c r="M307" s="506"/>
      <c r="O307" s="508"/>
      <c r="P307" s="511"/>
      <c r="Q307" s="511"/>
      <c r="R307" s="509"/>
      <c r="S307" s="509"/>
    </row>
    <row r="308" spans="8:19" x14ac:dyDescent="0.4">
      <c r="H308" s="498"/>
      <c r="J308" s="505"/>
      <c r="K308" s="505"/>
      <c r="L308" s="505"/>
      <c r="M308" s="506"/>
      <c r="O308" s="508"/>
      <c r="P308" s="511"/>
      <c r="Q308" s="511"/>
      <c r="R308" s="509"/>
      <c r="S308" s="509"/>
    </row>
    <row r="309" spans="8:19" x14ac:dyDescent="0.4">
      <c r="J309" s="505"/>
      <c r="K309" s="505"/>
      <c r="L309" s="505"/>
      <c r="M309" s="506"/>
      <c r="O309" s="508"/>
      <c r="P309" s="511"/>
      <c r="Q309" s="511"/>
      <c r="R309" s="509"/>
      <c r="S309" s="509"/>
    </row>
    <row r="310" spans="8:19" x14ac:dyDescent="0.4">
      <c r="J310" s="505"/>
      <c r="K310" s="505"/>
      <c r="L310" s="505"/>
      <c r="M310" s="506"/>
      <c r="O310" s="508"/>
      <c r="P310" s="511"/>
      <c r="Q310" s="511"/>
      <c r="R310" s="509"/>
      <c r="S310" s="509"/>
    </row>
    <row r="311" spans="8:19" x14ac:dyDescent="0.4">
      <c r="J311" s="505"/>
      <c r="K311" s="505"/>
      <c r="L311" s="505"/>
      <c r="M311" s="506"/>
      <c r="O311" s="508"/>
      <c r="P311" s="511"/>
      <c r="Q311" s="511"/>
      <c r="R311" s="509"/>
      <c r="S311" s="509"/>
    </row>
    <row r="312" spans="8:19" x14ac:dyDescent="0.4">
      <c r="J312" s="505"/>
      <c r="K312" s="505"/>
      <c r="L312" s="505"/>
      <c r="M312" s="506"/>
      <c r="O312" s="508"/>
      <c r="P312" s="511"/>
      <c r="Q312" s="511"/>
      <c r="R312" s="509"/>
      <c r="S312" s="509"/>
    </row>
    <row r="313" spans="8:19" x14ac:dyDescent="0.4">
      <c r="J313" s="505"/>
      <c r="K313" s="505"/>
      <c r="L313" s="505"/>
      <c r="M313" s="506"/>
      <c r="O313" s="508"/>
      <c r="P313" s="511"/>
      <c r="Q313" s="511"/>
      <c r="R313" s="509"/>
      <c r="S313" s="509"/>
    </row>
    <row r="314" spans="8:19" x14ac:dyDescent="0.4">
      <c r="J314" s="505"/>
      <c r="K314" s="505"/>
      <c r="L314" s="505"/>
      <c r="M314" s="506"/>
      <c r="O314" s="508"/>
      <c r="P314" s="511"/>
      <c r="Q314" s="511"/>
      <c r="R314" s="509"/>
      <c r="S314" s="509"/>
    </row>
    <row r="315" spans="8:19" x14ac:dyDescent="0.4">
      <c r="J315" s="505"/>
      <c r="K315" s="505"/>
      <c r="L315" s="505"/>
      <c r="M315" s="506"/>
      <c r="O315" s="508"/>
      <c r="P315" s="511"/>
      <c r="Q315" s="511"/>
      <c r="R315" s="509"/>
      <c r="S315" s="509"/>
    </row>
    <row r="316" spans="8:19" x14ac:dyDescent="0.4">
      <c r="J316" s="505"/>
      <c r="K316" s="505"/>
      <c r="L316" s="505"/>
      <c r="M316" s="506"/>
      <c r="O316" s="508"/>
      <c r="P316" s="511"/>
      <c r="Q316" s="511"/>
      <c r="R316" s="509"/>
      <c r="S316" s="509"/>
    </row>
    <row r="317" spans="8:19" x14ac:dyDescent="0.4">
      <c r="J317" s="505"/>
      <c r="K317" s="505"/>
      <c r="L317" s="505"/>
      <c r="M317" s="506"/>
      <c r="O317" s="508"/>
      <c r="P317" s="511"/>
      <c r="Q317" s="511"/>
      <c r="R317" s="509"/>
      <c r="S317" s="509"/>
    </row>
    <row r="318" spans="8:19" x14ac:dyDescent="0.4">
      <c r="J318" s="505"/>
      <c r="K318" s="505"/>
      <c r="L318" s="505"/>
      <c r="M318" s="506"/>
      <c r="O318" s="508"/>
      <c r="P318" s="511"/>
      <c r="Q318" s="511"/>
      <c r="R318" s="509"/>
      <c r="S318" s="509"/>
    </row>
    <row r="319" spans="8:19" x14ac:dyDescent="0.4">
      <c r="J319" s="505"/>
      <c r="K319" s="505"/>
      <c r="L319" s="505"/>
      <c r="M319" s="506"/>
      <c r="O319" s="508"/>
      <c r="P319" s="511"/>
      <c r="Q319" s="511"/>
      <c r="R319" s="509"/>
      <c r="S319" s="509"/>
    </row>
    <row r="320" spans="8:19" x14ac:dyDescent="0.4">
      <c r="J320" s="505"/>
      <c r="K320" s="505"/>
      <c r="L320" s="505"/>
      <c r="M320" s="506"/>
      <c r="O320" s="508"/>
      <c r="P320" s="511"/>
      <c r="Q320" s="511"/>
      <c r="R320" s="509"/>
      <c r="S320" s="509"/>
    </row>
    <row r="321" spans="10:19" x14ac:dyDescent="0.4">
      <c r="J321" s="505"/>
      <c r="K321" s="505"/>
      <c r="L321" s="505"/>
      <c r="M321" s="506"/>
      <c r="O321" s="508"/>
      <c r="P321" s="511"/>
      <c r="Q321" s="511"/>
      <c r="R321" s="509"/>
      <c r="S321" s="509"/>
    </row>
    <row r="322" spans="10:19" x14ac:dyDescent="0.4">
      <c r="J322" s="505"/>
      <c r="K322" s="505"/>
      <c r="L322" s="505"/>
      <c r="M322" s="506"/>
      <c r="O322" s="508"/>
      <c r="P322" s="511"/>
      <c r="Q322" s="511"/>
      <c r="R322" s="509"/>
      <c r="S322" s="509"/>
    </row>
    <row r="323" spans="10:19" x14ac:dyDescent="0.4">
      <c r="J323" s="505"/>
      <c r="K323" s="505"/>
      <c r="L323" s="505"/>
      <c r="M323" s="506"/>
      <c r="O323" s="508"/>
      <c r="P323" s="511"/>
      <c r="Q323" s="511"/>
      <c r="R323" s="509"/>
      <c r="S323" s="509"/>
    </row>
    <row r="324" spans="10:19" x14ac:dyDescent="0.4">
      <c r="L324" s="505"/>
      <c r="M324" s="506"/>
      <c r="O324" s="508"/>
      <c r="P324" s="511"/>
      <c r="Q324" s="511"/>
      <c r="R324" s="509"/>
      <c r="S324" s="509"/>
    </row>
    <row r="325" spans="10:19" x14ac:dyDescent="0.4">
      <c r="L325" s="505"/>
      <c r="M325" s="506"/>
      <c r="O325" s="508"/>
      <c r="P325" s="511"/>
      <c r="Q325" s="511"/>
      <c r="R325" s="509"/>
      <c r="S325" s="509"/>
    </row>
    <row r="326" spans="10:19" x14ac:dyDescent="0.4">
      <c r="L326" s="505"/>
      <c r="M326" s="506"/>
      <c r="O326" s="508"/>
      <c r="P326" s="511"/>
      <c r="Q326" s="511"/>
      <c r="R326" s="509"/>
      <c r="S326" s="509"/>
    </row>
    <row r="327" spans="10:19" x14ac:dyDescent="0.4">
      <c r="L327" s="505"/>
      <c r="M327" s="506"/>
      <c r="O327" s="508"/>
      <c r="P327" s="511"/>
      <c r="Q327" s="511"/>
      <c r="R327" s="509"/>
      <c r="S327" s="509"/>
    </row>
    <row r="328" spans="10:19" x14ac:dyDescent="0.4">
      <c r="L328" s="505"/>
      <c r="M328" s="506"/>
      <c r="O328" s="508"/>
      <c r="P328" s="511"/>
      <c r="Q328" s="511"/>
      <c r="R328" s="509"/>
      <c r="S328" s="509"/>
    </row>
    <row r="329" spans="10:19" x14ac:dyDescent="0.4">
      <c r="L329" s="505"/>
      <c r="M329" s="506"/>
      <c r="O329" s="508"/>
      <c r="P329" s="511"/>
      <c r="Q329" s="511"/>
      <c r="R329" s="509"/>
      <c r="S329" s="509"/>
    </row>
    <row r="330" spans="10:19" x14ac:dyDescent="0.4">
      <c r="L330" s="505"/>
      <c r="M330" s="506"/>
      <c r="O330" s="508"/>
      <c r="P330" s="511"/>
      <c r="Q330" s="511"/>
      <c r="R330" s="509"/>
      <c r="S330" s="509"/>
    </row>
    <row r="331" spans="10:19" x14ac:dyDescent="0.4">
      <c r="L331" s="505"/>
      <c r="M331" s="506"/>
      <c r="O331" s="508"/>
      <c r="P331" s="511"/>
      <c r="Q331" s="511"/>
      <c r="R331" s="509"/>
      <c r="S331" s="509"/>
    </row>
    <row r="332" spans="10:19" x14ac:dyDescent="0.4">
      <c r="L332" s="505"/>
      <c r="M332" s="506"/>
      <c r="O332" s="508"/>
      <c r="P332" s="511"/>
      <c r="Q332" s="511"/>
      <c r="R332" s="509"/>
      <c r="S332" s="509"/>
    </row>
    <row r="333" spans="10:19" x14ac:dyDescent="0.4">
      <c r="L333" s="505"/>
      <c r="M333" s="506"/>
      <c r="O333" s="508"/>
      <c r="P333" s="511"/>
      <c r="Q333" s="511"/>
      <c r="R333" s="509"/>
      <c r="S333" s="509"/>
    </row>
    <row r="334" spans="10:19" x14ac:dyDescent="0.4">
      <c r="L334" s="505"/>
      <c r="M334" s="506"/>
      <c r="O334" s="508"/>
      <c r="P334" s="511"/>
      <c r="Q334" s="511"/>
      <c r="R334" s="509"/>
      <c r="S334" s="509"/>
    </row>
    <row r="335" spans="10:19" x14ac:dyDescent="0.4">
      <c r="L335" s="505"/>
      <c r="M335" s="506"/>
      <c r="O335" s="508"/>
      <c r="P335" s="511"/>
      <c r="Q335" s="511"/>
      <c r="R335" s="509"/>
      <c r="S335" s="509"/>
    </row>
    <row r="336" spans="10:19" x14ac:dyDescent="0.4">
      <c r="L336" s="505"/>
      <c r="M336" s="506"/>
      <c r="O336" s="508"/>
      <c r="P336" s="511"/>
      <c r="Q336" s="511"/>
      <c r="R336" s="509"/>
      <c r="S336" s="509"/>
    </row>
    <row r="337" spans="12:19" x14ac:dyDescent="0.4">
      <c r="L337" s="505"/>
      <c r="M337" s="506"/>
      <c r="O337" s="508"/>
      <c r="P337" s="511"/>
      <c r="Q337" s="511"/>
      <c r="R337" s="509"/>
      <c r="S337" s="509"/>
    </row>
    <row r="338" spans="12:19" x14ac:dyDescent="0.4">
      <c r="L338" s="505"/>
      <c r="M338" s="506"/>
      <c r="O338" s="508"/>
      <c r="P338" s="511"/>
      <c r="Q338" s="511"/>
      <c r="R338" s="509"/>
      <c r="S338" s="509"/>
    </row>
    <row r="339" spans="12:19" x14ac:dyDescent="0.4">
      <c r="L339" s="505"/>
      <c r="M339" s="506"/>
      <c r="O339" s="508"/>
      <c r="P339" s="511"/>
      <c r="Q339" s="511"/>
      <c r="R339" s="509"/>
      <c r="S339" s="509"/>
    </row>
    <row r="340" spans="12:19" x14ac:dyDescent="0.4">
      <c r="L340" s="505"/>
      <c r="M340" s="506"/>
      <c r="O340" s="508"/>
      <c r="P340" s="511"/>
      <c r="Q340" s="511"/>
      <c r="R340" s="509"/>
      <c r="S340" s="509"/>
    </row>
    <row r="341" spans="12:19" x14ac:dyDescent="0.4">
      <c r="L341" s="505"/>
      <c r="M341" s="506"/>
      <c r="O341" s="508"/>
      <c r="P341" s="511"/>
      <c r="Q341" s="511"/>
      <c r="R341" s="509"/>
      <c r="S341" s="509"/>
    </row>
    <row r="342" spans="12:19" x14ac:dyDescent="0.4">
      <c r="L342" s="505"/>
      <c r="M342" s="506"/>
      <c r="O342" s="508"/>
      <c r="P342" s="511"/>
      <c r="Q342" s="511"/>
      <c r="R342" s="509"/>
      <c r="S342" s="509"/>
    </row>
    <row r="343" spans="12:19" x14ac:dyDescent="0.4">
      <c r="L343" s="505"/>
      <c r="M343" s="506"/>
      <c r="O343" s="508"/>
      <c r="P343" s="511"/>
      <c r="Q343" s="511"/>
      <c r="R343" s="509"/>
      <c r="S343" s="509"/>
    </row>
    <row r="344" spans="12:19" x14ac:dyDescent="0.4">
      <c r="L344" s="505"/>
      <c r="M344" s="506"/>
      <c r="O344" s="508"/>
      <c r="P344" s="511"/>
      <c r="Q344" s="511"/>
      <c r="R344" s="509"/>
      <c r="S344" s="509"/>
    </row>
    <row r="345" spans="12:19" x14ac:dyDescent="0.4">
      <c r="L345" s="505"/>
      <c r="M345" s="506"/>
      <c r="O345" s="508"/>
      <c r="P345" s="511"/>
      <c r="Q345" s="511"/>
      <c r="R345" s="509"/>
      <c r="S345" s="509"/>
    </row>
    <row r="346" spans="12:19" x14ac:dyDescent="0.4">
      <c r="L346" s="505"/>
      <c r="M346" s="506"/>
      <c r="O346" s="508"/>
      <c r="P346" s="511"/>
      <c r="Q346" s="511"/>
      <c r="R346" s="509"/>
      <c r="S346" s="509"/>
    </row>
    <row r="347" spans="12:19" x14ac:dyDescent="0.4">
      <c r="L347" s="505"/>
      <c r="M347" s="506"/>
      <c r="O347" s="508"/>
      <c r="P347" s="511"/>
      <c r="Q347" s="511"/>
      <c r="R347" s="509"/>
      <c r="S347" s="509"/>
    </row>
    <row r="348" spans="12:19" x14ac:dyDescent="0.4">
      <c r="L348" s="505"/>
      <c r="M348" s="506"/>
      <c r="O348" s="508"/>
      <c r="P348" s="511"/>
      <c r="Q348" s="511"/>
      <c r="R348" s="509"/>
      <c r="S348" s="509"/>
    </row>
    <row r="349" spans="12:19" x14ac:dyDescent="0.4">
      <c r="L349" s="505"/>
      <c r="M349" s="506"/>
      <c r="O349" s="508"/>
      <c r="P349" s="511"/>
      <c r="Q349" s="511"/>
      <c r="R349" s="509"/>
      <c r="S349" s="509"/>
    </row>
    <row r="350" spans="12:19" x14ac:dyDescent="0.4">
      <c r="L350" s="505"/>
      <c r="M350" s="506"/>
      <c r="O350" s="508"/>
      <c r="P350" s="511"/>
      <c r="Q350" s="511"/>
      <c r="R350" s="509"/>
      <c r="S350" s="509"/>
    </row>
    <row r="351" spans="12:19" x14ac:dyDescent="0.4">
      <c r="L351" s="505"/>
      <c r="M351" s="506"/>
      <c r="O351" s="508"/>
      <c r="P351" s="511"/>
      <c r="Q351" s="511"/>
      <c r="R351" s="509"/>
      <c r="S351" s="509"/>
    </row>
    <row r="352" spans="12:19" x14ac:dyDescent="0.4">
      <c r="L352" s="505"/>
      <c r="M352" s="506"/>
      <c r="O352" s="508"/>
      <c r="P352" s="511"/>
      <c r="Q352" s="511"/>
      <c r="R352" s="509"/>
      <c r="S352" s="509"/>
    </row>
    <row r="353" spans="12:19" x14ac:dyDescent="0.4">
      <c r="L353" s="505"/>
      <c r="M353" s="506"/>
      <c r="O353" s="508"/>
      <c r="P353" s="511"/>
      <c r="Q353" s="511"/>
      <c r="R353" s="509"/>
      <c r="S353" s="509"/>
    </row>
    <row r="354" spans="12:19" x14ac:dyDescent="0.4">
      <c r="L354" s="505"/>
      <c r="M354" s="506"/>
      <c r="O354" s="508"/>
      <c r="P354" s="511"/>
      <c r="Q354" s="511"/>
      <c r="R354" s="509"/>
      <c r="S354" s="509"/>
    </row>
    <row r="355" spans="12:19" x14ac:dyDescent="0.4">
      <c r="L355" s="505"/>
      <c r="M355" s="506"/>
      <c r="O355" s="508"/>
      <c r="P355" s="511"/>
      <c r="Q355" s="511"/>
      <c r="R355" s="509"/>
      <c r="S355" s="509"/>
    </row>
    <row r="356" spans="12:19" x14ac:dyDescent="0.4">
      <c r="L356" s="505"/>
      <c r="M356" s="506"/>
      <c r="O356" s="508"/>
      <c r="P356" s="511"/>
      <c r="Q356" s="511"/>
      <c r="R356" s="509"/>
      <c r="S356" s="509"/>
    </row>
    <row r="357" spans="12:19" x14ac:dyDescent="0.4">
      <c r="L357" s="505"/>
      <c r="M357" s="506"/>
      <c r="O357" s="508"/>
      <c r="P357" s="511"/>
      <c r="Q357" s="511"/>
      <c r="R357" s="509"/>
      <c r="S357" s="509"/>
    </row>
    <row r="358" spans="12:19" x14ac:dyDescent="0.4">
      <c r="L358" s="505"/>
      <c r="M358" s="506"/>
      <c r="O358" s="508"/>
      <c r="P358" s="511"/>
      <c r="Q358" s="511"/>
      <c r="R358" s="509"/>
      <c r="S358" s="509"/>
    </row>
    <row r="359" spans="12:19" x14ac:dyDescent="0.4">
      <c r="L359" s="505"/>
      <c r="M359" s="506"/>
      <c r="O359" s="508"/>
      <c r="P359" s="511"/>
      <c r="Q359" s="511"/>
      <c r="R359" s="509"/>
      <c r="S359" s="509"/>
    </row>
    <row r="360" spans="12:19" x14ac:dyDescent="0.4">
      <c r="L360" s="505"/>
      <c r="M360" s="506"/>
      <c r="O360" s="508"/>
      <c r="P360" s="511"/>
      <c r="Q360" s="511"/>
      <c r="R360" s="509"/>
      <c r="S360" s="509"/>
    </row>
    <row r="361" spans="12:19" x14ac:dyDescent="0.4">
      <c r="L361" s="505"/>
      <c r="M361" s="506"/>
      <c r="O361" s="508"/>
      <c r="P361" s="511"/>
      <c r="Q361" s="511"/>
      <c r="R361" s="509"/>
      <c r="S361" s="509"/>
    </row>
    <row r="362" spans="12:19" x14ac:dyDescent="0.4">
      <c r="L362" s="505"/>
      <c r="M362" s="506"/>
      <c r="O362" s="508"/>
      <c r="P362" s="511"/>
      <c r="Q362" s="511"/>
      <c r="R362" s="509"/>
      <c r="S362" s="509"/>
    </row>
    <row r="363" spans="12:19" x14ac:dyDescent="0.4">
      <c r="L363" s="505"/>
      <c r="M363" s="506"/>
      <c r="O363" s="508"/>
      <c r="P363" s="511"/>
      <c r="Q363" s="511"/>
      <c r="R363" s="509"/>
      <c r="S363" s="509"/>
    </row>
    <row r="364" spans="12:19" x14ac:dyDescent="0.4">
      <c r="L364" s="505"/>
      <c r="M364" s="506"/>
      <c r="O364" s="508"/>
      <c r="P364" s="511"/>
      <c r="Q364" s="511"/>
      <c r="R364" s="509"/>
      <c r="S364" s="509"/>
    </row>
    <row r="365" spans="12:19" x14ac:dyDescent="0.4">
      <c r="L365" s="505"/>
      <c r="M365" s="506"/>
      <c r="O365" s="508"/>
      <c r="P365" s="511"/>
      <c r="Q365" s="511"/>
      <c r="R365" s="509"/>
      <c r="S365" s="509"/>
    </row>
    <row r="366" spans="12:19" x14ac:dyDescent="0.4">
      <c r="L366" s="505"/>
      <c r="M366" s="506"/>
      <c r="O366" s="508"/>
      <c r="P366" s="511"/>
      <c r="Q366" s="511"/>
      <c r="R366" s="509"/>
      <c r="S366" s="509"/>
    </row>
    <row r="367" spans="12:19" x14ac:dyDescent="0.4">
      <c r="L367" s="505"/>
      <c r="M367" s="506"/>
      <c r="O367" s="508"/>
      <c r="P367" s="511"/>
      <c r="Q367" s="511"/>
      <c r="R367" s="509"/>
      <c r="S367" s="509"/>
    </row>
    <row r="368" spans="12:19" x14ac:dyDescent="0.4">
      <c r="L368" s="505"/>
      <c r="M368" s="506"/>
      <c r="O368" s="508"/>
      <c r="P368" s="511"/>
      <c r="Q368" s="511"/>
      <c r="R368" s="509"/>
      <c r="S368" s="509"/>
    </row>
    <row r="369" spans="12:19" x14ac:dyDescent="0.4">
      <c r="L369" s="505"/>
      <c r="M369" s="506"/>
      <c r="O369" s="508"/>
      <c r="P369" s="511"/>
      <c r="Q369" s="511"/>
      <c r="R369" s="509"/>
      <c r="S369" s="509"/>
    </row>
    <row r="370" spans="12:19" x14ac:dyDescent="0.4">
      <c r="L370" s="505"/>
      <c r="M370" s="506"/>
      <c r="O370" s="508"/>
      <c r="P370" s="511"/>
      <c r="Q370" s="511"/>
      <c r="R370" s="509"/>
      <c r="S370" s="509"/>
    </row>
    <row r="371" spans="12:19" x14ac:dyDescent="0.4">
      <c r="L371" s="505"/>
      <c r="M371" s="506"/>
      <c r="O371" s="508"/>
      <c r="P371" s="511"/>
      <c r="Q371" s="511"/>
      <c r="R371" s="509"/>
      <c r="S371" s="509"/>
    </row>
    <row r="372" spans="12:19" x14ac:dyDescent="0.4">
      <c r="L372" s="505"/>
      <c r="M372" s="506"/>
      <c r="O372" s="508"/>
      <c r="P372" s="511"/>
      <c r="Q372" s="511"/>
      <c r="R372" s="509"/>
      <c r="S372" s="509"/>
    </row>
    <row r="373" spans="12:19" x14ac:dyDescent="0.4">
      <c r="L373" s="505"/>
      <c r="M373" s="506"/>
      <c r="O373" s="508"/>
      <c r="P373" s="511"/>
      <c r="Q373" s="511"/>
      <c r="R373" s="509"/>
      <c r="S373" s="509"/>
    </row>
    <row r="374" spans="12:19" x14ac:dyDescent="0.4">
      <c r="L374" s="505"/>
      <c r="M374" s="506"/>
      <c r="O374" s="508"/>
      <c r="P374" s="511"/>
      <c r="Q374" s="511"/>
      <c r="R374" s="509"/>
      <c r="S374" s="509"/>
    </row>
    <row r="375" spans="12:19" x14ac:dyDescent="0.4">
      <c r="L375" s="505"/>
      <c r="M375" s="506"/>
      <c r="O375" s="508"/>
      <c r="P375" s="511"/>
      <c r="Q375" s="511"/>
      <c r="R375" s="509"/>
      <c r="S375" s="509"/>
    </row>
    <row r="376" spans="12:19" x14ac:dyDescent="0.4">
      <c r="L376" s="505"/>
      <c r="M376" s="506"/>
      <c r="O376" s="508"/>
      <c r="P376" s="511"/>
      <c r="Q376" s="511"/>
      <c r="R376" s="509"/>
      <c r="S376" s="509"/>
    </row>
    <row r="377" spans="12:19" x14ac:dyDescent="0.4">
      <c r="L377" s="505"/>
      <c r="M377" s="506"/>
      <c r="O377" s="508"/>
      <c r="P377" s="511"/>
      <c r="Q377" s="511"/>
      <c r="R377" s="509"/>
      <c r="S377" s="509"/>
    </row>
    <row r="378" spans="12:19" x14ac:dyDescent="0.4">
      <c r="L378" s="505"/>
      <c r="M378" s="506"/>
      <c r="O378" s="508"/>
      <c r="P378" s="511"/>
      <c r="Q378" s="511"/>
      <c r="R378" s="509"/>
      <c r="S378" s="509"/>
    </row>
    <row r="379" spans="12:19" x14ac:dyDescent="0.4">
      <c r="L379" s="505"/>
      <c r="M379" s="506"/>
      <c r="O379" s="508"/>
      <c r="P379" s="511"/>
      <c r="Q379" s="511"/>
      <c r="R379" s="509"/>
      <c r="S379" s="509"/>
    </row>
    <row r="380" spans="12:19" x14ac:dyDescent="0.4">
      <c r="L380" s="505"/>
      <c r="M380" s="506"/>
      <c r="O380" s="508"/>
      <c r="P380" s="511"/>
      <c r="Q380" s="511"/>
      <c r="R380" s="509"/>
      <c r="S380" s="509"/>
    </row>
    <row r="381" spans="12:19" x14ac:dyDescent="0.4">
      <c r="L381" s="505"/>
      <c r="M381" s="506"/>
      <c r="O381" s="508"/>
      <c r="P381" s="511"/>
      <c r="Q381" s="511"/>
      <c r="R381" s="509"/>
      <c r="S381" s="509"/>
    </row>
    <row r="382" spans="12:19" x14ac:dyDescent="0.4">
      <c r="L382" s="505"/>
      <c r="M382" s="506"/>
      <c r="O382" s="508"/>
      <c r="P382" s="511"/>
      <c r="Q382" s="511"/>
      <c r="R382" s="509"/>
      <c r="S382" s="509"/>
    </row>
    <row r="383" spans="12:19" x14ac:dyDescent="0.4">
      <c r="L383" s="505"/>
      <c r="M383" s="506"/>
      <c r="O383" s="508"/>
      <c r="P383" s="511"/>
      <c r="Q383" s="511"/>
      <c r="R383" s="509"/>
      <c r="S383" s="509"/>
    </row>
    <row r="384" spans="12:19" x14ac:dyDescent="0.4">
      <c r="L384" s="505"/>
      <c r="M384" s="506"/>
      <c r="O384" s="508"/>
      <c r="P384" s="511"/>
      <c r="Q384" s="511"/>
      <c r="R384" s="509"/>
      <c r="S384" s="509"/>
    </row>
    <row r="385" spans="12:19" x14ac:dyDescent="0.4">
      <c r="L385" s="505"/>
      <c r="M385" s="506"/>
      <c r="O385" s="508"/>
      <c r="P385" s="511"/>
      <c r="Q385" s="511"/>
      <c r="R385" s="509"/>
      <c r="S385" s="509"/>
    </row>
    <row r="386" spans="12:19" x14ac:dyDescent="0.4">
      <c r="L386" s="505"/>
      <c r="M386" s="506"/>
      <c r="O386" s="508"/>
      <c r="P386" s="511"/>
      <c r="Q386" s="511"/>
      <c r="R386" s="509"/>
      <c r="S386" s="509"/>
    </row>
    <row r="387" spans="12:19" x14ac:dyDescent="0.4">
      <c r="L387" s="505"/>
      <c r="M387" s="506"/>
      <c r="O387" s="508"/>
      <c r="P387" s="511"/>
      <c r="Q387" s="511"/>
      <c r="R387" s="509"/>
      <c r="S387" s="509"/>
    </row>
    <row r="388" spans="12:19" x14ac:dyDescent="0.4">
      <c r="L388" s="505"/>
      <c r="M388" s="506"/>
      <c r="O388" s="508"/>
      <c r="P388" s="511"/>
      <c r="Q388" s="511"/>
      <c r="R388" s="509"/>
      <c r="S388" s="509"/>
    </row>
    <row r="389" spans="12:19" x14ac:dyDescent="0.4">
      <c r="L389" s="505"/>
      <c r="M389" s="506"/>
      <c r="O389" s="508"/>
      <c r="P389" s="511"/>
      <c r="Q389" s="511"/>
      <c r="R389" s="509"/>
      <c r="S389" s="509"/>
    </row>
    <row r="390" spans="12:19" x14ac:dyDescent="0.4">
      <c r="L390" s="505"/>
      <c r="M390" s="506"/>
      <c r="O390" s="508"/>
      <c r="P390" s="511"/>
      <c r="Q390" s="511"/>
      <c r="R390" s="509"/>
      <c r="S390" s="509"/>
    </row>
    <row r="391" spans="12:19" x14ac:dyDescent="0.4">
      <c r="L391" s="505"/>
      <c r="M391" s="506"/>
      <c r="O391" s="508"/>
      <c r="P391" s="511"/>
      <c r="Q391" s="511"/>
      <c r="R391" s="509"/>
      <c r="S391" s="509"/>
    </row>
    <row r="392" spans="12:19" x14ac:dyDescent="0.4">
      <c r="L392" s="505"/>
      <c r="M392" s="506"/>
      <c r="O392" s="508"/>
      <c r="P392" s="511"/>
      <c r="Q392" s="511"/>
      <c r="R392" s="509"/>
      <c r="S392" s="509"/>
    </row>
    <row r="393" spans="12:19" x14ac:dyDescent="0.4">
      <c r="L393" s="505"/>
      <c r="M393" s="506"/>
      <c r="O393" s="508"/>
      <c r="P393" s="511"/>
      <c r="Q393" s="511"/>
      <c r="R393" s="509"/>
      <c r="S393" s="509"/>
    </row>
    <row r="394" spans="12:19" x14ac:dyDescent="0.4">
      <c r="L394" s="505"/>
      <c r="M394" s="506"/>
      <c r="O394" s="508"/>
      <c r="P394" s="511"/>
      <c r="Q394" s="511"/>
      <c r="R394" s="509"/>
      <c r="S394" s="509"/>
    </row>
    <row r="395" spans="12:19" x14ac:dyDescent="0.4">
      <c r="L395" s="505"/>
      <c r="M395" s="506"/>
      <c r="O395" s="508"/>
      <c r="P395" s="511"/>
      <c r="Q395" s="511"/>
      <c r="R395" s="509"/>
      <c r="S395" s="509"/>
    </row>
    <row r="396" spans="12:19" x14ac:dyDescent="0.4">
      <c r="L396" s="505"/>
      <c r="M396" s="506"/>
      <c r="O396" s="508"/>
      <c r="P396" s="511"/>
      <c r="Q396" s="511"/>
      <c r="R396" s="509"/>
      <c r="S396" s="509"/>
    </row>
    <row r="397" spans="12:19" x14ac:dyDescent="0.4">
      <c r="L397" s="505"/>
      <c r="M397" s="506"/>
      <c r="O397" s="508"/>
      <c r="P397" s="511"/>
      <c r="Q397" s="511"/>
      <c r="R397" s="509"/>
      <c r="S397" s="509"/>
    </row>
    <row r="398" spans="12:19" x14ac:dyDescent="0.4">
      <c r="L398" s="505"/>
      <c r="M398" s="506"/>
      <c r="O398" s="508"/>
      <c r="P398" s="511"/>
      <c r="Q398" s="511"/>
      <c r="R398" s="509"/>
      <c r="S398" s="509"/>
    </row>
    <row r="399" spans="12:19" x14ac:dyDescent="0.4">
      <c r="L399" s="505"/>
      <c r="M399" s="506"/>
      <c r="O399" s="508"/>
      <c r="P399" s="511"/>
      <c r="Q399" s="511"/>
      <c r="R399" s="509"/>
      <c r="S399" s="509"/>
    </row>
    <row r="400" spans="12:19" x14ac:dyDescent="0.4">
      <c r="L400" s="505"/>
      <c r="M400" s="506"/>
      <c r="O400" s="508"/>
      <c r="P400" s="511"/>
      <c r="Q400" s="511"/>
      <c r="R400" s="509"/>
      <c r="S400" s="509"/>
    </row>
    <row r="401" spans="12:19" x14ac:dyDescent="0.4">
      <c r="L401" s="505"/>
      <c r="M401" s="506"/>
      <c r="O401" s="508"/>
      <c r="P401" s="511"/>
      <c r="Q401" s="511"/>
      <c r="R401" s="509"/>
      <c r="S401" s="509"/>
    </row>
    <row r="402" spans="12:19" x14ac:dyDescent="0.4">
      <c r="L402" s="505"/>
      <c r="M402" s="506"/>
      <c r="O402" s="508"/>
      <c r="P402" s="511"/>
      <c r="Q402" s="511"/>
      <c r="R402" s="509"/>
      <c r="S402" s="509"/>
    </row>
    <row r="403" spans="12:19" x14ac:dyDescent="0.4">
      <c r="L403" s="505"/>
      <c r="M403" s="506"/>
      <c r="O403" s="508"/>
      <c r="P403" s="511"/>
      <c r="Q403" s="511"/>
      <c r="R403" s="509"/>
      <c r="S403" s="509"/>
    </row>
    <row r="404" spans="12:19" x14ac:dyDescent="0.4">
      <c r="L404" s="505"/>
      <c r="M404" s="506"/>
      <c r="O404" s="508"/>
      <c r="P404" s="511"/>
      <c r="Q404" s="511"/>
      <c r="R404" s="509"/>
      <c r="S404" s="509"/>
    </row>
    <row r="405" spans="12:19" x14ac:dyDescent="0.4">
      <c r="L405" s="505"/>
      <c r="M405" s="506"/>
      <c r="O405" s="508"/>
      <c r="P405" s="511"/>
      <c r="Q405" s="511"/>
      <c r="R405" s="509"/>
      <c r="S405" s="509"/>
    </row>
    <row r="406" spans="12:19" x14ac:dyDescent="0.4">
      <c r="L406" s="505"/>
      <c r="M406" s="506"/>
      <c r="O406" s="508"/>
      <c r="P406" s="511"/>
      <c r="Q406" s="511"/>
      <c r="R406" s="509"/>
      <c r="S406" s="509"/>
    </row>
    <row r="407" spans="12:19" x14ac:dyDescent="0.4">
      <c r="L407" s="505"/>
      <c r="M407" s="506"/>
      <c r="O407" s="508"/>
      <c r="P407" s="511"/>
      <c r="Q407" s="511"/>
      <c r="R407" s="509"/>
      <c r="S407" s="509"/>
    </row>
    <row r="408" spans="12:19" x14ac:dyDescent="0.4">
      <c r="L408" s="505"/>
      <c r="M408" s="506"/>
      <c r="O408" s="508"/>
      <c r="P408" s="511"/>
      <c r="Q408" s="511"/>
      <c r="R408" s="509"/>
      <c r="S408" s="509"/>
    </row>
    <row r="409" spans="12:19" x14ac:dyDescent="0.4">
      <c r="L409" s="505"/>
      <c r="M409" s="506"/>
      <c r="O409" s="508"/>
      <c r="P409" s="511"/>
      <c r="Q409" s="511"/>
      <c r="R409" s="509"/>
      <c r="S409" s="509"/>
    </row>
    <row r="410" spans="12:19" x14ac:dyDescent="0.4">
      <c r="L410" s="505"/>
      <c r="M410" s="506"/>
      <c r="O410" s="508"/>
      <c r="P410" s="511"/>
      <c r="Q410" s="511"/>
      <c r="R410" s="509"/>
      <c r="S410" s="509"/>
    </row>
    <row r="411" spans="12:19" x14ac:dyDescent="0.4">
      <c r="L411" s="505"/>
      <c r="M411" s="506"/>
      <c r="O411" s="508"/>
      <c r="P411" s="511"/>
      <c r="Q411" s="511"/>
      <c r="R411" s="509"/>
      <c r="S411" s="509"/>
    </row>
    <row r="412" spans="12:19" x14ac:dyDescent="0.4">
      <c r="L412" s="505"/>
      <c r="M412" s="506"/>
      <c r="O412" s="508"/>
      <c r="P412" s="511"/>
      <c r="Q412" s="511"/>
      <c r="R412" s="509"/>
      <c r="S412" s="509"/>
    </row>
    <row r="413" spans="12:19" x14ac:dyDescent="0.4">
      <c r="L413" s="505"/>
      <c r="M413" s="506"/>
      <c r="O413" s="508"/>
      <c r="P413" s="511"/>
      <c r="Q413" s="511"/>
      <c r="R413" s="509"/>
      <c r="S413" s="509"/>
    </row>
    <row r="414" spans="12:19" x14ac:dyDescent="0.4">
      <c r="L414" s="505"/>
      <c r="M414" s="506"/>
      <c r="O414" s="508"/>
      <c r="P414" s="511"/>
      <c r="Q414" s="511"/>
      <c r="R414" s="509"/>
      <c r="S414" s="509"/>
    </row>
    <row r="415" spans="12:19" x14ac:dyDescent="0.4">
      <c r="L415" s="505"/>
      <c r="M415" s="506"/>
      <c r="O415" s="508"/>
      <c r="P415" s="511"/>
      <c r="Q415" s="511"/>
      <c r="R415" s="509"/>
      <c r="S415" s="509"/>
    </row>
    <row r="416" spans="12:19" x14ac:dyDescent="0.4">
      <c r="L416" s="505"/>
      <c r="M416" s="506"/>
      <c r="O416" s="508"/>
      <c r="P416" s="511"/>
      <c r="Q416" s="511"/>
      <c r="R416" s="509"/>
      <c r="S416" s="509"/>
    </row>
    <row r="417" spans="12:19" x14ac:dyDescent="0.4">
      <c r="L417" s="505"/>
      <c r="M417" s="506"/>
      <c r="O417" s="508"/>
      <c r="P417" s="511"/>
      <c r="Q417" s="511"/>
      <c r="R417" s="509"/>
      <c r="S417" s="509"/>
    </row>
    <row r="418" spans="12:19" x14ac:dyDescent="0.4">
      <c r="L418" s="505"/>
      <c r="M418" s="506"/>
      <c r="O418" s="508"/>
      <c r="P418" s="511"/>
      <c r="Q418" s="511"/>
      <c r="R418" s="509"/>
      <c r="S418" s="509"/>
    </row>
    <row r="419" spans="12:19" x14ac:dyDescent="0.4">
      <c r="L419" s="505"/>
      <c r="M419" s="506"/>
      <c r="O419" s="508"/>
      <c r="P419" s="511"/>
      <c r="Q419" s="511"/>
      <c r="R419" s="509"/>
      <c r="S419" s="509"/>
    </row>
    <row r="420" spans="12:19" x14ac:dyDescent="0.4">
      <c r="L420" s="505"/>
      <c r="M420" s="506"/>
      <c r="O420" s="508"/>
      <c r="P420" s="511"/>
      <c r="Q420" s="511"/>
      <c r="R420" s="509"/>
      <c r="S420" s="509"/>
    </row>
    <row r="421" spans="12:19" x14ac:dyDescent="0.4">
      <c r="L421" s="505"/>
      <c r="M421" s="506"/>
      <c r="O421" s="508"/>
      <c r="P421" s="511"/>
      <c r="Q421" s="511"/>
      <c r="R421" s="509"/>
      <c r="S421" s="509"/>
    </row>
    <row r="422" spans="12:19" x14ac:dyDescent="0.4">
      <c r="L422" s="505"/>
      <c r="M422" s="506"/>
      <c r="O422" s="508"/>
      <c r="P422" s="511"/>
      <c r="Q422" s="511"/>
      <c r="R422" s="509"/>
      <c r="S422" s="509"/>
    </row>
    <row r="423" spans="12:19" x14ac:dyDescent="0.4">
      <c r="L423" s="505"/>
      <c r="M423" s="506"/>
      <c r="O423" s="508"/>
      <c r="P423" s="511"/>
      <c r="Q423" s="511"/>
      <c r="R423" s="509"/>
      <c r="S423" s="509"/>
    </row>
    <row r="424" spans="12:19" x14ac:dyDescent="0.4">
      <c r="L424" s="505"/>
      <c r="M424" s="506"/>
      <c r="O424" s="508"/>
      <c r="P424" s="511"/>
      <c r="Q424" s="511"/>
      <c r="R424" s="509"/>
      <c r="S424" s="509"/>
    </row>
    <row r="425" spans="12:19" x14ac:dyDescent="0.4">
      <c r="L425" s="505"/>
      <c r="M425" s="506"/>
      <c r="O425" s="508"/>
      <c r="P425" s="511"/>
      <c r="Q425" s="511"/>
      <c r="R425" s="509"/>
      <c r="S425" s="509"/>
    </row>
    <row r="426" spans="12:19" x14ac:dyDescent="0.4">
      <c r="L426" s="505"/>
      <c r="M426" s="506"/>
      <c r="O426" s="508"/>
      <c r="P426" s="511"/>
      <c r="Q426" s="511"/>
      <c r="R426" s="509"/>
      <c r="S426" s="509"/>
    </row>
    <row r="427" spans="12:19" x14ac:dyDescent="0.4">
      <c r="L427" s="505"/>
      <c r="M427" s="506"/>
      <c r="O427" s="508"/>
      <c r="P427" s="511"/>
      <c r="Q427" s="511"/>
      <c r="R427" s="509"/>
      <c r="S427" s="509"/>
    </row>
    <row r="428" spans="12:19" x14ac:dyDescent="0.4">
      <c r="L428" s="505"/>
      <c r="M428" s="506"/>
      <c r="O428" s="508"/>
      <c r="P428" s="511"/>
      <c r="Q428" s="511"/>
      <c r="R428" s="509"/>
      <c r="S428" s="509"/>
    </row>
    <row r="429" spans="12:19" x14ac:dyDescent="0.4">
      <c r="L429" s="505"/>
      <c r="M429" s="506"/>
      <c r="O429" s="508"/>
      <c r="P429" s="511"/>
      <c r="Q429" s="511"/>
      <c r="R429" s="509"/>
      <c r="S429" s="509"/>
    </row>
    <row r="430" spans="12:19" x14ac:dyDescent="0.4">
      <c r="L430" s="505"/>
      <c r="M430" s="506"/>
      <c r="O430" s="508"/>
      <c r="P430" s="511"/>
      <c r="Q430" s="511"/>
      <c r="R430" s="509"/>
      <c r="S430" s="509"/>
    </row>
    <row r="431" spans="12:19" x14ac:dyDescent="0.4">
      <c r="L431" s="505"/>
      <c r="M431" s="506"/>
      <c r="O431" s="508"/>
      <c r="P431" s="511"/>
      <c r="Q431" s="511"/>
      <c r="R431" s="509"/>
      <c r="S431" s="509"/>
    </row>
    <row r="432" spans="12:19" x14ac:dyDescent="0.4">
      <c r="L432" s="505"/>
      <c r="O432" s="508"/>
      <c r="P432" s="511"/>
      <c r="Q432" s="511"/>
      <c r="R432" s="509"/>
      <c r="S432" s="509"/>
    </row>
    <row r="433" spans="12:19" x14ac:dyDescent="0.4">
      <c r="L433" s="505"/>
      <c r="O433" s="508"/>
      <c r="P433" s="511"/>
      <c r="Q433" s="511"/>
      <c r="R433" s="509"/>
      <c r="S433" s="509"/>
    </row>
    <row r="434" spans="12:19" x14ac:dyDescent="0.4">
      <c r="L434" s="505"/>
      <c r="O434" s="508"/>
      <c r="P434" s="511"/>
      <c r="Q434" s="511"/>
      <c r="R434" s="509"/>
      <c r="S434" s="509"/>
    </row>
    <row r="435" spans="12:19" x14ac:dyDescent="0.4">
      <c r="L435" s="505"/>
      <c r="O435" s="508"/>
      <c r="P435" s="511"/>
      <c r="Q435" s="511"/>
      <c r="R435" s="509"/>
      <c r="S435" s="509"/>
    </row>
    <row r="436" spans="12:19" x14ac:dyDescent="0.4">
      <c r="L436" s="505"/>
      <c r="O436" s="508"/>
      <c r="P436" s="511"/>
      <c r="Q436" s="511"/>
      <c r="R436" s="509"/>
      <c r="S436" s="509"/>
    </row>
    <row r="437" spans="12:19" x14ac:dyDescent="0.4">
      <c r="L437" s="505"/>
      <c r="O437" s="508"/>
      <c r="P437" s="511"/>
      <c r="Q437" s="511"/>
      <c r="R437" s="509"/>
      <c r="S437" s="509"/>
    </row>
    <row r="438" spans="12:19" x14ac:dyDescent="0.4">
      <c r="L438" s="505"/>
      <c r="O438" s="508"/>
      <c r="P438" s="511"/>
      <c r="Q438" s="511"/>
      <c r="R438" s="509"/>
      <c r="S438" s="509"/>
    </row>
    <row r="439" spans="12:19" x14ac:dyDescent="0.4">
      <c r="L439" s="505"/>
      <c r="O439" s="508"/>
      <c r="P439" s="511"/>
      <c r="Q439" s="511"/>
      <c r="R439" s="509"/>
      <c r="S439" s="509"/>
    </row>
    <row r="440" spans="12:19" x14ac:dyDescent="0.4">
      <c r="L440" s="505"/>
      <c r="O440" s="508"/>
      <c r="P440" s="511"/>
      <c r="Q440" s="511"/>
      <c r="R440" s="509"/>
      <c r="S440" s="509"/>
    </row>
    <row r="441" spans="12:19" x14ac:dyDescent="0.4">
      <c r="L441" s="505"/>
      <c r="O441" s="508"/>
      <c r="P441" s="511"/>
      <c r="Q441" s="511"/>
      <c r="R441" s="509"/>
      <c r="S441" s="509"/>
    </row>
    <row r="442" spans="12:19" x14ac:dyDescent="0.4">
      <c r="L442" s="505"/>
      <c r="O442" s="508"/>
      <c r="P442" s="511"/>
      <c r="Q442" s="511"/>
      <c r="R442" s="509"/>
      <c r="S442" s="509"/>
    </row>
    <row r="443" spans="12:19" x14ac:dyDescent="0.4">
      <c r="L443" s="505"/>
      <c r="O443" s="508"/>
      <c r="P443" s="511"/>
      <c r="Q443" s="511"/>
      <c r="R443" s="509"/>
      <c r="S443" s="509"/>
    </row>
    <row r="444" spans="12:19" x14ac:dyDescent="0.4">
      <c r="L444" s="505"/>
      <c r="O444" s="508"/>
      <c r="P444" s="511"/>
      <c r="Q444" s="511"/>
      <c r="R444" s="509"/>
      <c r="S444" s="509"/>
    </row>
    <row r="445" spans="12:19" x14ac:dyDescent="0.4">
      <c r="L445" s="505"/>
      <c r="O445" s="508"/>
      <c r="P445" s="511"/>
      <c r="Q445" s="511"/>
      <c r="R445" s="509"/>
      <c r="S445" s="509"/>
    </row>
    <row r="446" spans="12:19" x14ac:dyDescent="0.4">
      <c r="L446" s="505"/>
      <c r="O446" s="508"/>
      <c r="P446" s="511"/>
      <c r="Q446" s="511"/>
      <c r="R446" s="509"/>
      <c r="S446" s="509"/>
    </row>
    <row r="447" spans="12:19" x14ac:dyDescent="0.4">
      <c r="L447" s="505"/>
      <c r="O447" s="508"/>
      <c r="P447" s="511"/>
      <c r="Q447" s="511"/>
      <c r="R447" s="509"/>
      <c r="S447" s="509"/>
    </row>
    <row r="448" spans="12:19" x14ac:dyDescent="0.4">
      <c r="L448" s="505"/>
      <c r="O448" s="508"/>
      <c r="P448" s="511"/>
      <c r="Q448" s="511"/>
      <c r="R448" s="509"/>
      <c r="S448" s="509"/>
    </row>
    <row r="449" spans="12:19" x14ac:dyDescent="0.4">
      <c r="L449" s="505"/>
      <c r="O449" s="508"/>
      <c r="P449" s="511"/>
      <c r="Q449" s="511"/>
      <c r="R449" s="509"/>
      <c r="S449" s="509"/>
    </row>
    <row r="450" spans="12:19" x14ac:dyDescent="0.4">
      <c r="L450" s="505"/>
      <c r="O450" s="508"/>
      <c r="P450" s="511"/>
      <c r="Q450" s="511"/>
      <c r="R450" s="509"/>
      <c r="S450" s="509"/>
    </row>
    <row r="451" spans="12:19" x14ac:dyDescent="0.4">
      <c r="L451" s="505"/>
      <c r="O451" s="508"/>
      <c r="P451" s="511"/>
      <c r="Q451" s="511"/>
      <c r="R451" s="509"/>
      <c r="S451" s="509"/>
    </row>
    <row r="452" spans="12:19" x14ac:dyDescent="0.4">
      <c r="L452" s="505"/>
      <c r="O452" s="508"/>
      <c r="P452" s="511"/>
      <c r="Q452" s="511"/>
      <c r="R452" s="509"/>
      <c r="S452" s="509"/>
    </row>
    <row r="453" spans="12:19" x14ac:dyDescent="0.4">
      <c r="L453" s="505"/>
      <c r="O453" s="508"/>
      <c r="P453" s="511"/>
      <c r="Q453" s="511"/>
      <c r="R453" s="509"/>
      <c r="S453" s="509"/>
    </row>
    <row r="454" spans="12:19" x14ac:dyDescent="0.4">
      <c r="L454" s="505"/>
      <c r="O454" s="508"/>
      <c r="P454" s="511"/>
      <c r="Q454" s="511"/>
      <c r="R454" s="509"/>
      <c r="S454" s="509"/>
    </row>
    <row r="455" spans="12:19" x14ac:dyDescent="0.4">
      <c r="L455" s="505"/>
      <c r="O455" s="508"/>
      <c r="P455" s="511"/>
      <c r="Q455" s="511"/>
      <c r="R455" s="509"/>
      <c r="S455" s="509"/>
    </row>
    <row r="456" spans="12:19" x14ac:dyDescent="0.4">
      <c r="L456" s="505"/>
      <c r="O456" s="508"/>
      <c r="P456" s="511"/>
      <c r="Q456" s="511"/>
      <c r="R456" s="509"/>
      <c r="S456" s="509"/>
    </row>
    <row r="457" spans="12:19" x14ac:dyDescent="0.4">
      <c r="L457" s="505"/>
      <c r="O457" s="508"/>
      <c r="P457" s="511"/>
      <c r="Q457" s="511"/>
      <c r="R457" s="509"/>
      <c r="S457" s="509"/>
    </row>
    <row r="458" spans="12:19" x14ac:dyDescent="0.4">
      <c r="L458" s="505"/>
      <c r="O458" s="508"/>
      <c r="P458" s="511"/>
      <c r="Q458" s="511"/>
      <c r="R458" s="509"/>
      <c r="S458" s="509"/>
    </row>
    <row r="459" spans="12:19" x14ac:dyDescent="0.4">
      <c r="L459" s="505"/>
      <c r="O459" s="508"/>
      <c r="P459" s="511"/>
      <c r="Q459" s="511"/>
      <c r="R459" s="509"/>
      <c r="S459" s="509"/>
    </row>
    <row r="460" spans="12:19" x14ac:dyDescent="0.4">
      <c r="L460" s="505"/>
      <c r="O460" s="508"/>
      <c r="P460" s="511"/>
      <c r="Q460" s="511"/>
      <c r="R460" s="509"/>
      <c r="S460" s="509"/>
    </row>
    <row r="461" spans="12:19" x14ac:dyDescent="0.4">
      <c r="L461" s="505"/>
      <c r="O461" s="508"/>
      <c r="P461" s="511"/>
      <c r="Q461" s="511"/>
      <c r="R461" s="509"/>
      <c r="S461" s="509"/>
    </row>
    <row r="462" spans="12:19" x14ac:dyDescent="0.4">
      <c r="L462" s="505"/>
      <c r="O462" s="508"/>
      <c r="P462" s="511"/>
      <c r="Q462" s="511"/>
      <c r="R462" s="509"/>
      <c r="S462" s="509"/>
    </row>
    <row r="463" spans="12:19" x14ac:dyDescent="0.4">
      <c r="L463" s="505"/>
      <c r="O463" s="508"/>
      <c r="P463" s="511"/>
      <c r="Q463" s="511"/>
      <c r="R463" s="509"/>
      <c r="S463" s="509"/>
    </row>
    <row r="464" spans="12:19" x14ac:dyDescent="0.4">
      <c r="L464" s="505"/>
      <c r="O464" s="508"/>
      <c r="P464" s="511"/>
      <c r="Q464" s="511"/>
      <c r="R464" s="509"/>
      <c r="S464" s="509"/>
    </row>
    <row r="465" spans="12:19" x14ac:dyDescent="0.4">
      <c r="L465" s="505"/>
      <c r="O465" s="508"/>
      <c r="P465" s="511"/>
      <c r="Q465" s="511"/>
      <c r="R465" s="509"/>
      <c r="S465" s="509"/>
    </row>
    <row r="466" spans="12:19" x14ac:dyDescent="0.4">
      <c r="L466" s="505"/>
      <c r="O466" s="508"/>
      <c r="P466" s="511"/>
      <c r="Q466" s="511"/>
      <c r="R466" s="509"/>
      <c r="S466" s="509"/>
    </row>
    <row r="467" spans="12:19" x14ac:dyDescent="0.4">
      <c r="L467" s="505"/>
      <c r="O467" s="508"/>
      <c r="P467" s="511"/>
      <c r="Q467" s="511"/>
      <c r="R467" s="509"/>
      <c r="S467" s="509"/>
    </row>
    <row r="468" spans="12:19" x14ac:dyDescent="0.4">
      <c r="L468" s="505"/>
      <c r="P468" s="511"/>
      <c r="Q468" s="511"/>
      <c r="R468" s="509"/>
      <c r="S468" s="509"/>
    </row>
    <row r="469" spans="12:19" x14ac:dyDescent="0.4">
      <c r="L469" s="505"/>
      <c r="P469" s="511"/>
      <c r="Q469" s="511"/>
      <c r="R469" s="509"/>
      <c r="S469" s="509"/>
    </row>
    <row r="470" spans="12:19" x14ac:dyDescent="0.4">
      <c r="P470" s="511"/>
      <c r="Q470" s="511"/>
      <c r="R470" s="509"/>
      <c r="S470" s="509"/>
    </row>
    <row r="471" spans="12:19" x14ac:dyDescent="0.4">
      <c r="P471" s="511"/>
      <c r="Q471" s="511"/>
      <c r="R471" s="509"/>
      <c r="S471" s="509"/>
    </row>
    <row r="472" spans="12:19" x14ac:dyDescent="0.4">
      <c r="P472" s="511"/>
      <c r="Q472" s="511"/>
      <c r="R472" s="509"/>
      <c r="S472" s="509"/>
    </row>
    <row r="473" spans="12:19" x14ac:dyDescent="0.4">
      <c r="P473" s="511"/>
      <c r="Q473" s="511"/>
      <c r="R473" s="509"/>
      <c r="S473" s="509"/>
    </row>
    <row r="474" spans="12:19" x14ac:dyDescent="0.4">
      <c r="P474" s="511"/>
      <c r="Q474" s="511"/>
      <c r="R474" s="509"/>
      <c r="S474" s="509"/>
    </row>
    <row r="475" spans="12:19" x14ac:dyDescent="0.4">
      <c r="P475" s="511"/>
      <c r="Q475" s="511"/>
      <c r="R475" s="509"/>
      <c r="S475" s="509"/>
    </row>
    <row r="476" spans="12:19" x14ac:dyDescent="0.4">
      <c r="P476" s="511"/>
      <c r="Q476" s="511"/>
      <c r="R476" s="509"/>
      <c r="S476" s="509"/>
    </row>
    <row r="477" spans="12:19" x14ac:dyDescent="0.4">
      <c r="P477" s="511"/>
      <c r="Q477" s="511"/>
      <c r="R477" s="509"/>
      <c r="S477" s="509"/>
    </row>
    <row r="478" spans="12:19" x14ac:dyDescent="0.4">
      <c r="P478" s="511"/>
      <c r="Q478" s="511"/>
      <c r="R478" s="509"/>
      <c r="S478" s="509"/>
    </row>
    <row r="479" spans="12:19" x14ac:dyDescent="0.4">
      <c r="P479" s="511"/>
      <c r="Q479" s="511"/>
    </row>
    <row r="480" spans="12:19" x14ac:dyDescent="0.4">
      <c r="P480" s="511"/>
      <c r="Q480" s="511"/>
    </row>
    <row r="481" spans="16:17" x14ac:dyDescent="0.4">
      <c r="P481" s="511"/>
      <c r="Q481" s="511"/>
    </row>
    <row r="482" spans="16:17" x14ac:dyDescent="0.4">
      <c r="P482" s="511"/>
      <c r="Q482" s="511"/>
    </row>
    <row r="483" spans="16:17" x14ac:dyDescent="0.4">
      <c r="P483" s="511"/>
      <c r="Q483" s="511"/>
    </row>
    <row r="484" spans="16:17" x14ac:dyDescent="0.4">
      <c r="P484" s="511"/>
      <c r="Q484" s="511"/>
    </row>
    <row r="485" spans="16:17" x14ac:dyDescent="0.4">
      <c r="P485" s="511"/>
      <c r="Q485" s="511"/>
    </row>
    <row r="486" spans="16:17" x14ac:dyDescent="0.4">
      <c r="P486" s="511"/>
      <c r="Q486" s="511"/>
    </row>
    <row r="487" spans="16:17" x14ac:dyDescent="0.4">
      <c r="P487" s="511"/>
      <c r="Q487" s="511"/>
    </row>
    <row r="488" spans="16:17" x14ac:dyDescent="0.4">
      <c r="P488" s="511"/>
      <c r="Q488" s="511"/>
    </row>
    <row r="489" spans="16:17" x14ac:dyDescent="0.4">
      <c r="P489" s="511"/>
      <c r="Q489" s="511"/>
    </row>
    <row r="490" spans="16:17" x14ac:dyDescent="0.4">
      <c r="P490" s="511"/>
      <c r="Q490" s="511"/>
    </row>
    <row r="491" spans="16:17" x14ac:dyDescent="0.4">
      <c r="P491" s="511"/>
      <c r="Q491" s="511"/>
    </row>
    <row r="492" spans="16:17" x14ac:dyDescent="0.4">
      <c r="P492" s="511"/>
      <c r="Q492" s="511"/>
    </row>
    <row r="493" spans="16:17" x14ac:dyDescent="0.4">
      <c r="P493" s="511"/>
      <c r="Q493" s="511"/>
    </row>
    <row r="494" spans="16:17" x14ac:dyDescent="0.4">
      <c r="P494" s="511"/>
      <c r="Q494" s="511"/>
    </row>
    <row r="495" spans="16:17" x14ac:dyDescent="0.4">
      <c r="P495" s="511"/>
      <c r="Q495" s="511"/>
    </row>
    <row r="496" spans="16:17" x14ac:dyDescent="0.4">
      <c r="P496" s="511"/>
      <c r="Q496" s="511"/>
    </row>
    <row r="497" spans="16:17" x14ac:dyDescent="0.4">
      <c r="P497" s="511"/>
      <c r="Q497" s="511"/>
    </row>
    <row r="498" spans="16:17" x14ac:dyDescent="0.4">
      <c r="P498" s="511"/>
      <c r="Q498" s="511"/>
    </row>
    <row r="499" spans="16:17" x14ac:dyDescent="0.4">
      <c r="P499" s="511"/>
      <c r="Q499" s="511"/>
    </row>
    <row r="500" spans="16:17" x14ac:dyDescent="0.4">
      <c r="P500" s="511"/>
      <c r="Q500" s="511"/>
    </row>
    <row r="501" spans="16:17" x14ac:dyDescent="0.4">
      <c r="P501" s="511"/>
      <c r="Q501" s="511"/>
    </row>
    <row r="502" spans="16:17" x14ac:dyDescent="0.4">
      <c r="P502" s="511"/>
      <c r="Q502" s="511"/>
    </row>
    <row r="503" spans="16:17" x14ac:dyDescent="0.4">
      <c r="P503" s="511"/>
      <c r="Q503" s="511"/>
    </row>
    <row r="504" spans="16:17" x14ac:dyDescent="0.4">
      <c r="P504" s="511"/>
      <c r="Q504" s="511"/>
    </row>
    <row r="505" spans="16:17" x14ac:dyDescent="0.4">
      <c r="P505" s="511"/>
      <c r="Q505" s="511"/>
    </row>
    <row r="506" spans="16:17" x14ac:dyDescent="0.4">
      <c r="P506" s="511"/>
      <c r="Q506" s="511"/>
    </row>
    <row r="507" spans="16:17" x14ac:dyDescent="0.4">
      <c r="P507" s="511"/>
      <c r="Q507" s="511"/>
    </row>
    <row r="508" spans="16:17" x14ac:dyDescent="0.4">
      <c r="P508" s="511"/>
      <c r="Q508" s="511"/>
    </row>
    <row r="509" spans="16:17" x14ac:dyDescent="0.4">
      <c r="P509" s="511"/>
      <c r="Q509" s="511"/>
    </row>
    <row r="510" spans="16:17" x14ac:dyDescent="0.4">
      <c r="P510" s="511"/>
      <c r="Q510" s="511"/>
    </row>
    <row r="511" spans="16:17" x14ac:dyDescent="0.4">
      <c r="P511" s="511"/>
      <c r="Q511" s="511"/>
    </row>
    <row r="512" spans="16:17" x14ac:dyDescent="0.4">
      <c r="P512" s="511"/>
      <c r="Q512" s="511"/>
    </row>
    <row r="513" spans="16:17" x14ac:dyDescent="0.4">
      <c r="P513" s="511"/>
      <c r="Q513" s="511"/>
    </row>
    <row r="514" spans="16:17" x14ac:dyDescent="0.4">
      <c r="P514" s="511"/>
      <c r="Q514" s="511"/>
    </row>
    <row r="515" spans="16:17" x14ac:dyDescent="0.4">
      <c r="P515" s="511"/>
      <c r="Q515" s="511"/>
    </row>
    <row r="516" spans="16:17" x14ac:dyDescent="0.4">
      <c r="P516" s="511"/>
      <c r="Q516" s="511"/>
    </row>
    <row r="517" spans="16:17" x14ac:dyDescent="0.4">
      <c r="P517" s="511"/>
      <c r="Q517" s="511"/>
    </row>
    <row r="518" spans="16:17" x14ac:dyDescent="0.4">
      <c r="P518" s="511"/>
      <c r="Q518" s="511"/>
    </row>
    <row r="519" spans="16:17" x14ac:dyDescent="0.4">
      <c r="P519" s="511"/>
      <c r="Q519" s="511"/>
    </row>
    <row r="520" spans="16:17" x14ac:dyDescent="0.4">
      <c r="P520" s="511"/>
      <c r="Q520" s="511"/>
    </row>
    <row r="521" spans="16:17" x14ac:dyDescent="0.4">
      <c r="P521" s="511"/>
      <c r="Q521" s="511"/>
    </row>
    <row r="522" spans="16:17" x14ac:dyDescent="0.4">
      <c r="P522" s="511"/>
      <c r="Q522" s="511"/>
    </row>
    <row r="523" spans="16:17" x14ac:dyDescent="0.4">
      <c r="P523" s="511"/>
      <c r="Q523" s="511"/>
    </row>
    <row r="524" spans="16:17" x14ac:dyDescent="0.4">
      <c r="P524" s="511"/>
      <c r="Q524" s="511"/>
    </row>
    <row r="525" spans="16:17" x14ac:dyDescent="0.4">
      <c r="P525" s="511"/>
      <c r="Q525" s="511"/>
    </row>
    <row r="526" spans="16:17" x14ac:dyDescent="0.4">
      <c r="P526" s="511"/>
      <c r="Q526" s="511"/>
    </row>
    <row r="527" spans="16:17" x14ac:dyDescent="0.4">
      <c r="P527" s="511"/>
      <c r="Q527" s="511"/>
    </row>
    <row r="528" spans="16:17" x14ac:dyDescent="0.4">
      <c r="P528" s="511"/>
      <c r="Q528" s="511"/>
    </row>
    <row r="529" spans="16:17" x14ac:dyDescent="0.4">
      <c r="P529" s="511"/>
      <c r="Q529" s="511"/>
    </row>
    <row r="530" spans="16:17" x14ac:dyDescent="0.4">
      <c r="P530" s="511"/>
      <c r="Q530" s="511"/>
    </row>
    <row r="531" spans="16:17" x14ac:dyDescent="0.4">
      <c r="P531" s="511"/>
      <c r="Q531" s="511"/>
    </row>
    <row r="532" spans="16:17" x14ac:dyDescent="0.4">
      <c r="P532" s="511"/>
      <c r="Q532" s="511"/>
    </row>
    <row r="533" spans="16:17" x14ac:dyDescent="0.4">
      <c r="P533" s="511"/>
      <c r="Q533" s="511"/>
    </row>
    <row r="534" spans="16:17" x14ac:dyDescent="0.4">
      <c r="P534" s="511"/>
      <c r="Q534" s="511"/>
    </row>
    <row r="535" spans="16:17" x14ac:dyDescent="0.4">
      <c r="P535" s="511"/>
      <c r="Q535" s="511"/>
    </row>
    <row r="536" spans="16:17" x14ac:dyDescent="0.4">
      <c r="P536" s="511"/>
      <c r="Q536" s="511"/>
    </row>
    <row r="537" spans="16:17" x14ac:dyDescent="0.4">
      <c r="P537" s="511"/>
      <c r="Q537" s="511"/>
    </row>
    <row r="538" spans="16:17" x14ac:dyDescent="0.4">
      <c r="P538" s="511"/>
      <c r="Q538" s="511"/>
    </row>
    <row r="539" spans="16:17" x14ac:dyDescent="0.4">
      <c r="P539" s="511"/>
      <c r="Q539" s="511"/>
    </row>
    <row r="540" spans="16:17" x14ac:dyDescent="0.4">
      <c r="P540" s="511"/>
      <c r="Q540" s="511"/>
    </row>
    <row r="541" spans="16:17" x14ac:dyDescent="0.4">
      <c r="P541" s="511"/>
      <c r="Q541" s="511"/>
    </row>
    <row r="542" spans="16:17" x14ac:dyDescent="0.4">
      <c r="P542" s="511"/>
      <c r="Q542" s="511"/>
    </row>
    <row r="543" spans="16:17" x14ac:dyDescent="0.4">
      <c r="P543" s="511"/>
      <c r="Q543" s="511"/>
    </row>
    <row r="544" spans="16:17" x14ac:dyDescent="0.4">
      <c r="P544" s="511"/>
      <c r="Q544" s="511"/>
    </row>
    <row r="545" spans="16:17" x14ac:dyDescent="0.4">
      <c r="P545" s="511"/>
      <c r="Q545" s="511"/>
    </row>
    <row r="546" spans="16:17" x14ac:dyDescent="0.4">
      <c r="P546" s="511"/>
      <c r="Q546" s="511"/>
    </row>
    <row r="547" spans="16:17" x14ac:dyDescent="0.4">
      <c r="P547" s="511"/>
      <c r="Q547" s="511"/>
    </row>
    <row r="548" spans="16:17" x14ac:dyDescent="0.4">
      <c r="P548" s="511"/>
      <c r="Q548" s="511"/>
    </row>
    <row r="549" spans="16:17" x14ac:dyDescent="0.4">
      <c r="P549" s="511"/>
      <c r="Q549" s="511"/>
    </row>
    <row r="550" spans="16:17" x14ac:dyDescent="0.4">
      <c r="P550" s="511"/>
      <c r="Q550" s="511"/>
    </row>
    <row r="551" spans="16:17" x14ac:dyDescent="0.4">
      <c r="P551" s="511"/>
      <c r="Q551" s="511"/>
    </row>
  </sheetData>
  <mergeCells count="2">
    <mergeCell ref="B2:I2"/>
    <mergeCell ref="J2:S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NetworkCalc.NetworkCalc">
                <anchor moveWithCells="1">
                  <from>
                    <xdr:col>1</xdr:col>
                    <xdr:colOff>65314</xdr:colOff>
                    <xdr:row>0</xdr:row>
                    <xdr:rowOff>76200</xdr:rowOff>
                  </from>
                  <to>
                    <xdr:col>1</xdr:col>
                    <xdr:colOff>598714</xdr:colOff>
                    <xdr:row>0</xdr:row>
                    <xdr:rowOff>332014</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I352"/>
  <sheetViews>
    <sheetView view="pageBreakPreview" zoomScale="80" zoomScaleNormal="100" zoomScaleSheetLayoutView="80" workbookViewId="0">
      <selection activeCell="B1" sqref="B1"/>
    </sheetView>
  </sheetViews>
  <sheetFormatPr defaultColWidth="9.15234375" defaultRowHeight="12.9" x14ac:dyDescent="0.35"/>
  <cols>
    <col min="1" max="1" width="1.4609375" style="101" customWidth="1"/>
    <col min="2" max="2" width="14.4609375" style="101" customWidth="1"/>
    <col min="3" max="3" width="19" style="108" customWidth="1"/>
    <col min="4" max="4" width="67.4609375" style="101" customWidth="1"/>
    <col min="5" max="7" width="16" style="101" customWidth="1"/>
    <col min="8" max="25" width="14.4609375" style="200" customWidth="1"/>
    <col min="26" max="111" width="14.4609375" style="101" customWidth="1"/>
    <col min="112" max="16384" width="9.15234375" style="101"/>
  </cols>
  <sheetData>
    <row r="1" spans="1:113" ht="13.3" thickBot="1" x14ac:dyDescent="0.4">
      <c r="A1" s="98"/>
      <c r="B1" s="98"/>
      <c r="C1" s="98"/>
      <c r="D1" s="122"/>
      <c r="E1" s="99"/>
      <c r="F1" s="99"/>
      <c r="G1" s="99"/>
      <c r="H1" s="107"/>
      <c r="I1" s="107"/>
      <c r="J1" s="107"/>
      <c r="K1" s="192"/>
      <c r="L1" s="192"/>
      <c r="M1" s="192"/>
      <c r="N1" s="192"/>
      <c r="O1" s="192"/>
      <c r="P1" s="192"/>
      <c r="Q1" s="192"/>
      <c r="R1" s="192"/>
      <c r="S1" s="192"/>
      <c r="T1" s="192"/>
      <c r="U1" s="192"/>
      <c r="V1" s="192"/>
      <c r="W1" s="192"/>
      <c r="X1" s="192"/>
      <c r="Y1" s="192"/>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00"/>
      <c r="BY1" s="100"/>
      <c r="BZ1" s="100"/>
      <c r="CA1" s="100"/>
      <c r="CB1" s="100"/>
      <c r="CC1" s="100"/>
      <c r="CD1" s="100"/>
      <c r="CE1" s="100"/>
      <c r="CF1" s="100"/>
      <c r="CG1" s="100"/>
      <c r="CH1" s="100"/>
      <c r="CI1" s="100"/>
      <c r="CJ1" s="100"/>
      <c r="CK1" s="100"/>
      <c r="CL1" s="100"/>
      <c r="CM1" s="100"/>
      <c r="CN1" s="100"/>
      <c r="CO1" s="100"/>
      <c r="CP1" s="100"/>
      <c r="CQ1" s="100"/>
      <c r="CR1" s="100"/>
      <c r="CS1" s="100"/>
      <c r="CT1" s="100"/>
      <c r="CU1" s="100"/>
      <c r="CV1" s="100"/>
      <c r="CW1" s="100"/>
      <c r="CX1" s="100"/>
      <c r="CY1" s="100"/>
      <c r="CZ1" s="100"/>
    </row>
    <row r="2" spans="1:113" ht="43.75" x14ac:dyDescent="0.4">
      <c r="A2" s="98"/>
      <c r="B2" s="77" t="s">
        <v>582</v>
      </c>
      <c r="D2" s="77"/>
      <c r="E2" s="598" t="s">
        <v>621</v>
      </c>
      <c r="F2" s="626" t="s">
        <v>598</v>
      </c>
      <c r="G2" s="627" t="s">
        <v>4</v>
      </c>
      <c r="H2" s="627" t="s">
        <v>630</v>
      </c>
      <c r="I2" s="627" t="s">
        <v>599</v>
      </c>
      <c r="J2" s="627" t="s">
        <v>601</v>
      </c>
      <c r="K2" s="627" t="s">
        <v>602</v>
      </c>
      <c r="L2" s="627" t="s">
        <v>600</v>
      </c>
      <c r="M2" s="627" t="s">
        <v>618</v>
      </c>
      <c r="N2" s="627" t="s">
        <v>0</v>
      </c>
      <c r="O2" s="627" t="s">
        <v>632</v>
      </c>
      <c r="P2" s="627" t="s">
        <v>484</v>
      </c>
      <c r="Q2" s="627" t="s">
        <v>30</v>
      </c>
      <c r="R2" s="627" t="s">
        <v>633</v>
      </c>
      <c r="S2" s="627" t="s">
        <v>634</v>
      </c>
      <c r="T2" s="627" t="s">
        <v>635</v>
      </c>
      <c r="U2" s="627" t="s">
        <v>636</v>
      </c>
      <c r="V2" s="628" t="s">
        <v>637</v>
      </c>
      <c r="W2" s="438"/>
      <c r="X2" s="101"/>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c r="AY2" s="100"/>
      <c r="AZ2" s="100"/>
      <c r="BA2" s="100"/>
      <c r="BB2" s="100"/>
      <c r="BC2" s="100"/>
      <c r="BD2" s="100"/>
      <c r="BE2" s="100"/>
      <c r="BF2" s="100"/>
      <c r="BG2" s="100"/>
      <c r="BH2" s="100"/>
      <c r="BI2" s="100"/>
      <c r="BJ2" s="100"/>
      <c r="BK2" s="100"/>
      <c r="BL2" s="100"/>
      <c r="BM2" s="100"/>
      <c r="BN2" s="100"/>
      <c r="BO2" s="100"/>
      <c r="BP2" s="100"/>
      <c r="BQ2" s="100"/>
      <c r="BR2" s="100"/>
      <c r="BS2" s="100"/>
      <c r="BT2" s="100"/>
      <c r="BU2" s="100"/>
      <c r="BV2" s="100"/>
      <c r="BW2" s="100"/>
      <c r="BX2" s="100"/>
      <c r="BY2" s="100"/>
      <c r="BZ2" s="100"/>
      <c r="CA2" s="100"/>
      <c r="CB2" s="100"/>
      <c r="CC2" s="100"/>
      <c r="CD2" s="100"/>
      <c r="CE2" s="100"/>
      <c r="CF2" s="100"/>
      <c r="CG2" s="100"/>
      <c r="CH2" s="100"/>
      <c r="CI2" s="100"/>
      <c r="CJ2" s="100"/>
      <c r="CK2" s="100"/>
      <c r="CL2" s="100"/>
      <c r="CM2" s="100"/>
      <c r="CN2" s="100"/>
      <c r="CO2" s="100"/>
      <c r="CP2" s="100"/>
      <c r="CQ2" s="100"/>
      <c r="CR2" s="100"/>
      <c r="CS2" s="100"/>
      <c r="CT2" s="100"/>
      <c r="CU2" s="100"/>
      <c r="CV2" s="100"/>
      <c r="CW2" s="100"/>
      <c r="CX2" s="100"/>
    </row>
    <row r="3" spans="1:113" ht="14.6" x14ac:dyDescent="0.4">
      <c r="A3" s="98"/>
      <c r="C3" s="474"/>
      <c r="D3" s="187"/>
      <c r="E3" s="99"/>
      <c r="F3" s="629"/>
      <c r="G3" s="482" t="s">
        <v>6</v>
      </c>
      <c r="H3" s="482" t="s">
        <v>639</v>
      </c>
      <c r="I3" s="482" t="s">
        <v>638</v>
      </c>
      <c r="J3" s="482" t="s">
        <v>638</v>
      </c>
      <c r="K3" s="482" t="s">
        <v>638</v>
      </c>
      <c r="L3" s="482" t="s">
        <v>638</v>
      </c>
      <c r="M3" s="482" t="s">
        <v>11</v>
      </c>
      <c r="N3" s="482" t="s">
        <v>11</v>
      </c>
      <c r="O3" s="482" t="s">
        <v>7</v>
      </c>
      <c r="P3" s="482" t="s">
        <v>10</v>
      </c>
      <c r="Q3" s="482"/>
      <c r="R3" s="482" t="s">
        <v>604</v>
      </c>
      <c r="S3" s="483" t="str">
        <f>E60&amp;" $m"</f>
        <v>2056 $m</v>
      </c>
      <c r="T3" s="482" t="str">
        <f>E60&amp;" $m"</f>
        <v>2056 $m</v>
      </c>
      <c r="U3" s="482" t="str">
        <f>E60&amp;" $m/tonne"</f>
        <v>2056 $m/tonne</v>
      </c>
      <c r="V3" s="655" t="s">
        <v>603</v>
      </c>
      <c r="X3" s="101"/>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row>
    <row r="4" spans="1:113" ht="15" thickBot="1" x14ac:dyDescent="0.45">
      <c r="A4" s="98"/>
      <c r="E4" s="105"/>
      <c r="F4" s="581">
        <f>E5</f>
        <v>683</v>
      </c>
      <c r="G4" s="582">
        <f>E14*1.60934</f>
        <v>127.7976894</v>
      </c>
      <c r="H4" s="583">
        <f>E68</f>
        <v>3.83</v>
      </c>
      <c r="I4" s="584">
        <f>E61</f>
        <v>4</v>
      </c>
      <c r="J4" s="584">
        <f>E60</f>
        <v>2056</v>
      </c>
      <c r="K4" s="584">
        <f>J4+I4</f>
        <v>2060</v>
      </c>
      <c r="L4" s="584">
        <f>E62</f>
        <v>12</v>
      </c>
      <c r="M4" s="582">
        <f>ROUND(E77,1)</f>
        <v>14.6</v>
      </c>
      <c r="N4" s="585">
        <f>ROUND(E79,1)</f>
        <v>13.2</v>
      </c>
      <c r="O4" s="582">
        <f>E81</f>
        <v>0</v>
      </c>
      <c r="P4" s="584">
        <f>E18</f>
        <v>12</v>
      </c>
      <c r="Q4" s="586">
        <f>E12</f>
        <v>5</v>
      </c>
      <c r="R4" s="587">
        <f>S4*1000000/(P4*(G4/1.60934))</f>
        <v>187489.13955520556</v>
      </c>
      <c r="S4" s="588">
        <f>(E24*(1+$E$52)^(E60-2011))/1000000</f>
        <v>178.66215086494648</v>
      </c>
      <c r="T4" s="588">
        <f>(E25*(1+$E$52)^(E60-2011))/1000000</f>
        <v>52.259512711240667</v>
      </c>
      <c r="U4" s="589">
        <f>((S4+T4)*1000000)/(E70)</f>
        <v>5.0244052127107732</v>
      </c>
      <c r="V4" s="590">
        <f>ROUND(Main!E10*(1+Main!E52)^(E60-2011),2)</f>
        <v>8.48</v>
      </c>
      <c r="X4" s="101"/>
      <c r="Y4" s="100"/>
      <c r="Z4" s="100"/>
      <c r="AA4" s="100"/>
      <c r="AB4" s="100"/>
      <c r="AC4" s="100"/>
      <c r="AD4" s="100"/>
      <c r="AE4" s="100"/>
      <c r="AF4" s="100"/>
      <c r="AG4" s="100"/>
      <c r="AH4" s="100"/>
      <c r="AI4" s="100"/>
      <c r="AJ4" s="100"/>
      <c r="AK4" s="100"/>
      <c r="AL4" s="100"/>
      <c r="AM4" s="100"/>
      <c r="AN4" s="100"/>
      <c r="AO4" s="100"/>
      <c r="AP4" s="100"/>
      <c r="AQ4" s="100"/>
      <c r="AR4" s="100"/>
      <c r="AS4" s="100"/>
      <c r="AT4" s="100"/>
      <c r="AU4" s="100"/>
      <c r="AV4" s="100"/>
      <c r="AW4" s="100"/>
      <c r="AX4" s="100"/>
      <c r="AY4" s="100"/>
      <c r="AZ4" s="100"/>
      <c r="BA4" s="100"/>
      <c r="BB4" s="100"/>
      <c r="BC4" s="100"/>
      <c r="BD4" s="100"/>
      <c r="BE4" s="100"/>
      <c r="BF4" s="100"/>
      <c r="BG4" s="100"/>
      <c r="BH4" s="100"/>
      <c r="BI4" s="100"/>
      <c r="BJ4" s="100"/>
      <c r="BK4" s="100"/>
      <c r="BL4" s="100"/>
      <c r="BM4" s="100"/>
      <c r="BN4" s="100"/>
      <c r="BO4" s="100"/>
      <c r="BP4" s="100"/>
      <c r="BQ4" s="100"/>
      <c r="BR4" s="100"/>
      <c r="BS4" s="100"/>
      <c r="BT4" s="100"/>
      <c r="BU4" s="100"/>
      <c r="BV4" s="100"/>
      <c r="BW4" s="100"/>
      <c r="BX4" s="100"/>
      <c r="BY4" s="100"/>
      <c r="BZ4" s="100"/>
      <c r="CA4" s="100"/>
      <c r="CB4" s="100"/>
      <c r="CC4" s="100"/>
      <c r="CD4" s="100"/>
      <c r="CE4" s="100"/>
      <c r="CF4" s="100"/>
      <c r="CG4" s="100"/>
      <c r="CH4" s="100"/>
      <c r="CI4" s="100"/>
      <c r="CJ4" s="100"/>
      <c r="CK4" s="100"/>
      <c r="CL4" s="100"/>
      <c r="CM4" s="100"/>
      <c r="CN4" s="100"/>
      <c r="CO4" s="100"/>
      <c r="CP4" s="100"/>
      <c r="CQ4" s="100"/>
      <c r="CR4" s="100"/>
      <c r="CS4" s="100"/>
      <c r="CT4" s="100"/>
      <c r="CU4" s="100"/>
      <c r="CV4" s="100"/>
      <c r="CW4" s="100"/>
      <c r="CX4" s="100"/>
    </row>
    <row r="5" spans="1:113" x14ac:dyDescent="0.35">
      <c r="A5" s="98"/>
      <c r="E5" s="99">
        <v>683</v>
      </c>
      <c r="G5" s="105"/>
      <c r="H5" s="107"/>
      <c r="I5" s="107"/>
      <c r="J5" s="107"/>
      <c r="K5" s="192"/>
      <c r="L5" s="192"/>
      <c r="Q5" s="192"/>
      <c r="R5" s="192"/>
      <c r="S5" s="192"/>
      <c r="T5" s="192"/>
      <c r="U5" s="192"/>
      <c r="V5" s="192"/>
      <c r="W5" s="192"/>
      <c r="X5" s="192"/>
      <c r="Y5" s="192"/>
      <c r="Z5" s="100"/>
      <c r="AA5" s="100"/>
      <c r="AB5" s="100"/>
      <c r="AC5" s="100"/>
      <c r="AD5" s="100"/>
      <c r="AE5" s="100"/>
      <c r="AF5" s="100"/>
      <c r="AG5" s="100"/>
      <c r="AH5" s="100"/>
      <c r="AI5" s="100"/>
      <c r="AJ5" s="100"/>
      <c r="AK5" s="100"/>
      <c r="AL5" s="100"/>
      <c r="AM5" s="100"/>
      <c r="AN5" s="100"/>
      <c r="AO5" s="100"/>
      <c r="AP5" s="100"/>
      <c r="AQ5" s="100"/>
      <c r="AR5" s="100"/>
      <c r="AS5" s="100"/>
      <c r="AT5" s="100"/>
      <c r="AU5" s="100"/>
      <c r="AV5" s="100"/>
      <c r="AW5" s="100"/>
      <c r="AX5" s="100"/>
      <c r="AY5" s="100"/>
      <c r="AZ5" s="100"/>
      <c r="BA5" s="100"/>
      <c r="BB5" s="100"/>
      <c r="BC5" s="100"/>
      <c r="BD5" s="100"/>
      <c r="BE5" s="100"/>
      <c r="BF5" s="100"/>
      <c r="BG5" s="100"/>
      <c r="BH5" s="100"/>
      <c r="BI5" s="100"/>
      <c r="BJ5" s="100"/>
      <c r="BK5" s="100"/>
      <c r="BL5" s="100"/>
      <c r="BM5" s="100"/>
      <c r="BN5" s="100"/>
      <c r="BO5" s="100"/>
      <c r="BP5" s="100"/>
      <c r="BQ5" s="100"/>
      <c r="BR5" s="100"/>
      <c r="BS5" s="100"/>
      <c r="BT5" s="100"/>
      <c r="BU5" s="100"/>
      <c r="BV5" s="100"/>
      <c r="BW5" s="100"/>
      <c r="BX5" s="100"/>
      <c r="BY5" s="100"/>
      <c r="BZ5" s="100"/>
      <c r="CA5" s="100"/>
      <c r="CB5" s="100"/>
      <c r="CC5" s="100"/>
      <c r="CD5" s="100"/>
      <c r="CE5" s="100"/>
      <c r="CF5" s="100"/>
      <c r="CG5" s="100"/>
      <c r="CH5" s="100"/>
      <c r="CI5" s="100"/>
      <c r="CJ5" s="100"/>
      <c r="CK5" s="100"/>
      <c r="CL5" s="100"/>
      <c r="CM5" s="100"/>
      <c r="CN5" s="100"/>
      <c r="CO5" s="100"/>
      <c r="CP5" s="100"/>
      <c r="CQ5" s="100"/>
      <c r="CR5" s="100"/>
      <c r="CS5" s="100"/>
      <c r="CT5" s="100"/>
      <c r="CU5" s="100"/>
      <c r="CV5" s="100"/>
      <c r="CW5" s="100"/>
      <c r="CX5" s="100"/>
      <c r="CY5" s="100"/>
      <c r="CZ5" s="100"/>
    </row>
    <row r="6" spans="1:113" x14ac:dyDescent="0.35">
      <c r="A6" s="98"/>
      <c r="G6" s="105"/>
      <c r="H6" s="107"/>
      <c r="I6" s="107"/>
      <c r="J6" s="107"/>
      <c r="K6" s="192"/>
      <c r="L6" s="192"/>
      <c r="M6" s="192"/>
      <c r="N6" s="192"/>
      <c r="O6" s="192"/>
      <c r="T6" s="192"/>
      <c r="U6" s="192"/>
      <c r="V6" s="192"/>
      <c r="W6" s="528"/>
      <c r="X6" s="192"/>
      <c r="Y6" s="192"/>
      <c r="Z6" s="192"/>
      <c r="AA6" s="192"/>
      <c r="AB6" s="192"/>
      <c r="AC6" s="100"/>
      <c r="AD6" s="100"/>
      <c r="AE6" s="100"/>
      <c r="AF6" s="100"/>
      <c r="AG6" s="100"/>
      <c r="AH6" s="100"/>
      <c r="AI6" s="100"/>
      <c r="AJ6" s="100"/>
      <c r="AK6" s="100"/>
      <c r="AL6" s="100"/>
      <c r="AM6" s="100"/>
      <c r="AN6" s="100"/>
      <c r="AO6" s="100"/>
      <c r="AP6" s="100"/>
      <c r="AQ6" s="100"/>
      <c r="AR6" s="100"/>
      <c r="AS6" s="100"/>
      <c r="AT6" s="100"/>
      <c r="AU6" s="100"/>
      <c r="AV6" s="100"/>
      <c r="AW6" s="100"/>
      <c r="AX6" s="100"/>
      <c r="AY6" s="100"/>
      <c r="AZ6" s="100"/>
      <c r="BA6" s="100"/>
      <c r="BB6" s="100"/>
      <c r="BC6" s="100"/>
      <c r="BD6" s="100"/>
      <c r="BE6" s="100"/>
      <c r="BF6" s="100"/>
      <c r="BG6" s="100"/>
      <c r="BH6" s="100"/>
      <c r="BI6" s="100"/>
      <c r="BJ6" s="100"/>
      <c r="BK6" s="100"/>
      <c r="BL6" s="100"/>
      <c r="BM6" s="100"/>
      <c r="BN6" s="100"/>
      <c r="BO6" s="100"/>
      <c r="BP6" s="100"/>
      <c r="BQ6" s="100"/>
      <c r="BR6" s="100"/>
      <c r="BS6" s="100"/>
      <c r="BT6" s="100"/>
      <c r="BU6" s="100"/>
      <c r="BV6" s="100"/>
      <c r="BW6" s="100"/>
      <c r="BX6" s="100"/>
      <c r="BY6" s="100"/>
      <c r="BZ6" s="100"/>
      <c r="CA6" s="100"/>
      <c r="CB6" s="100"/>
      <c r="CC6" s="100"/>
      <c r="CD6" s="100"/>
      <c r="CE6" s="100"/>
      <c r="CF6" s="100"/>
      <c r="CG6" s="100"/>
      <c r="CH6" s="100"/>
      <c r="CI6" s="100"/>
      <c r="CJ6" s="100"/>
      <c r="CK6" s="100"/>
      <c r="CL6" s="100"/>
      <c r="CM6" s="100"/>
      <c r="CN6" s="100"/>
      <c r="CO6" s="100"/>
      <c r="CP6" s="100"/>
      <c r="CQ6" s="100"/>
      <c r="CR6" s="100"/>
      <c r="CS6" s="100"/>
      <c r="CT6" s="100"/>
      <c r="CU6" s="100"/>
      <c r="CV6" s="100"/>
      <c r="CW6" s="100"/>
      <c r="CX6" s="100"/>
      <c r="CY6" s="100"/>
      <c r="CZ6" s="100"/>
      <c r="DA6" s="100"/>
      <c r="DB6" s="100"/>
      <c r="DC6" s="100"/>
    </row>
    <row r="7" spans="1:113" ht="13.3" thickBot="1" x14ac:dyDescent="0.4">
      <c r="A7" s="98"/>
      <c r="G7" s="105"/>
      <c r="H7" s="107"/>
      <c r="M7" s="192"/>
      <c r="N7" s="192"/>
      <c r="O7" s="192"/>
      <c r="P7" s="192"/>
      <c r="Q7" s="192"/>
      <c r="R7" s="192"/>
      <c r="S7" s="192"/>
      <c r="T7" s="192"/>
      <c r="X7" s="52" t="s">
        <v>253</v>
      </c>
      <c r="Z7" s="192"/>
      <c r="AA7" s="192"/>
      <c r="AB7" s="52" t="s">
        <v>300</v>
      </c>
      <c r="AC7" s="192"/>
      <c r="AD7" s="52" t="s">
        <v>300</v>
      </c>
      <c r="AE7" s="192"/>
      <c r="AF7" s="192"/>
      <c r="AG7" s="192"/>
      <c r="AH7" s="192"/>
      <c r="AI7" s="100"/>
      <c r="AJ7" s="100"/>
      <c r="AK7" s="100"/>
      <c r="AL7" s="100"/>
      <c r="AM7" s="100"/>
      <c r="AN7" s="100"/>
      <c r="AO7" s="100"/>
      <c r="AP7" s="100"/>
      <c r="AQ7" s="100"/>
      <c r="AR7" s="100"/>
      <c r="AS7" s="100"/>
      <c r="AT7" s="100"/>
      <c r="AU7" s="100"/>
      <c r="AV7" s="100"/>
      <c r="AW7" s="100"/>
      <c r="AX7" s="100"/>
      <c r="AY7" s="100"/>
      <c r="AZ7" s="100"/>
      <c r="BA7" s="100"/>
      <c r="BB7" s="100"/>
      <c r="BC7" s="100"/>
      <c r="BD7" s="100"/>
      <c r="BE7" s="100"/>
      <c r="BF7" s="100"/>
      <c r="BG7" s="100"/>
      <c r="BH7" s="100"/>
      <c r="BI7" s="100"/>
      <c r="BJ7" s="100"/>
      <c r="BK7" s="100"/>
      <c r="BL7" s="100"/>
      <c r="BM7" s="100"/>
      <c r="BN7" s="100"/>
      <c r="BO7" s="100"/>
      <c r="BP7" s="100"/>
      <c r="BQ7" s="100"/>
      <c r="BR7" s="100"/>
      <c r="BS7" s="100"/>
      <c r="BT7" s="100"/>
      <c r="BU7" s="100"/>
      <c r="BV7" s="100"/>
      <c r="BW7" s="100"/>
      <c r="BX7" s="100"/>
      <c r="BY7" s="100"/>
      <c r="BZ7" s="100"/>
      <c r="CA7" s="100"/>
      <c r="CB7" s="100"/>
      <c r="CC7" s="100"/>
      <c r="CD7" s="100"/>
      <c r="CE7" s="100"/>
      <c r="CF7" s="100"/>
      <c r="CG7" s="100"/>
      <c r="CH7" s="100"/>
      <c r="CI7" s="100"/>
      <c r="CJ7" s="100"/>
      <c r="CK7" s="100"/>
      <c r="CL7" s="100"/>
      <c r="CM7" s="100"/>
      <c r="CN7" s="100"/>
      <c r="CO7" s="100"/>
      <c r="CP7" s="100"/>
      <c r="CQ7" s="100"/>
      <c r="CR7" s="100"/>
      <c r="CS7" s="100"/>
      <c r="CT7" s="100"/>
      <c r="CU7" s="100"/>
      <c r="CV7" s="100"/>
      <c r="CW7" s="100"/>
      <c r="CX7" s="100"/>
      <c r="CY7" s="100"/>
      <c r="CZ7" s="100"/>
      <c r="DA7" s="100"/>
      <c r="DB7" s="100"/>
      <c r="DC7" s="100"/>
      <c r="DD7" s="100"/>
      <c r="DE7" s="100"/>
      <c r="DF7" s="100"/>
      <c r="DG7" s="100"/>
      <c r="DH7" s="100"/>
      <c r="DI7" s="100"/>
    </row>
    <row r="8" spans="1:113" x14ac:dyDescent="0.35">
      <c r="A8" s="98"/>
      <c r="B8" s="231" t="s">
        <v>150</v>
      </c>
      <c r="C8" s="422" t="s">
        <v>513</v>
      </c>
      <c r="D8" s="422" t="s">
        <v>518</v>
      </c>
      <c r="E8" s="423" t="s">
        <v>421</v>
      </c>
      <c r="F8" s="423" t="str">
        <f>E60&amp;"$/tonne"</f>
        <v>2056$/tonne</v>
      </c>
      <c r="G8" s="423" t="str">
        <f>(E60+E61)&amp;"$/tonne"</f>
        <v>2060$/tonne</v>
      </c>
      <c r="H8" s="107"/>
      <c r="I8" s="124" t="s">
        <v>517</v>
      </c>
      <c r="J8" s="107"/>
      <c r="K8" s="192"/>
      <c r="L8" s="192"/>
      <c r="M8" s="425"/>
      <c r="N8" s="425"/>
      <c r="O8" s="425"/>
      <c r="P8" s="124" t="s">
        <v>559</v>
      </c>
      <c r="Q8" s="107"/>
      <c r="R8" s="192"/>
      <c r="S8" s="192"/>
      <c r="T8" s="425"/>
      <c r="U8" s="425"/>
      <c r="V8" s="425"/>
      <c r="X8" s="193" t="s">
        <v>58</v>
      </c>
      <c r="Y8" s="194"/>
      <c r="Z8" s="194"/>
      <c r="AA8" s="194"/>
      <c r="AB8" s="52" t="s">
        <v>306</v>
      </c>
      <c r="AC8" s="192"/>
      <c r="AD8" s="52" t="s">
        <v>312</v>
      </c>
      <c r="AE8" s="192"/>
      <c r="AF8" s="192"/>
      <c r="AG8" s="192"/>
      <c r="AH8" s="192"/>
      <c r="AI8" s="100"/>
      <c r="AJ8" s="100"/>
      <c r="AK8" s="100"/>
      <c r="AL8" s="100"/>
      <c r="AM8" s="100"/>
      <c r="AN8" s="100"/>
      <c r="AO8" s="100"/>
      <c r="AP8" s="100"/>
      <c r="AQ8" s="100"/>
      <c r="AR8" s="100"/>
      <c r="AS8" s="100"/>
      <c r="AT8" s="100"/>
      <c r="AU8" s="100"/>
      <c r="AV8" s="100"/>
      <c r="AW8" s="100"/>
      <c r="AX8" s="100"/>
      <c r="AY8" s="100"/>
      <c r="AZ8" s="100"/>
      <c r="BA8" s="100"/>
      <c r="BB8" s="100"/>
      <c r="BC8" s="100"/>
      <c r="BD8" s="100"/>
      <c r="BE8" s="100"/>
      <c r="BF8" s="100"/>
      <c r="BG8" s="100"/>
      <c r="BH8" s="100"/>
      <c r="BI8" s="100"/>
      <c r="BJ8" s="100"/>
      <c r="BK8" s="100"/>
      <c r="BL8" s="100"/>
      <c r="BM8" s="100"/>
      <c r="BN8" s="100"/>
      <c r="BO8" s="100"/>
      <c r="BP8" s="100"/>
      <c r="BQ8" s="100"/>
      <c r="BR8" s="100"/>
      <c r="BS8" s="100"/>
      <c r="BT8" s="100"/>
      <c r="BU8" s="100"/>
      <c r="BV8" s="100"/>
      <c r="BW8" s="100"/>
      <c r="BX8" s="100"/>
      <c r="BY8" s="100"/>
      <c r="BZ8" s="100"/>
      <c r="CA8" s="100"/>
      <c r="CB8" s="100"/>
      <c r="CC8" s="100"/>
      <c r="CD8" s="100"/>
      <c r="CE8" s="100"/>
      <c r="CF8" s="100"/>
      <c r="CG8" s="100"/>
      <c r="CH8" s="100"/>
      <c r="CI8" s="100"/>
      <c r="CJ8" s="100"/>
      <c r="CK8" s="100"/>
      <c r="CL8" s="100"/>
      <c r="CM8" s="100"/>
      <c r="CN8" s="100"/>
      <c r="CO8" s="100"/>
      <c r="CP8" s="100"/>
      <c r="CQ8" s="100"/>
      <c r="CR8" s="100"/>
      <c r="CS8" s="100"/>
      <c r="CT8" s="100"/>
      <c r="CU8" s="100"/>
      <c r="CV8" s="100"/>
      <c r="CW8" s="100"/>
      <c r="CX8" s="100"/>
      <c r="CY8" s="100"/>
      <c r="CZ8" s="100"/>
      <c r="DA8" s="100"/>
      <c r="DB8" s="100"/>
      <c r="DC8" s="100"/>
      <c r="DD8" s="100"/>
      <c r="DE8" s="100"/>
      <c r="DF8" s="100"/>
      <c r="DG8" s="100"/>
      <c r="DH8" s="100"/>
      <c r="DI8" s="100"/>
    </row>
    <row r="9" spans="1:113" x14ac:dyDescent="0.35">
      <c r="A9" s="98"/>
      <c r="B9" s="131"/>
      <c r="C9" s="98"/>
      <c r="D9" s="161"/>
      <c r="E9" s="161"/>
      <c r="F9" s="162" t="s">
        <v>562</v>
      </c>
      <c r="G9" s="162" t="s">
        <v>563</v>
      </c>
      <c r="H9" s="107"/>
      <c r="I9" s="455" t="s">
        <v>641</v>
      </c>
      <c r="J9" s="427" t="s">
        <v>231</v>
      </c>
      <c r="K9" s="427" t="s">
        <v>231</v>
      </c>
      <c r="L9" s="427" t="s">
        <v>231</v>
      </c>
      <c r="M9" s="427" t="s">
        <v>568</v>
      </c>
      <c r="N9" s="427" t="s">
        <v>569</v>
      </c>
      <c r="O9" s="425"/>
      <c r="P9" s="455" t="s">
        <v>564</v>
      </c>
      <c r="Q9" s="427" t="s">
        <v>231</v>
      </c>
      <c r="R9" s="427" t="s">
        <v>231</v>
      </c>
      <c r="S9" s="427" t="s">
        <v>231</v>
      </c>
      <c r="T9" s="427" t="s">
        <v>566</v>
      </c>
      <c r="U9" s="427" t="s">
        <v>568</v>
      </c>
      <c r="V9" s="427" t="s">
        <v>569</v>
      </c>
      <c r="X9" s="195" t="s">
        <v>4</v>
      </c>
      <c r="Y9" s="195" t="s">
        <v>8</v>
      </c>
      <c r="Z9" s="195" t="s">
        <v>9</v>
      </c>
      <c r="AA9" s="195" t="s">
        <v>25</v>
      </c>
      <c r="AB9" s="240" t="s">
        <v>276</v>
      </c>
      <c r="AC9" s="209" t="s">
        <v>277</v>
      </c>
      <c r="AD9" s="240" t="s">
        <v>332</v>
      </c>
      <c r="AE9" s="252" t="s">
        <v>331</v>
      </c>
      <c r="AF9" s="253"/>
      <c r="AG9" s="192"/>
      <c r="AH9" s="192"/>
      <c r="AI9" s="100"/>
      <c r="AJ9" s="100"/>
      <c r="AK9" s="100"/>
      <c r="AL9" s="100"/>
      <c r="AM9" s="100"/>
      <c r="AN9" s="100"/>
      <c r="AO9" s="100"/>
      <c r="AP9" s="100"/>
      <c r="AQ9" s="100"/>
      <c r="AR9" s="100"/>
      <c r="AS9" s="100"/>
      <c r="AT9" s="100"/>
      <c r="AU9" s="100"/>
      <c r="AV9" s="100"/>
      <c r="AW9" s="100"/>
      <c r="AX9" s="100"/>
      <c r="AY9" s="100"/>
      <c r="AZ9" s="100"/>
      <c r="BA9" s="100"/>
      <c r="BB9" s="100"/>
      <c r="BC9" s="100"/>
      <c r="BD9" s="100"/>
      <c r="BE9" s="100"/>
      <c r="BF9" s="100"/>
      <c r="BG9" s="100"/>
      <c r="BH9" s="100"/>
      <c r="BI9" s="100"/>
      <c r="BJ9" s="100"/>
      <c r="BK9" s="100"/>
      <c r="BL9" s="100"/>
      <c r="BM9" s="100"/>
      <c r="BN9" s="100"/>
      <c r="BO9" s="100"/>
      <c r="BP9" s="100"/>
      <c r="BQ9" s="100"/>
      <c r="BR9" s="100"/>
      <c r="BS9" s="100"/>
      <c r="BT9" s="100"/>
      <c r="BU9" s="100"/>
      <c r="BV9" s="100"/>
      <c r="BW9" s="100"/>
      <c r="BX9" s="100"/>
      <c r="BY9" s="100"/>
      <c r="BZ9" s="100"/>
      <c r="CA9" s="100"/>
      <c r="CB9" s="100"/>
      <c r="CC9" s="100"/>
      <c r="CD9" s="100"/>
      <c r="CE9" s="100"/>
      <c r="CF9" s="100"/>
      <c r="CG9" s="100"/>
      <c r="CH9" s="100"/>
      <c r="CI9" s="100"/>
      <c r="CJ9" s="100"/>
      <c r="CK9" s="100"/>
      <c r="CL9" s="100"/>
      <c r="CM9" s="100"/>
      <c r="CN9" s="100"/>
      <c r="CO9" s="100"/>
      <c r="CP9" s="100"/>
      <c r="CQ9" s="100"/>
      <c r="CR9" s="100"/>
      <c r="CS9" s="100"/>
      <c r="CT9" s="100"/>
      <c r="CU9" s="100"/>
      <c r="CV9" s="100"/>
      <c r="CW9" s="100"/>
      <c r="CX9" s="100"/>
      <c r="CY9" s="100"/>
      <c r="CZ9" s="100"/>
      <c r="DA9" s="100"/>
      <c r="DB9" s="100"/>
      <c r="DC9" s="100"/>
      <c r="DD9" s="100"/>
      <c r="DE9" s="100"/>
      <c r="DF9" s="100"/>
      <c r="DG9" s="100"/>
      <c r="DH9" s="100"/>
      <c r="DI9" s="100"/>
    </row>
    <row r="10" spans="1:113" x14ac:dyDescent="0.35">
      <c r="A10" s="98"/>
      <c r="B10" s="131"/>
      <c r="C10" s="98"/>
      <c r="D10" s="166" t="s">
        <v>249</v>
      </c>
      <c r="E10" s="631">
        <v>3.48</v>
      </c>
      <c r="F10" s="544">
        <f>ROUND(E10*E108,2)</f>
        <v>8.48</v>
      </c>
      <c r="G10" s="544">
        <f>ROUND(E10*(1+E52)^(E60+E61-2011),2)</f>
        <v>9.18</v>
      </c>
      <c r="H10" s="107"/>
      <c r="I10" s="456" t="s">
        <v>642</v>
      </c>
      <c r="J10" s="428" t="s">
        <v>519</v>
      </c>
      <c r="K10" s="428" t="str">
        <f>F9</f>
        <v>first yr of proj</v>
      </c>
      <c r="L10" s="428" t="str">
        <f>G9</f>
        <v>first yr of transp</v>
      </c>
      <c r="M10" s="459" t="s">
        <v>567</v>
      </c>
      <c r="N10" s="459" t="s">
        <v>567</v>
      </c>
      <c r="O10" s="438"/>
      <c r="P10" s="456" t="s">
        <v>644</v>
      </c>
      <c r="Q10" s="428" t="s">
        <v>519</v>
      </c>
      <c r="R10" s="428" t="str">
        <f>F9</f>
        <v>first yr of proj</v>
      </c>
      <c r="S10" s="428" t="str">
        <f>G9</f>
        <v>first yr of transp</v>
      </c>
      <c r="T10" s="459" t="s">
        <v>565</v>
      </c>
      <c r="U10" s="459" t="s">
        <v>567</v>
      </c>
      <c r="V10" s="459" t="s">
        <v>567</v>
      </c>
      <c r="X10" s="196" t="s">
        <v>5</v>
      </c>
      <c r="Y10" s="196" t="s">
        <v>3</v>
      </c>
      <c r="Z10" s="196" t="s">
        <v>10</v>
      </c>
      <c r="AA10" s="196" t="s">
        <v>26</v>
      </c>
      <c r="AB10" s="31" t="s">
        <v>283</v>
      </c>
      <c r="AC10" s="241" t="s">
        <v>278</v>
      </c>
      <c r="AD10" s="31" t="s">
        <v>330</v>
      </c>
      <c r="AE10" s="254" t="s">
        <v>333</v>
      </c>
      <c r="AF10" s="255"/>
      <c r="AG10" s="192"/>
      <c r="AH10" s="192"/>
      <c r="AI10" s="100"/>
      <c r="AJ10" s="100"/>
      <c r="AK10" s="100"/>
      <c r="AL10" s="100"/>
      <c r="AM10" s="100"/>
      <c r="AN10" s="100"/>
      <c r="AO10" s="100"/>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00"/>
      <c r="BM10" s="100"/>
      <c r="BN10" s="100"/>
      <c r="BO10" s="100"/>
      <c r="BP10" s="100"/>
      <c r="BQ10" s="100"/>
      <c r="BR10" s="100"/>
      <c r="BS10" s="100"/>
      <c r="BT10" s="100"/>
      <c r="BU10" s="100"/>
      <c r="BV10" s="100"/>
      <c r="BW10" s="100"/>
      <c r="BX10" s="100"/>
      <c r="BY10" s="100"/>
      <c r="BZ10" s="100"/>
      <c r="CA10" s="100"/>
      <c r="CB10" s="100"/>
      <c r="CC10" s="100"/>
      <c r="CD10" s="100"/>
      <c r="CE10" s="100"/>
      <c r="CF10" s="100"/>
      <c r="CG10" s="100"/>
      <c r="CH10" s="100"/>
      <c r="CI10" s="100"/>
      <c r="CJ10" s="100"/>
      <c r="CK10" s="100"/>
      <c r="CL10" s="100"/>
      <c r="CM10" s="100"/>
      <c r="CN10" s="100"/>
      <c r="CO10" s="100"/>
      <c r="CP10" s="100"/>
      <c r="CQ10" s="100"/>
      <c r="CR10" s="100"/>
      <c r="CS10" s="100"/>
      <c r="CT10" s="100"/>
      <c r="CU10" s="100"/>
      <c r="CV10" s="100"/>
      <c r="CW10" s="100"/>
      <c r="CX10" s="100"/>
      <c r="CY10" s="100"/>
      <c r="CZ10" s="100"/>
      <c r="DA10" s="100"/>
      <c r="DB10" s="100"/>
      <c r="DC10" s="100"/>
      <c r="DD10" s="100"/>
      <c r="DE10" s="100"/>
      <c r="DF10" s="100"/>
      <c r="DG10" s="100"/>
      <c r="DH10" s="100"/>
      <c r="DI10" s="100"/>
    </row>
    <row r="11" spans="1:113" ht="13.3" thickBot="1" x14ac:dyDescent="0.4">
      <c r="A11" s="98"/>
      <c r="B11" s="131"/>
      <c r="C11" s="98"/>
      <c r="D11" s="166"/>
      <c r="E11" s="544"/>
      <c r="F11" s="544"/>
      <c r="G11" s="544"/>
      <c r="H11" s="107"/>
      <c r="I11" s="457" t="s">
        <v>643</v>
      </c>
      <c r="J11" s="429" t="s">
        <v>421</v>
      </c>
      <c r="K11" s="429" t="str">
        <f>F8</f>
        <v>2056$/tonne</v>
      </c>
      <c r="L11" s="429" t="str">
        <f>G8</f>
        <v>2060$/tonne</v>
      </c>
      <c r="M11" s="429" t="s">
        <v>10</v>
      </c>
      <c r="N11" s="429" t="s">
        <v>10</v>
      </c>
      <c r="O11" s="425"/>
      <c r="P11" s="630" t="s">
        <v>560</v>
      </c>
      <c r="Q11" s="429" t="s">
        <v>421</v>
      </c>
      <c r="R11" s="429" t="str">
        <f>F8</f>
        <v>2056$/tonne</v>
      </c>
      <c r="S11" s="429" t="str">
        <f>G8</f>
        <v>2060$/tonne</v>
      </c>
      <c r="T11" s="429" t="s">
        <v>171</v>
      </c>
      <c r="U11" s="429" t="s">
        <v>10</v>
      </c>
      <c r="V11" s="429" t="s">
        <v>10</v>
      </c>
      <c r="W11" s="198"/>
      <c r="X11" s="196" t="s">
        <v>6</v>
      </c>
      <c r="Y11" s="196" t="s">
        <v>2</v>
      </c>
      <c r="Z11" s="196" t="s">
        <v>7</v>
      </c>
      <c r="AA11" s="196" t="s">
        <v>27</v>
      </c>
      <c r="AB11" s="31" t="s">
        <v>284</v>
      </c>
      <c r="AC11" s="241" t="s">
        <v>279</v>
      </c>
      <c r="AD11" s="44" t="s">
        <v>313</v>
      </c>
      <c r="AE11" s="256" t="s">
        <v>328</v>
      </c>
      <c r="AF11" s="257"/>
      <c r="AG11" s="192"/>
      <c r="AH11" s="192"/>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0"/>
      <c r="CL11" s="100"/>
      <c r="CM11" s="100"/>
      <c r="CN11" s="100"/>
      <c r="CO11" s="100"/>
      <c r="CP11" s="100"/>
      <c r="CQ11" s="100"/>
      <c r="CR11" s="100"/>
      <c r="CS11" s="100"/>
      <c r="CT11" s="100"/>
      <c r="CU11" s="100"/>
      <c r="CV11" s="100"/>
      <c r="CW11" s="100"/>
      <c r="CX11" s="100"/>
      <c r="CY11" s="100"/>
      <c r="CZ11" s="100"/>
      <c r="DA11" s="100"/>
      <c r="DB11" s="100"/>
      <c r="DC11" s="100"/>
      <c r="DD11" s="100"/>
      <c r="DE11" s="100"/>
      <c r="DF11" s="100"/>
      <c r="DG11" s="100"/>
      <c r="DH11" s="100"/>
      <c r="DI11" s="100"/>
    </row>
    <row r="12" spans="1:113" ht="13.75" thickTop="1" thickBot="1" x14ac:dyDescent="0.4">
      <c r="A12" s="98"/>
      <c r="B12" s="131"/>
      <c r="C12" s="98"/>
      <c r="D12" s="105" t="s">
        <v>30</v>
      </c>
      <c r="E12" s="632">
        <v>5</v>
      </c>
      <c r="F12" s="545"/>
      <c r="G12" s="545"/>
      <c r="H12" s="107"/>
      <c r="I12" s="454">
        <v>0</v>
      </c>
      <c r="J12" s="223">
        <v>5.38</v>
      </c>
      <c r="K12" s="223">
        <v>13.12</v>
      </c>
      <c r="L12" s="223">
        <v>14.2</v>
      </c>
      <c r="M12" s="214">
        <v>16.507107117906109</v>
      </c>
      <c r="N12" s="214">
        <v>20</v>
      </c>
      <c r="O12" s="426"/>
      <c r="P12" s="475"/>
      <c r="Q12" s="223"/>
      <c r="R12" s="223"/>
      <c r="S12" s="223"/>
      <c r="T12" s="460"/>
      <c r="U12" s="214"/>
      <c r="V12" s="214"/>
      <c r="W12" s="462"/>
      <c r="X12" s="196" t="s">
        <v>7</v>
      </c>
      <c r="Y12" s="196" t="s">
        <v>91</v>
      </c>
      <c r="Z12" s="196"/>
      <c r="AA12" s="196"/>
      <c r="AB12" s="31" t="s">
        <v>303</v>
      </c>
      <c r="AC12" s="241" t="s">
        <v>304</v>
      </c>
      <c r="AD12" s="45"/>
      <c r="AE12" s="107"/>
      <c r="AF12" s="192"/>
      <c r="AG12" s="192"/>
      <c r="AH12" s="192"/>
      <c r="AI12" s="100"/>
      <c r="AJ12" s="100"/>
      <c r="AK12" s="100"/>
      <c r="AL12" s="100"/>
      <c r="AM12" s="100"/>
      <c r="AN12" s="100"/>
      <c r="AO12" s="100"/>
      <c r="AP12" s="100"/>
      <c r="AQ12" s="100"/>
      <c r="AR12" s="100"/>
      <c r="AS12" s="100"/>
      <c r="AT12" s="100"/>
      <c r="AU12" s="100"/>
      <c r="AV12" s="100"/>
      <c r="AW12" s="100"/>
      <c r="AX12" s="100"/>
      <c r="AY12" s="100"/>
      <c r="AZ12" s="100"/>
      <c r="BA12" s="100"/>
      <c r="BB12" s="100"/>
      <c r="BC12" s="100"/>
      <c r="BD12" s="100"/>
      <c r="BE12" s="100"/>
      <c r="BF12" s="100"/>
      <c r="BG12" s="100"/>
      <c r="BH12" s="100"/>
      <c r="BI12" s="100"/>
      <c r="BJ12" s="100"/>
      <c r="BK12" s="100"/>
      <c r="BL12" s="100"/>
      <c r="BM12" s="100"/>
      <c r="BN12" s="100"/>
      <c r="BO12" s="100"/>
      <c r="BP12" s="100"/>
      <c r="BQ12" s="100"/>
      <c r="BR12" s="100"/>
      <c r="BS12" s="100"/>
      <c r="BT12" s="100"/>
      <c r="BU12" s="100"/>
      <c r="BV12" s="100"/>
      <c r="BW12" s="100"/>
      <c r="BX12" s="100"/>
      <c r="BY12" s="100"/>
      <c r="BZ12" s="100"/>
      <c r="CA12" s="100"/>
      <c r="CB12" s="100"/>
      <c r="CC12" s="100"/>
      <c r="CD12" s="100"/>
      <c r="CE12" s="100"/>
      <c r="CF12" s="100"/>
      <c r="CG12" s="100"/>
      <c r="CH12" s="100"/>
      <c r="CI12" s="100"/>
      <c r="CJ12" s="100"/>
      <c r="CK12" s="100"/>
      <c r="CL12" s="100"/>
      <c r="CM12" s="100"/>
      <c r="CN12" s="100"/>
      <c r="CO12" s="100"/>
      <c r="CP12" s="100"/>
      <c r="CQ12" s="100"/>
      <c r="CR12" s="100"/>
      <c r="CS12" s="100"/>
      <c r="CT12" s="100"/>
      <c r="CU12" s="100"/>
      <c r="CV12" s="100"/>
      <c r="CW12" s="100"/>
      <c r="CX12" s="100"/>
      <c r="CY12" s="100"/>
      <c r="CZ12" s="100"/>
      <c r="DA12" s="100"/>
      <c r="DB12" s="100"/>
      <c r="DC12" s="100"/>
      <c r="DD12" s="100"/>
      <c r="DE12" s="100"/>
      <c r="DF12" s="100"/>
      <c r="DG12" s="100"/>
      <c r="DH12" s="100"/>
      <c r="DI12" s="100"/>
    </row>
    <row r="13" spans="1:113" ht="13.3" thickTop="1" x14ac:dyDescent="0.35">
      <c r="A13" s="98"/>
      <c r="B13" s="131"/>
      <c r="C13" s="98"/>
      <c r="D13" s="166"/>
      <c r="E13" s="544"/>
      <c r="F13" s="546"/>
      <c r="G13" s="546"/>
      <c r="H13" s="107"/>
      <c r="I13" s="211">
        <v>1</v>
      </c>
      <c r="J13" s="215">
        <v>4.2799999999999994</v>
      </c>
      <c r="K13" s="215">
        <v>10.43</v>
      </c>
      <c r="L13" s="215">
        <v>11.29</v>
      </c>
      <c r="M13" s="215">
        <v>14.417326370489187</v>
      </c>
      <c r="N13" s="215">
        <v>16</v>
      </c>
      <c r="O13" s="426"/>
      <c r="P13" s="476">
        <v>100</v>
      </c>
      <c r="Q13" s="215"/>
      <c r="R13" s="215"/>
      <c r="S13" s="215"/>
      <c r="T13" s="461"/>
      <c r="U13" s="215"/>
      <c r="V13" s="215"/>
      <c r="W13" s="462"/>
      <c r="X13" s="197" t="s">
        <v>14</v>
      </c>
      <c r="Y13" s="197" t="s">
        <v>11</v>
      </c>
      <c r="Z13" s="197"/>
      <c r="AA13" s="197"/>
      <c r="AB13" s="31" t="s">
        <v>285</v>
      </c>
      <c r="AC13" s="241" t="s">
        <v>280</v>
      </c>
      <c r="AD13" s="45"/>
      <c r="AE13" s="107"/>
      <c r="AF13" s="192"/>
      <c r="AG13" s="192"/>
      <c r="AH13" s="192"/>
      <c r="AI13" s="100"/>
      <c r="AJ13" s="100"/>
      <c r="AK13" s="100"/>
      <c r="AL13" s="100"/>
      <c r="AM13" s="100"/>
      <c r="AN13" s="100"/>
      <c r="AO13" s="100"/>
      <c r="AP13" s="100"/>
      <c r="AQ13" s="100"/>
      <c r="AR13" s="100"/>
      <c r="AS13" s="100"/>
      <c r="AT13" s="100"/>
      <c r="AU13" s="100"/>
      <c r="AV13" s="100"/>
      <c r="AW13" s="100"/>
      <c r="AX13" s="100"/>
      <c r="AY13" s="100"/>
      <c r="AZ13" s="100"/>
      <c r="BA13" s="100"/>
      <c r="BB13" s="100"/>
      <c r="BC13" s="100"/>
      <c r="BD13" s="100"/>
      <c r="BE13" s="100"/>
      <c r="BF13" s="100"/>
      <c r="BG13" s="100"/>
      <c r="BH13" s="100"/>
      <c r="BI13" s="100"/>
      <c r="BJ13" s="100"/>
      <c r="BK13" s="100"/>
      <c r="BL13" s="100"/>
      <c r="BM13" s="100"/>
      <c r="BN13" s="100"/>
      <c r="BO13" s="100"/>
      <c r="BP13" s="100"/>
      <c r="BQ13" s="100"/>
      <c r="BR13" s="100"/>
      <c r="BS13" s="100"/>
      <c r="BT13" s="100"/>
      <c r="BU13" s="100"/>
      <c r="BV13" s="100"/>
      <c r="BW13" s="100"/>
      <c r="BX13" s="100"/>
      <c r="BY13" s="100"/>
      <c r="BZ13" s="100"/>
      <c r="CA13" s="100"/>
      <c r="CB13" s="100"/>
      <c r="CC13" s="100"/>
      <c r="CD13" s="100"/>
      <c r="CE13" s="100"/>
      <c r="CF13" s="100"/>
      <c r="CG13" s="100"/>
      <c r="CH13" s="100"/>
      <c r="CI13" s="100"/>
      <c r="CJ13" s="100"/>
      <c r="CK13" s="100"/>
      <c r="CL13" s="100"/>
      <c r="CM13" s="100"/>
      <c r="CN13" s="100"/>
      <c r="CO13" s="100"/>
      <c r="CP13" s="100"/>
      <c r="CQ13" s="100"/>
      <c r="CR13" s="100"/>
      <c r="CS13" s="100"/>
      <c r="CT13" s="100"/>
      <c r="CU13" s="100"/>
      <c r="CV13" s="100"/>
      <c r="CW13" s="100"/>
      <c r="CX13" s="100"/>
      <c r="CY13" s="100"/>
      <c r="CZ13" s="100"/>
      <c r="DA13" s="100"/>
      <c r="DB13" s="100"/>
      <c r="DC13" s="100"/>
      <c r="DD13" s="100"/>
      <c r="DE13" s="100"/>
      <c r="DF13" s="100"/>
      <c r="DG13" s="100"/>
      <c r="DH13" s="100"/>
      <c r="DI13" s="100"/>
    </row>
    <row r="14" spans="1:113" x14ac:dyDescent="0.35">
      <c r="A14" s="98"/>
      <c r="C14" s="98"/>
      <c r="D14" s="458" t="s">
        <v>640</v>
      </c>
      <c r="E14" s="633">
        <v>79.41</v>
      </c>
      <c r="F14" s="547" t="s">
        <v>5</v>
      </c>
      <c r="G14" s="547"/>
      <c r="H14" s="107"/>
      <c r="I14" s="211">
        <v>2</v>
      </c>
      <c r="J14" s="215">
        <v>4.3499999999999996</v>
      </c>
      <c r="K14" s="215">
        <v>10.6</v>
      </c>
      <c r="L14" s="215">
        <v>11.48</v>
      </c>
      <c r="M14" s="215">
        <v>13.322553310505148</v>
      </c>
      <c r="N14" s="215">
        <v>16</v>
      </c>
      <c r="O14" s="426"/>
      <c r="P14" s="476">
        <v>250</v>
      </c>
      <c r="Q14" s="215"/>
      <c r="R14" s="215"/>
      <c r="S14" s="215"/>
      <c r="T14" s="461"/>
      <c r="U14" s="215"/>
      <c r="V14" s="215"/>
      <c r="W14" s="462"/>
      <c r="X14" s="194"/>
      <c r="Y14" s="194"/>
      <c r="Z14" s="192"/>
      <c r="AA14" s="192"/>
      <c r="AB14" s="31" t="s">
        <v>286</v>
      </c>
      <c r="AC14" s="241" t="s">
        <v>286</v>
      </c>
      <c r="AD14" s="45"/>
      <c r="AE14" s="107"/>
      <c r="AF14" s="192"/>
      <c r="AG14" s="192"/>
      <c r="AH14" s="192"/>
      <c r="AI14" s="100"/>
      <c r="AJ14" s="100"/>
      <c r="AK14" s="100"/>
      <c r="AL14" s="100"/>
      <c r="AM14" s="100"/>
      <c r="AN14" s="100"/>
      <c r="AO14" s="100"/>
      <c r="AP14" s="100"/>
      <c r="AQ14" s="100"/>
      <c r="AR14" s="100"/>
      <c r="AS14" s="100"/>
      <c r="AT14" s="100"/>
      <c r="AU14" s="100"/>
      <c r="AV14" s="100"/>
      <c r="AW14" s="100"/>
      <c r="AX14" s="100"/>
      <c r="AY14" s="100"/>
      <c r="AZ14" s="100"/>
      <c r="BA14" s="100"/>
      <c r="BB14" s="100"/>
      <c r="BC14" s="100"/>
      <c r="BD14" s="100"/>
      <c r="BE14" s="100"/>
      <c r="BF14" s="100"/>
      <c r="BG14" s="100"/>
      <c r="BH14" s="100"/>
      <c r="BI14" s="100"/>
      <c r="BJ14" s="100"/>
      <c r="BK14" s="100"/>
      <c r="BL14" s="100"/>
      <c r="BM14" s="100"/>
      <c r="BN14" s="100"/>
      <c r="BO14" s="100"/>
      <c r="BP14" s="100"/>
      <c r="BQ14" s="100"/>
      <c r="BR14" s="100"/>
      <c r="BS14" s="100"/>
      <c r="BT14" s="100"/>
      <c r="BU14" s="100"/>
      <c r="BV14" s="100"/>
      <c r="BW14" s="100"/>
      <c r="BX14" s="100"/>
      <c r="BY14" s="100"/>
      <c r="BZ14" s="100"/>
      <c r="CA14" s="100"/>
      <c r="CB14" s="100"/>
      <c r="CC14" s="100"/>
      <c r="CD14" s="100"/>
      <c r="CE14" s="100"/>
      <c r="CF14" s="100"/>
      <c r="CG14" s="100"/>
      <c r="CH14" s="100"/>
      <c r="CI14" s="100"/>
      <c r="CJ14" s="100"/>
      <c r="CK14" s="100"/>
      <c r="CL14" s="100"/>
      <c r="CM14" s="100"/>
      <c r="CN14" s="100"/>
      <c r="CO14" s="100"/>
      <c r="CP14" s="100"/>
      <c r="CQ14" s="100"/>
      <c r="CR14" s="100"/>
      <c r="CS14" s="100"/>
      <c r="CT14" s="100"/>
      <c r="CU14" s="100"/>
      <c r="CV14" s="100"/>
      <c r="CW14" s="100"/>
      <c r="CX14" s="100"/>
      <c r="CY14" s="100"/>
      <c r="CZ14" s="100"/>
      <c r="DA14" s="100"/>
      <c r="DB14" s="100"/>
      <c r="DC14" s="100"/>
      <c r="DD14" s="100"/>
      <c r="DE14" s="100"/>
      <c r="DF14" s="100"/>
      <c r="DG14" s="100"/>
      <c r="DH14" s="100"/>
      <c r="DI14" s="100"/>
    </row>
    <row r="15" spans="1:113" x14ac:dyDescent="0.35">
      <c r="A15" s="98"/>
      <c r="B15" s="131"/>
      <c r="C15" s="98"/>
      <c r="H15" s="107"/>
      <c r="I15" s="212">
        <v>3</v>
      </c>
      <c r="J15" s="215">
        <v>4.42</v>
      </c>
      <c r="K15" s="215">
        <v>10.78</v>
      </c>
      <c r="L15" s="215">
        <v>11.66</v>
      </c>
      <c r="M15" s="215">
        <v>12.597658915718906</v>
      </c>
      <c r="N15" s="215">
        <v>16</v>
      </c>
      <c r="O15" s="426"/>
      <c r="P15" s="476">
        <v>500</v>
      </c>
      <c r="Q15" s="215"/>
      <c r="R15" s="215"/>
      <c r="S15" s="215"/>
      <c r="T15" s="461"/>
      <c r="U15" s="215"/>
      <c r="V15" s="215"/>
      <c r="W15" s="462"/>
      <c r="X15" s="194"/>
      <c r="Y15" s="194"/>
      <c r="Z15" s="192"/>
      <c r="AA15" s="192"/>
      <c r="AB15" s="44" t="s">
        <v>287</v>
      </c>
      <c r="AC15" s="210" t="s">
        <v>281</v>
      </c>
      <c r="AD15" s="45"/>
      <c r="AE15" s="107"/>
      <c r="AF15" s="192"/>
      <c r="AG15" s="192"/>
      <c r="AH15" s="192"/>
      <c r="AI15" s="100"/>
      <c r="AJ15" s="100"/>
      <c r="AK15" s="100"/>
      <c r="AL15" s="100"/>
      <c r="AM15" s="100"/>
      <c r="AN15" s="100"/>
      <c r="AO15" s="100"/>
      <c r="AP15" s="100"/>
      <c r="AQ15" s="100"/>
      <c r="AR15" s="100"/>
      <c r="AS15" s="100"/>
      <c r="AT15" s="100"/>
      <c r="AU15" s="100"/>
      <c r="AV15" s="100"/>
      <c r="AW15" s="100"/>
      <c r="AX15" s="100"/>
      <c r="AY15" s="100"/>
      <c r="AZ15" s="100"/>
      <c r="BA15" s="100"/>
      <c r="BB15" s="100"/>
      <c r="BC15" s="100"/>
      <c r="BD15" s="100"/>
      <c r="BE15" s="100"/>
      <c r="BF15" s="100"/>
      <c r="BG15" s="100"/>
      <c r="BH15" s="100"/>
      <c r="BI15" s="100"/>
      <c r="BJ15" s="100"/>
      <c r="BK15" s="100"/>
      <c r="BL15" s="100"/>
      <c r="BM15" s="100"/>
      <c r="BN15" s="100"/>
      <c r="BO15" s="100"/>
      <c r="BP15" s="100"/>
      <c r="BQ15" s="100"/>
      <c r="BR15" s="100"/>
      <c r="BS15" s="100"/>
      <c r="BT15" s="100"/>
      <c r="BU15" s="100"/>
      <c r="BV15" s="100"/>
      <c r="BW15" s="100"/>
      <c r="BX15" s="100"/>
      <c r="BY15" s="100"/>
      <c r="BZ15" s="100"/>
      <c r="CA15" s="100"/>
      <c r="CB15" s="100"/>
      <c r="CC15" s="100"/>
      <c r="CD15" s="100"/>
      <c r="CE15" s="100"/>
      <c r="CF15" s="100"/>
      <c r="CG15" s="100"/>
      <c r="CH15" s="100"/>
      <c r="CI15" s="100"/>
      <c r="CJ15" s="100"/>
      <c r="CK15" s="100"/>
      <c r="CL15" s="100"/>
      <c r="CM15" s="100"/>
      <c r="CN15" s="100"/>
      <c r="CO15" s="100"/>
      <c r="CP15" s="100"/>
      <c r="CQ15" s="100"/>
      <c r="CR15" s="100"/>
      <c r="CS15" s="100"/>
      <c r="CT15" s="100"/>
      <c r="CU15" s="100"/>
      <c r="CV15" s="100"/>
      <c r="CW15" s="100"/>
      <c r="CX15" s="100"/>
      <c r="CY15" s="100"/>
      <c r="CZ15" s="100"/>
      <c r="DA15" s="100"/>
      <c r="DB15" s="100"/>
      <c r="DC15" s="100"/>
      <c r="DD15" s="100"/>
      <c r="DE15" s="100"/>
      <c r="DF15" s="100"/>
      <c r="DG15" s="100"/>
      <c r="DH15" s="100"/>
      <c r="DI15" s="100"/>
    </row>
    <row r="16" spans="1:113" x14ac:dyDescent="0.35">
      <c r="A16" s="98"/>
      <c r="B16" s="131"/>
      <c r="C16" s="98"/>
      <c r="D16" s="159" t="s">
        <v>215</v>
      </c>
      <c r="E16" s="548"/>
      <c r="F16" s="171"/>
      <c r="G16" s="171"/>
      <c r="H16" s="107"/>
      <c r="I16" s="212">
        <v>4</v>
      </c>
      <c r="J16" s="215">
        <v>4.49</v>
      </c>
      <c r="K16" s="215">
        <v>10.95</v>
      </c>
      <c r="L16" s="215">
        <v>11.85</v>
      </c>
      <c r="M16" s="215">
        <v>12.06320555242471</v>
      </c>
      <c r="N16" s="215">
        <v>16</v>
      </c>
      <c r="O16" s="426"/>
      <c r="P16" s="476">
        <v>750</v>
      </c>
      <c r="Q16" s="215"/>
      <c r="R16" s="215"/>
      <c r="S16" s="215"/>
      <c r="T16" s="461"/>
      <c r="U16" s="215"/>
      <c r="V16" s="215"/>
      <c r="W16" s="462"/>
      <c r="X16" s="194"/>
      <c r="Y16" s="194"/>
      <c r="Z16" s="192"/>
      <c r="AA16" s="192"/>
      <c r="AB16" s="200"/>
      <c r="AC16" s="192"/>
      <c r="AD16" s="192"/>
      <c r="AE16" s="192"/>
      <c r="AF16" s="192"/>
      <c r="AG16" s="192"/>
      <c r="AH16" s="192"/>
      <c r="AI16" s="100"/>
      <c r="AJ16" s="100"/>
      <c r="AK16" s="100"/>
      <c r="AL16" s="100"/>
      <c r="AM16" s="100"/>
      <c r="AN16" s="100"/>
      <c r="AO16" s="100"/>
      <c r="AP16" s="100"/>
      <c r="AQ16" s="100"/>
      <c r="AR16" s="100"/>
      <c r="AS16" s="100"/>
      <c r="AT16" s="100"/>
      <c r="AU16" s="100"/>
      <c r="AV16" s="100"/>
      <c r="AW16" s="100"/>
      <c r="AX16" s="100"/>
      <c r="AY16" s="100"/>
      <c r="AZ16" s="100"/>
      <c r="BA16" s="100"/>
      <c r="BB16" s="100"/>
      <c r="BC16" s="100"/>
      <c r="BD16" s="100"/>
      <c r="BE16" s="100"/>
      <c r="BF16" s="100"/>
      <c r="BG16" s="100"/>
      <c r="BH16" s="100"/>
      <c r="BI16" s="100"/>
      <c r="BJ16" s="100"/>
      <c r="BK16" s="100"/>
      <c r="BL16" s="100"/>
      <c r="BM16" s="100"/>
      <c r="BN16" s="100"/>
      <c r="BO16" s="100"/>
      <c r="BP16" s="100"/>
      <c r="BQ16" s="100"/>
      <c r="BR16" s="100"/>
      <c r="BS16" s="100"/>
      <c r="BT16" s="100"/>
      <c r="BU16" s="100"/>
      <c r="BV16" s="100"/>
      <c r="BW16" s="100"/>
      <c r="BX16" s="100"/>
      <c r="BY16" s="100"/>
      <c r="BZ16" s="100"/>
      <c r="CA16" s="100"/>
      <c r="CB16" s="100"/>
      <c r="CC16" s="100"/>
      <c r="CD16" s="100"/>
      <c r="CE16" s="100"/>
      <c r="CF16" s="100"/>
      <c r="CG16" s="100"/>
      <c r="CH16" s="100"/>
      <c r="CI16" s="100"/>
      <c r="CJ16" s="100"/>
      <c r="CK16" s="100"/>
      <c r="CL16" s="100"/>
      <c r="CM16" s="100"/>
      <c r="CN16" s="100"/>
      <c r="CO16" s="100"/>
      <c r="CP16" s="100"/>
      <c r="CQ16" s="100"/>
      <c r="CR16" s="100"/>
      <c r="CS16" s="100"/>
      <c r="CT16" s="100"/>
      <c r="CU16" s="100"/>
      <c r="CV16" s="100"/>
      <c r="CW16" s="100"/>
      <c r="CX16" s="100"/>
      <c r="CY16" s="100"/>
      <c r="CZ16" s="100"/>
      <c r="DA16" s="100"/>
      <c r="DB16" s="100"/>
      <c r="DC16" s="100"/>
      <c r="DD16" s="100"/>
      <c r="DE16" s="100"/>
      <c r="DF16" s="100"/>
      <c r="DG16" s="100"/>
      <c r="DH16" s="100"/>
      <c r="DI16" s="100"/>
    </row>
    <row r="17" spans="1:113" x14ac:dyDescent="0.35">
      <c r="A17" s="98"/>
      <c r="D17" s="107" t="s">
        <v>248</v>
      </c>
      <c r="E17" s="634">
        <f>'Eng Mod'!G47</f>
        <v>11.643723985548895</v>
      </c>
      <c r="F17" s="172" t="s">
        <v>10</v>
      </c>
      <c r="G17" s="172"/>
      <c r="H17" s="107"/>
      <c r="I17" s="212">
        <v>5</v>
      </c>
      <c r="J17" s="215">
        <v>3.48</v>
      </c>
      <c r="K17" s="215">
        <v>8.48</v>
      </c>
      <c r="L17" s="215">
        <v>9.18</v>
      </c>
      <c r="M17" s="215">
        <v>11.643723985548895</v>
      </c>
      <c r="N17" s="215">
        <v>12</v>
      </c>
      <c r="O17" s="426"/>
      <c r="P17" s="476">
        <v>1000</v>
      </c>
      <c r="Q17" s="215"/>
      <c r="R17" s="215"/>
      <c r="S17" s="215"/>
      <c r="T17" s="461"/>
      <c r="U17" s="215"/>
      <c r="V17" s="215"/>
      <c r="W17" s="462"/>
      <c r="X17" s="194"/>
      <c r="Y17" s="194"/>
      <c r="Z17" s="192"/>
      <c r="AA17" s="192"/>
      <c r="AB17" s="192"/>
      <c r="AC17" s="192"/>
      <c r="AD17" s="192"/>
      <c r="AE17" s="192"/>
      <c r="AF17" s="192"/>
      <c r="AG17" s="192"/>
      <c r="AH17" s="192"/>
      <c r="AI17" s="100"/>
      <c r="AJ17" s="100"/>
      <c r="AK17" s="100"/>
      <c r="AL17" s="100"/>
      <c r="AM17" s="100"/>
      <c r="AN17" s="100"/>
      <c r="AO17" s="100"/>
      <c r="AP17" s="100"/>
      <c r="AQ17" s="100"/>
      <c r="AR17" s="100"/>
      <c r="AS17" s="100"/>
      <c r="AT17" s="100"/>
      <c r="AU17" s="100"/>
      <c r="AV17" s="100"/>
      <c r="AW17" s="100"/>
      <c r="AX17" s="100"/>
      <c r="AY17" s="100"/>
      <c r="AZ17" s="100"/>
      <c r="BA17" s="100"/>
      <c r="BB17" s="100"/>
      <c r="BC17" s="100"/>
      <c r="BD17" s="100"/>
      <c r="BE17" s="100"/>
      <c r="BF17" s="100"/>
      <c r="BG17" s="100"/>
      <c r="BH17" s="100"/>
      <c r="BI17" s="100"/>
      <c r="BJ17" s="100"/>
      <c r="BK17" s="100"/>
      <c r="BL17" s="100"/>
      <c r="BM17" s="100"/>
      <c r="BN17" s="100"/>
      <c r="BO17" s="100"/>
      <c r="BP17" s="100"/>
      <c r="BQ17" s="100"/>
      <c r="BR17" s="100"/>
      <c r="BS17" s="100"/>
      <c r="BT17" s="100"/>
      <c r="BU17" s="100"/>
      <c r="BV17" s="100"/>
      <c r="BW17" s="100"/>
      <c r="BX17" s="100"/>
      <c r="BY17" s="100"/>
      <c r="BZ17" s="100"/>
      <c r="CA17" s="100"/>
      <c r="CB17" s="100"/>
      <c r="CC17" s="100"/>
      <c r="CD17" s="100"/>
      <c r="CE17" s="100"/>
      <c r="CF17" s="100"/>
      <c r="CG17" s="100"/>
      <c r="CH17" s="100"/>
      <c r="CI17" s="100"/>
      <c r="CJ17" s="100"/>
      <c r="CK17" s="100"/>
      <c r="CL17" s="100"/>
      <c r="CM17" s="100"/>
      <c r="CN17" s="100"/>
      <c r="CO17" s="100"/>
      <c r="CP17" s="100"/>
      <c r="CQ17" s="100"/>
      <c r="CR17" s="100"/>
      <c r="CS17" s="100"/>
      <c r="CT17" s="100"/>
      <c r="CU17" s="100"/>
      <c r="CV17" s="100"/>
      <c r="CW17" s="100"/>
      <c r="CX17" s="100"/>
      <c r="CY17" s="100"/>
      <c r="CZ17" s="100"/>
      <c r="DA17" s="100"/>
      <c r="DB17" s="100"/>
      <c r="DC17" s="100"/>
      <c r="DD17" s="100"/>
      <c r="DE17" s="100"/>
      <c r="DF17" s="100"/>
      <c r="DG17" s="100"/>
      <c r="DH17" s="100"/>
      <c r="DI17" s="100"/>
    </row>
    <row r="18" spans="1:113" x14ac:dyDescent="0.35">
      <c r="A18" s="98"/>
      <c r="D18" s="107" t="s">
        <v>484</v>
      </c>
      <c r="E18" s="656">
        <f>'Eng Mod'!D48</f>
        <v>12</v>
      </c>
      <c r="F18" s="105" t="s">
        <v>10</v>
      </c>
      <c r="G18" s="105"/>
      <c r="H18" s="107"/>
      <c r="I18" s="212"/>
      <c r="J18" s="215"/>
      <c r="K18" s="215"/>
      <c r="L18" s="215"/>
      <c r="M18" s="215"/>
      <c r="N18" s="215"/>
      <c r="O18" s="426"/>
      <c r="P18" s="476"/>
      <c r="Q18" s="215"/>
      <c r="R18" s="215"/>
      <c r="S18" s="215"/>
      <c r="T18" s="461"/>
      <c r="U18" s="215"/>
      <c r="V18" s="215"/>
      <c r="W18" s="462"/>
      <c r="X18" s="194"/>
      <c r="Y18" s="194"/>
      <c r="Z18" s="192"/>
      <c r="AA18" s="192"/>
      <c r="AB18" s="192"/>
      <c r="AC18" s="192"/>
      <c r="AD18" s="192"/>
      <c r="AE18" s="192"/>
      <c r="AF18" s="192"/>
      <c r="AG18" s="192"/>
      <c r="AH18" s="192"/>
      <c r="AI18" s="100"/>
      <c r="AJ18" s="100"/>
      <c r="AK18" s="100"/>
      <c r="AL18" s="100"/>
      <c r="AM18" s="100"/>
      <c r="AN18" s="100"/>
      <c r="AO18" s="100"/>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100"/>
      <c r="BM18" s="100"/>
      <c r="BN18" s="100"/>
      <c r="BO18" s="100"/>
      <c r="BP18" s="100"/>
      <c r="BQ18" s="100"/>
      <c r="BR18" s="100"/>
      <c r="BS18" s="100"/>
      <c r="BT18" s="100"/>
      <c r="BU18" s="100"/>
      <c r="BV18" s="100"/>
      <c r="BW18" s="100"/>
      <c r="BX18" s="100"/>
      <c r="BY18" s="100"/>
      <c r="BZ18" s="100"/>
      <c r="CA18" s="100"/>
      <c r="CB18" s="100"/>
      <c r="CC18" s="100"/>
      <c r="CD18" s="100"/>
      <c r="CE18" s="100"/>
      <c r="CF18" s="100"/>
      <c r="CG18" s="100"/>
      <c r="CH18" s="100"/>
      <c r="CI18" s="100"/>
      <c r="CJ18" s="100"/>
      <c r="CK18" s="100"/>
      <c r="CL18" s="100"/>
      <c r="CM18" s="100"/>
      <c r="CN18" s="100"/>
      <c r="CO18" s="100"/>
      <c r="CP18" s="100"/>
      <c r="CQ18" s="100"/>
      <c r="CR18" s="100"/>
      <c r="CS18" s="100"/>
      <c r="CT18" s="100"/>
      <c r="CU18" s="100"/>
      <c r="CV18" s="100"/>
      <c r="CW18" s="100"/>
      <c r="CX18" s="100"/>
      <c r="CY18" s="100"/>
      <c r="CZ18" s="100"/>
      <c r="DA18" s="100"/>
      <c r="DB18" s="100"/>
      <c r="DC18" s="100"/>
      <c r="DD18" s="100"/>
      <c r="DE18" s="100"/>
      <c r="DF18" s="100"/>
      <c r="DG18" s="100"/>
      <c r="DH18" s="100"/>
      <c r="DI18" s="100"/>
    </row>
    <row r="19" spans="1:113" x14ac:dyDescent="0.35">
      <c r="A19" s="98"/>
      <c r="D19" s="98" t="s">
        <v>216</v>
      </c>
      <c r="E19" s="130">
        <f>C198</f>
        <v>32791.612040623557</v>
      </c>
      <c r="F19" s="105" t="str">
        <f>E60&amp;"$"</f>
        <v>2056$</v>
      </c>
      <c r="G19" s="105"/>
      <c r="H19" s="107"/>
      <c r="I19" s="212"/>
      <c r="J19" s="215"/>
      <c r="K19" s="215"/>
      <c r="L19" s="215"/>
      <c r="M19" s="215"/>
      <c r="N19" s="215"/>
      <c r="O19" s="426"/>
      <c r="P19" s="476"/>
      <c r="Q19" s="215"/>
      <c r="R19" s="215"/>
      <c r="S19" s="215"/>
      <c r="T19" s="461"/>
      <c r="U19" s="215"/>
      <c r="V19" s="215"/>
      <c r="W19" s="462"/>
      <c r="X19" s="194"/>
      <c r="Y19" s="194"/>
      <c r="Z19" s="192"/>
      <c r="AA19" s="192"/>
      <c r="AB19" s="192"/>
      <c r="AC19" s="192"/>
      <c r="AD19" s="192"/>
      <c r="AE19" s="192"/>
      <c r="AF19" s="192"/>
      <c r="AG19" s="192"/>
      <c r="AH19" s="192"/>
      <c r="AI19" s="100"/>
      <c r="AJ19" s="100"/>
      <c r="AK19" s="100"/>
      <c r="AL19" s="100"/>
      <c r="AM19" s="100"/>
      <c r="AN19" s="100"/>
      <c r="AO19" s="100"/>
      <c r="AP19" s="100"/>
      <c r="AQ19" s="100"/>
      <c r="AR19" s="100"/>
      <c r="AS19" s="100"/>
      <c r="AT19" s="100"/>
      <c r="AU19" s="100"/>
      <c r="AV19" s="100"/>
      <c r="AW19" s="100"/>
      <c r="AX19" s="100"/>
      <c r="AY19" s="100"/>
      <c r="AZ19" s="100"/>
      <c r="BA19" s="100"/>
      <c r="BB19" s="100"/>
      <c r="BC19" s="100"/>
      <c r="BD19" s="100"/>
      <c r="BE19" s="100"/>
      <c r="BF19" s="100"/>
      <c r="BG19" s="100"/>
      <c r="BH19" s="100"/>
      <c r="BI19" s="100"/>
      <c r="BJ19" s="100"/>
      <c r="BK19" s="100"/>
      <c r="BL19" s="100"/>
      <c r="BM19" s="100"/>
      <c r="BN19" s="100"/>
      <c r="BO19" s="100"/>
      <c r="BP19" s="100"/>
      <c r="BQ19" s="100"/>
      <c r="BR19" s="100"/>
      <c r="BS19" s="100"/>
      <c r="BT19" s="100"/>
      <c r="BU19" s="100"/>
      <c r="BV19" s="100"/>
      <c r="BW19" s="100"/>
      <c r="BX19" s="100"/>
      <c r="BY19" s="100"/>
      <c r="BZ19" s="100"/>
      <c r="CA19" s="100"/>
      <c r="CB19" s="100"/>
      <c r="CC19" s="100"/>
      <c r="CD19" s="100"/>
      <c r="CE19" s="100"/>
      <c r="CF19" s="100"/>
      <c r="CG19" s="100"/>
      <c r="CH19" s="100"/>
      <c r="CI19" s="100"/>
      <c r="CJ19" s="100"/>
      <c r="CK19" s="100"/>
      <c r="CL19" s="100"/>
      <c r="CM19" s="100"/>
      <c r="CN19" s="100"/>
      <c r="CO19" s="100"/>
      <c r="CP19" s="100"/>
      <c r="CQ19" s="100"/>
      <c r="CR19" s="100"/>
      <c r="CS19" s="100"/>
      <c r="CT19" s="100"/>
      <c r="CU19" s="100"/>
      <c r="CV19" s="100"/>
      <c r="CW19" s="100"/>
      <c r="CX19" s="100"/>
      <c r="CY19" s="100"/>
      <c r="CZ19" s="100"/>
      <c r="DA19" s="100"/>
      <c r="DB19" s="100"/>
      <c r="DC19" s="100"/>
      <c r="DD19" s="100"/>
      <c r="DE19" s="100"/>
      <c r="DF19" s="100"/>
      <c r="DG19" s="100"/>
      <c r="DH19" s="100"/>
      <c r="DI19" s="100"/>
    </row>
    <row r="20" spans="1:113" x14ac:dyDescent="0.35">
      <c r="A20" s="98"/>
      <c r="B20" s="495"/>
      <c r="C20" s="98"/>
      <c r="D20" s="160" t="s">
        <v>614</v>
      </c>
      <c r="E20" s="549">
        <f>IF(E19&lt;0.011,"NA",IRR(E197:CZ197))</f>
        <v>0.12007438143486437</v>
      </c>
      <c r="F20" s="161"/>
      <c r="G20" s="161"/>
      <c r="H20" s="107"/>
      <c r="I20" s="212"/>
      <c r="J20" s="215"/>
      <c r="K20" s="215"/>
      <c r="L20" s="215"/>
      <c r="M20" s="215"/>
      <c r="N20" s="215"/>
      <c r="O20" s="426"/>
      <c r="P20" s="476"/>
      <c r="Q20" s="215"/>
      <c r="R20" s="215"/>
      <c r="S20" s="215"/>
      <c r="T20" s="461"/>
      <c r="U20" s="215"/>
      <c r="V20" s="215"/>
      <c r="W20" s="462"/>
      <c r="X20" s="194"/>
      <c r="Y20" s="194"/>
      <c r="Z20" s="192"/>
      <c r="AA20" s="192"/>
      <c r="AB20" s="192"/>
      <c r="AC20" s="192"/>
      <c r="AD20" s="192"/>
      <c r="AE20" s="192"/>
      <c r="AF20" s="192"/>
      <c r="AG20" s="192"/>
      <c r="AH20" s="192"/>
      <c r="AI20" s="100"/>
      <c r="AJ20" s="100"/>
      <c r="AK20" s="100"/>
      <c r="AL20" s="100"/>
      <c r="AM20" s="100"/>
      <c r="AN20" s="100"/>
      <c r="AO20" s="100"/>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100"/>
      <c r="BM20" s="100"/>
      <c r="BN20" s="100"/>
      <c r="BO20" s="100"/>
      <c r="BP20" s="100"/>
      <c r="BQ20" s="100"/>
      <c r="BR20" s="100"/>
      <c r="BS20" s="100"/>
      <c r="BT20" s="100"/>
      <c r="BU20" s="100"/>
      <c r="BV20" s="100"/>
      <c r="BW20" s="100"/>
      <c r="BX20" s="100"/>
      <c r="BY20" s="100"/>
      <c r="BZ20" s="100"/>
      <c r="CA20" s="100"/>
      <c r="CB20" s="100"/>
      <c r="CC20" s="100"/>
      <c r="CD20" s="100"/>
      <c r="CE20" s="100"/>
      <c r="CF20" s="100"/>
      <c r="CG20" s="100"/>
      <c r="CH20" s="100"/>
      <c r="CI20" s="100"/>
      <c r="CJ20" s="100"/>
      <c r="CK20" s="100"/>
      <c r="CL20" s="100"/>
      <c r="CM20" s="100"/>
      <c r="CN20" s="100"/>
      <c r="CO20" s="100"/>
      <c r="CP20" s="100"/>
      <c r="CQ20" s="100"/>
      <c r="CR20" s="100"/>
      <c r="CS20" s="100"/>
      <c r="CT20" s="100"/>
      <c r="CU20" s="100"/>
      <c r="CV20" s="100"/>
      <c r="CW20" s="100"/>
      <c r="CX20" s="100"/>
      <c r="CY20" s="100"/>
      <c r="CZ20" s="100"/>
      <c r="DA20" s="100"/>
      <c r="DB20" s="100"/>
      <c r="DC20" s="100"/>
      <c r="DD20" s="100"/>
      <c r="DE20" s="100"/>
      <c r="DF20" s="100"/>
      <c r="DG20" s="100"/>
      <c r="DH20" s="100"/>
      <c r="DI20" s="100"/>
    </row>
    <row r="21" spans="1:113" x14ac:dyDescent="0.35">
      <c r="A21" s="98"/>
      <c r="B21" s="131"/>
      <c r="C21" s="98"/>
      <c r="F21" s="105"/>
      <c r="G21" s="105"/>
      <c r="H21" s="107"/>
      <c r="I21" s="212"/>
      <c r="J21" s="215"/>
      <c r="K21" s="215"/>
      <c r="L21" s="215"/>
      <c r="M21" s="215"/>
      <c r="N21" s="215"/>
      <c r="O21" s="426"/>
      <c r="P21" s="476"/>
      <c r="Q21" s="215"/>
      <c r="R21" s="215"/>
      <c r="S21" s="215"/>
      <c r="T21" s="461"/>
      <c r="U21" s="215"/>
      <c r="V21" s="215"/>
      <c r="W21" s="462"/>
      <c r="X21" s="194"/>
      <c r="Y21" s="194"/>
      <c r="Z21" s="192"/>
      <c r="AA21" s="192"/>
      <c r="AB21" s="192"/>
      <c r="AC21" s="192"/>
      <c r="AD21" s="192"/>
      <c r="AE21" s="192"/>
      <c r="AF21" s="192"/>
      <c r="AG21" s="192"/>
      <c r="AH21" s="192"/>
      <c r="AI21" s="100"/>
      <c r="AJ21" s="100"/>
      <c r="AK21" s="100"/>
      <c r="AL21" s="100"/>
      <c r="AM21" s="100"/>
      <c r="AN21" s="100"/>
      <c r="AO21" s="100"/>
      <c r="AP21" s="100"/>
      <c r="AQ21" s="100"/>
      <c r="AR21" s="100"/>
      <c r="AS21" s="100"/>
      <c r="AT21" s="100"/>
      <c r="AU21" s="100"/>
      <c r="AV21" s="100"/>
      <c r="AW21" s="100"/>
      <c r="AX21" s="100"/>
      <c r="AY21" s="100"/>
      <c r="AZ21" s="100"/>
      <c r="BA21" s="100"/>
      <c r="BB21" s="100"/>
      <c r="BC21" s="100"/>
      <c r="BD21" s="100"/>
      <c r="BE21" s="100"/>
      <c r="BF21" s="100"/>
      <c r="BG21" s="100"/>
      <c r="BH21" s="100"/>
      <c r="BI21" s="100"/>
      <c r="BJ21" s="100"/>
      <c r="BK21" s="100"/>
      <c r="BL21" s="100"/>
      <c r="BM21" s="100"/>
      <c r="BN21" s="100"/>
      <c r="BO21" s="100"/>
      <c r="BP21" s="100"/>
      <c r="BQ21" s="100"/>
      <c r="BR21" s="100"/>
      <c r="BS21" s="100"/>
      <c r="BT21" s="100"/>
      <c r="BU21" s="100"/>
      <c r="BV21" s="100"/>
      <c r="BW21" s="100"/>
      <c r="BX21" s="100"/>
      <c r="BY21" s="100"/>
      <c r="BZ21" s="100"/>
      <c r="CA21" s="100"/>
      <c r="CB21" s="100"/>
      <c r="CC21" s="100"/>
      <c r="CD21" s="100"/>
      <c r="CE21" s="100"/>
      <c r="CF21" s="100"/>
      <c r="CG21" s="100"/>
      <c r="CH21" s="100"/>
      <c r="CI21" s="100"/>
      <c r="CJ21" s="100"/>
      <c r="CK21" s="100"/>
      <c r="CL21" s="100"/>
      <c r="CM21" s="100"/>
      <c r="CN21" s="100"/>
      <c r="CO21" s="100"/>
      <c r="CP21" s="100"/>
      <c r="CQ21" s="100"/>
      <c r="CR21" s="100"/>
      <c r="CS21" s="100"/>
      <c r="CT21" s="100"/>
      <c r="CU21" s="100"/>
      <c r="CV21" s="100"/>
      <c r="CW21" s="100"/>
      <c r="CX21" s="100"/>
      <c r="CY21" s="100"/>
      <c r="CZ21" s="100"/>
      <c r="DA21" s="100"/>
      <c r="DB21" s="100"/>
      <c r="DC21" s="100"/>
      <c r="DD21" s="100"/>
      <c r="DE21" s="100"/>
      <c r="DF21" s="100"/>
      <c r="DG21" s="100"/>
      <c r="DH21" s="100"/>
      <c r="DI21" s="100"/>
    </row>
    <row r="22" spans="1:113" x14ac:dyDescent="0.35">
      <c r="A22" s="98"/>
      <c r="B22" s="131"/>
      <c r="C22" s="98"/>
      <c r="D22" s="154" t="s">
        <v>205</v>
      </c>
      <c r="E22" s="142" t="s">
        <v>483</v>
      </c>
      <c r="F22" s="163" t="s">
        <v>207</v>
      </c>
      <c r="G22" s="163"/>
      <c r="H22" s="107"/>
      <c r="I22" s="212"/>
      <c r="J22" s="215"/>
      <c r="K22" s="215"/>
      <c r="L22" s="215"/>
      <c r="M22" s="215"/>
      <c r="N22" s="215"/>
      <c r="O22" s="426"/>
      <c r="P22" s="476"/>
      <c r="Q22" s="215"/>
      <c r="R22" s="215"/>
      <c r="S22" s="215"/>
      <c r="T22" s="461"/>
      <c r="U22" s="215"/>
      <c r="V22" s="215"/>
      <c r="W22" s="462"/>
      <c r="X22" s="194"/>
      <c r="Y22" s="192"/>
      <c r="Z22" s="192"/>
      <c r="AA22" s="192"/>
      <c r="AB22" s="192"/>
      <c r="AC22" s="192"/>
      <c r="AD22" s="192"/>
      <c r="AE22" s="192"/>
      <c r="AF22" s="192"/>
      <c r="AG22" s="192"/>
      <c r="AH22" s="100"/>
      <c r="AI22" s="100"/>
      <c r="AJ22" s="100"/>
      <c r="AK22" s="100"/>
      <c r="AL22" s="100"/>
      <c r="AM22" s="100"/>
      <c r="AN22" s="100"/>
      <c r="AO22" s="100"/>
      <c r="AP22" s="100"/>
      <c r="AQ22" s="100"/>
      <c r="AR22" s="100"/>
      <c r="AS22" s="100"/>
      <c r="AT22" s="100"/>
      <c r="AU22" s="100"/>
      <c r="AV22" s="100"/>
      <c r="AW22" s="100"/>
      <c r="AX22" s="100"/>
      <c r="AY22" s="100"/>
      <c r="AZ22" s="100"/>
      <c r="BA22" s="100"/>
      <c r="BB22" s="100"/>
      <c r="BC22" s="100"/>
      <c r="BD22" s="100"/>
      <c r="BE22" s="100"/>
      <c r="BF22" s="100"/>
      <c r="BG22" s="100"/>
      <c r="BH22" s="100"/>
      <c r="BI22" s="100"/>
      <c r="BJ22" s="100"/>
      <c r="BK22" s="100"/>
      <c r="BL22" s="100"/>
      <c r="BM22" s="100"/>
      <c r="BN22" s="100"/>
      <c r="BO22" s="100"/>
      <c r="BP22" s="100"/>
      <c r="BQ22" s="100"/>
      <c r="BR22" s="100"/>
      <c r="BS22" s="100"/>
      <c r="BT22" s="100"/>
      <c r="BU22" s="100"/>
      <c r="BV22" s="100"/>
      <c r="BW22" s="100"/>
      <c r="BX22" s="100"/>
      <c r="BY22" s="100"/>
      <c r="BZ22" s="100"/>
      <c r="CA22" s="100"/>
      <c r="CB22" s="100"/>
      <c r="CC22" s="100"/>
      <c r="CD22" s="100"/>
      <c r="CE22" s="100"/>
      <c r="CF22" s="100"/>
      <c r="CG22" s="100"/>
      <c r="CH22" s="100"/>
      <c r="CI22" s="100"/>
      <c r="CJ22" s="100"/>
      <c r="CK22" s="100"/>
      <c r="CL22" s="100"/>
      <c r="CM22" s="100"/>
      <c r="CN22" s="100"/>
      <c r="CO22" s="100"/>
      <c r="CP22" s="100"/>
      <c r="CQ22" s="100"/>
      <c r="CR22" s="100"/>
      <c r="CS22" s="100"/>
      <c r="CT22" s="100"/>
      <c r="CU22" s="100"/>
      <c r="CV22" s="100"/>
      <c r="CW22" s="100"/>
      <c r="CX22" s="100"/>
      <c r="CY22" s="100"/>
      <c r="CZ22" s="100"/>
      <c r="DA22" s="100"/>
      <c r="DB22" s="100"/>
      <c r="DC22" s="100"/>
      <c r="DD22" s="100"/>
      <c r="DE22" s="100"/>
      <c r="DF22" s="100"/>
      <c r="DG22" s="100"/>
      <c r="DH22" s="100"/>
    </row>
    <row r="23" spans="1:113" x14ac:dyDescent="0.35">
      <c r="A23" s="98"/>
      <c r="B23" s="131"/>
      <c r="C23" s="98"/>
      <c r="D23" s="164"/>
      <c r="E23" s="144" t="s">
        <v>408</v>
      </c>
      <c r="F23" s="165" t="s">
        <v>620</v>
      </c>
      <c r="G23" s="165"/>
      <c r="H23" s="107"/>
      <c r="I23" s="212"/>
      <c r="J23" s="215"/>
      <c r="K23" s="215"/>
      <c r="L23" s="215"/>
      <c r="M23" s="215"/>
      <c r="N23" s="215"/>
      <c r="O23" s="426"/>
      <c r="P23" s="476"/>
      <c r="Q23" s="215"/>
      <c r="R23" s="215"/>
      <c r="S23" s="215"/>
      <c r="T23" s="461"/>
      <c r="U23" s="215"/>
      <c r="V23" s="215"/>
      <c r="W23" s="462"/>
      <c r="X23" s="194"/>
      <c r="Y23" s="192"/>
      <c r="Z23" s="192"/>
      <c r="AA23" s="192"/>
      <c r="AB23" s="192"/>
      <c r="AC23" s="192"/>
      <c r="AD23" s="192"/>
      <c r="AE23" s="192"/>
      <c r="AF23" s="192"/>
      <c r="AG23" s="192"/>
      <c r="AH23" s="100"/>
      <c r="AI23" s="100"/>
      <c r="AJ23" s="100"/>
      <c r="AK23" s="100"/>
      <c r="AL23" s="100"/>
      <c r="AM23" s="100"/>
      <c r="AN23" s="100"/>
      <c r="AO23" s="100"/>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100"/>
      <c r="BM23" s="100"/>
      <c r="BN23" s="100"/>
      <c r="BO23" s="100"/>
      <c r="BP23" s="100"/>
      <c r="BQ23" s="100"/>
      <c r="BR23" s="100"/>
      <c r="BS23" s="100"/>
      <c r="BT23" s="100"/>
      <c r="BU23" s="100"/>
      <c r="BV23" s="100"/>
      <c r="BW23" s="100"/>
      <c r="BX23" s="100"/>
      <c r="BY23" s="100"/>
      <c r="BZ23" s="100"/>
      <c r="CA23" s="100"/>
      <c r="CB23" s="100"/>
      <c r="CC23" s="100"/>
      <c r="CD23" s="100"/>
      <c r="CE23" s="100"/>
      <c r="CF23" s="100"/>
      <c r="CG23" s="100"/>
      <c r="CH23" s="100"/>
      <c r="CI23" s="100"/>
      <c r="CJ23" s="100"/>
      <c r="CK23" s="100"/>
      <c r="CL23" s="100"/>
      <c r="CM23" s="100"/>
      <c r="CN23" s="100"/>
      <c r="CO23" s="100"/>
      <c r="CP23" s="100"/>
      <c r="CQ23" s="100"/>
      <c r="CR23" s="100"/>
      <c r="CS23" s="100"/>
      <c r="CT23" s="100"/>
      <c r="CU23" s="100"/>
      <c r="CV23" s="100"/>
      <c r="CW23" s="100"/>
      <c r="CX23" s="100"/>
      <c r="CY23" s="100"/>
      <c r="CZ23" s="100"/>
      <c r="DA23" s="100"/>
      <c r="DB23" s="100"/>
      <c r="DC23" s="100"/>
      <c r="DD23" s="100"/>
      <c r="DE23" s="100"/>
      <c r="DF23" s="100"/>
      <c r="DG23" s="100"/>
      <c r="DH23" s="100"/>
    </row>
    <row r="24" spans="1:113" x14ac:dyDescent="0.35">
      <c r="A24" s="98"/>
      <c r="B24" s="131"/>
      <c r="C24" s="98"/>
      <c r="D24" s="98" t="s">
        <v>170</v>
      </c>
      <c r="E24" s="130">
        <f>C131</f>
        <v>73286643.014347956</v>
      </c>
      <c r="F24" s="127">
        <f>C139</f>
        <v>149756013.58750463</v>
      </c>
      <c r="G24" s="127"/>
      <c r="H24" s="107"/>
      <c r="I24" s="212"/>
      <c r="J24" s="215"/>
      <c r="K24" s="215"/>
      <c r="L24" s="215"/>
      <c r="M24" s="215"/>
      <c r="N24" s="215"/>
      <c r="O24" s="426"/>
      <c r="P24" s="476"/>
      <c r="Q24" s="215"/>
      <c r="R24" s="215"/>
      <c r="S24" s="215"/>
      <c r="T24" s="461"/>
      <c r="U24" s="215"/>
      <c r="V24" s="215"/>
      <c r="W24" s="462"/>
      <c r="X24" s="192"/>
      <c r="Y24" s="192"/>
      <c r="Z24" s="192"/>
      <c r="AA24" s="192"/>
      <c r="AB24" s="192"/>
      <c r="AC24" s="192"/>
      <c r="AD24" s="192"/>
      <c r="AE24" s="192"/>
      <c r="AF24" s="192"/>
      <c r="AG24" s="192"/>
      <c r="AH24" s="100"/>
      <c r="AI24" s="100"/>
      <c r="AJ24" s="100"/>
      <c r="AK24" s="100"/>
      <c r="AL24" s="100"/>
      <c r="AM24" s="100"/>
      <c r="AN24" s="100"/>
      <c r="AO24" s="100"/>
      <c r="AP24" s="100"/>
      <c r="AQ24" s="100"/>
      <c r="AR24" s="100"/>
      <c r="AS24" s="100"/>
      <c r="AT24" s="100"/>
      <c r="AU24" s="100"/>
      <c r="AV24" s="100"/>
      <c r="AW24" s="100"/>
      <c r="AX24" s="100"/>
      <c r="AY24" s="100"/>
      <c r="AZ24" s="100"/>
      <c r="BA24" s="100"/>
      <c r="BB24" s="100"/>
      <c r="BC24" s="100"/>
      <c r="BD24" s="100"/>
      <c r="BE24" s="100"/>
      <c r="BF24" s="100"/>
      <c r="BG24" s="100"/>
      <c r="BH24" s="100"/>
      <c r="BI24" s="100"/>
      <c r="BJ24" s="100"/>
      <c r="BK24" s="100"/>
      <c r="BL24" s="100"/>
      <c r="BM24" s="100"/>
      <c r="BN24" s="100"/>
      <c r="BO24" s="100"/>
      <c r="BP24" s="100"/>
      <c r="BQ24" s="100"/>
      <c r="BR24" s="100"/>
      <c r="BS24" s="100"/>
      <c r="BT24" s="100"/>
      <c r="BU24" s="100"/>
      <c r="BV24" s="100"/>
      <c r="BW24" s="100"/>
      <c r="BX24" s="100"/>
      <c r="BY24" s="100"/>
      <c r="BZ24" s="100"/>
      <c r="CA24" s="100"/>
      <c r="CB24" s="100"/>
      <c r="CC24" s="100"/>
      <c r="CD24" s="100"/>
      <c r="CE24" s="100"/>
      <c r="CF24" s="100"/>
      <c r="CG24" s="100"/>
      <c r="CH24" s="100"/>
      <c r="CI24" s="100"/>
      <c r="CJ24" s="100"/>
      <c r="CK24" s="100"/>
      <c r="CL24" s="100"/>
      <c r="CM24" s="100"/>
      <c r="CN24" s="100"/>
      <c r="CO24" s="100"/>
      <c r="CP24" s="100"/>
      <c r="CQ24" s="100"/>
      <c r="CR24" s="100"/>
      <c r="CS24" s="100"/>
      <c r="CT24" s="100"/>
      <c r="CU24" s="100"/>
      <c r="CV24" s="100"/>
      <c r="CW24" s="100"/>
      <c r="CX24" s="100"/>
      <c r="CY24" s="100"/>
      <c r="CZ24" s="100"/>
      <c r="DA24" s="100"/>
      <c r="DB24" s="100"/>
      <c r="DC24" s="100"/>
      <c r="DD24" s="100"/>
      <c r="DE24" s="100"/>
      <c r="DF24" s="100"/>
      <c r="DG24" s="100"/>
      <c r="DH24" s="100"/>
    </row>
    <row r="25" spans="1:113" x14ac:dyDescent="0.35">
      <c r="A25" s="98"/>
      <c r="B25" s="131"/>
      <c r="C25" s="98"/>
      <c r="D25" s="98" t="s">
        <v>176</v>
      </c>
      <c r="E25" s="130">
        <f>C132</f>
        <v>21436685.01487802</v>
      </c>
      <c r="F25" s="127">
        <f>C140</f>
        <v>22630590.697345756</v>
      </c>
      <c r="G25" s="127"/>
      <c r="H25" s="107"/>
      <c r="I25" s="212"/>
      <c r="J25" s="215"/>
      <c r="K25" s="215"/>
      <c r="L25" s="215"/>
      <c r="M25" s="215"/>
      <c r="N25" s="215"/>
      <c r="O25" s="426"/>
      <c r="P25" s="476"/>
      <c r="Q25" s="215"/>
      <c r="R25" s="215"/>
      <c r="S25" s="215"/>
      <c r="T25" s="461"/>
      <c r="U25" s="215"/>
      <c r="V25" s="215"/>
      <c r="W25" s="462"/>
      <c r="X25" s="192"/>
      <c r="Y25" s="192"/>
      <c r="Z25" s="192"/>
      <c r="AA25" s="192"/>
      <c r="AB25" s="192"/>
      <c r="AC25" s="192"/>
      <c r="AD25" s="192"/>
      <c r="AE25" s="192"/>
      <c r="AF25" s="192"/>
      <c r="AG25" s="192"/>
      <c r="AH25" s="100"/>
      <c r="AI25" s="100"/>
      <c r="AJ25" s="100"/>
      <c r="AK25" s="100"/>
      <c r="AL25" s="100"/>
      <c r="AM25" s="100"/>
      <c r="AN25" s="100"/>
      <c r="AO25" s="100"/>
      <c r="AP25" s="100"/>
      <c r="AQ25" s="100"/>
      <c r="AR25" s="100"/>
      <c r="AS25" s="100"/>
      <c r="AT25" s="100"/>
      <c r="AU25" s="100"/>
      <c r="AV25" s="100"/>
      <c r="AW25" s="100"/>
      <c r="AX25" s="100"/>
      <c r="AY25" s="100"/>
      <c r="AZ25" s="100"/>
      <c r="BA25" s="100"/>
      <c r="BB25" s="100"/>
      <c r="BC25" s="100"/>
      <c r="BD25" s="100"/>
      <c r="BE25" s="100"/>
      <c r="BF25" s="100"/>
      <c r="BG25" s="100"/>
      <c r="BH25" s="100"/>
      <c r="BI25" s="100"/>
      <c r="BJ25" s="100"/>
      <c r="BK25" s="100"/>
      <c r="BL25" s="100"/>
      <c r="BM25" s="100"/>
      <c r="BN25" s="100"/>
      <c r="BO25" s="100"/>
      <c r="BP25" s="100"/>
      <c r="BQ25" s="100"/>
      <c r="BR25" s="100"/>
      <c r="BS25" s="100"/>
      <c r="BT25" s="100"/>
      <c r="BU25" s="100"/>
      <c r="BV25" s="100"/>
      <c r="BW25" s="100"/>
      <c r="BX25" s="100"/>
      <c r="BY25" s="100"/>
      <c r="BZ25" s="100"/>
      <c r="CA25" s="100"/>
      <c r="CB25" s="100"/>
      <c r="CC25" s="100"/>
      <c r="CD25" s="100"/>
      <c r="CE25" s="100"/>
      <c r="CF25" s="100"/>
      <c r="CG25" s="100"/>
      <c r="CH25" s="100"/>
      <c r="CI25" s="100"/>
      <c r="CJ25" s="100"/>
      <c r="CK25" s="100"/>
      <c r="CL25" s="100"/>
      <c r="CM25" s="100"/>
      <c r="CN25" s="100"/>
      <c r="CO25" s="100"/>
      <c r="CP25" s="100"/>
      <c r="CQ25" s="100"/>
      <c r="CR25" s="100"/>
      <c r="CS25" s="100"/>
      <c r="CT25" s="100"/>
      <c r="CU25" s="100"/>
      <c r="CV25" s="100"/>
      <c r="CW25" s="100"/>
      <c r="CX25" s="100"/>
      <c r="CY25" s="100"/>
      <c r="CZ25" s="100"/>
      <c r="DA25" s="100"/>
      <c r="DB25" s="100"/>
      <c r="DC25" s="100"/>
      <c r="DD25" s="100"/>
      <c r="DE25" s="100"/>
      <c r="DF25" s="100"/>
      <c r="DG25" s="100"/>
      <c r="DH25" s="100"/>
    </row>
    <row r="26" spans="1:113" x14ac:dyDescent="0.35">
      <c r="A26" s="98"/>
      <c r="B26" s="131"/>
      <c r="C26" s="98"/>
      <c r="D26" s="543" t="s">
        <v>206</v>
      </c>
      <c r="E26" s="550">
        <f>SUM(E24:E25)</f>
        <v>94723328.029225975</v>
      </c>
      <c r="F26" s="550">
        <f>SUM(F24:F25)</f>
        <v>172386604.28485039</v>
      </c>
      <c r="G26" s="550"/>
      <c r="H26" s="107"/>
      <c r="I26" s="212"/>
      <c r="J26" s="215"/>
      <c r="K26" s="215"/>
      <c r="L26" s="215"/>
      <c r="M26" s="215"/>
      <c r="N26" s="215"/>
      <c r="O26" s="426"/>
      <c r="P26" s="476"/>
      <c r="Q26" s="215"/>
      <c r="R26" s="215"/>
      <c r="S26" s="215"/>
      <c r="T26" s="461"/>
      <c r="U26" s="215"/>
      <c r="V26" s="215"/>
      <c r="W26" s="192"/>
      <c r="X26" s="192"/>
      <c r="Y26" s="192"/>
      <c r="Z26" s="192"/>
      <c r="AA26" s="192"/>
      <c r="AB26" s="192"/>
      <c r="AC26" s="192"/>
      <c r="AD26" s="192"/>
      <c r="AE26" s="192"/>
      <c r="AF26" s="192"/>
      <c r="AG26" s="192"/>
      <c r="AH26" s="100"/>
      <c r="AI26" s="100"/>
      <c r="AJ26" s="100"/>
      <c r="AK26" s="100"/>
      <c r="AL26" s="100"/>
      <c r="AM26" s="100"/>
      <c r="AN26" s="100"/>
      <c r="AO26" s="100"/>
      <c r="AP26" s="100"/>
      <c r="AQ26" s="100"/>
      <c r="AR26" s="100"/>
      <c r="AS26" s="100"/>
      <c r="AT26" s="100"/>
      <c r="AU26" s="100"/>
      <c r="AV26" s="100"/>
      <c r="AW26" s="100"/>
      <c r="AX26" s="100"/>
      <c r="AY26" s="100"/>
      <c r="AZ26" s="100"/>
      <c r="BA26" s="100"/>
      <c r="BB26" s="100"/>
      <c r="BC26" s="100"/>
      <c r="BD26" s="100"/>
      <c r="BE26" s="100"/>
      <c r="BF26" s="100"/>
      <c r="BG26" s="100"/>
      <c r="BH26" s="100"/>
      <c r="BI26" s="100"/>
      <c r="BJ26" s="100"/>
      <c r="BK26" s="100"/>
      <c r="BL26" s="100"/>
      <c r="BM26" s="100"/>
      <c r="BN26" s="100"/>
      <c r="BO26" s="100"/>
      <c r="BP26" s="100"/>
      <c r="BQ26" s="100"/>
      <c r="BR26" s="100"/>
      <c r="BS26" s="100"/>
      <c r="BT26" s="100"/>
      <c r="BU26" s="100"/>
      <c r="BV26" s="100"/>
      <c r="BW26" s="100"/>
      <c r="BX26" s="100"/>
      <c r="BY26" s="100"/>
      <c r="BZ26" s="100"/>
      <c r="CA26" s="100"/>
      <c r="CB26" s="100"/>
      <c r="CC26" s="100"/>
      <c r="CD26" s="100"/>
      <c r="CE26" s="100"/>
      <c r="CF26" s="100"/>
      <c r="CG26" s="100"/>
      <c r="CH26" s="100"/>
      <c r="CI26" s="100"/>
      <c r="CJ26" s="100"/>
      <c r="CK26" s="100"/>
      <c r="CL26" s="100"/>
      <c r="CM26" s="100"/>
      <c r="CN26" s="100"/>
      <c r="CO26" s="100"/>
      <c r="CP26" s="100"/>
      <c r="CQ26" s="100"/>
      <c r="CR26" s="100"/>
      <c r="CS26" s="100"/>
      <c r="CT26" s="100"/>
      <c r="CU26" s="100"/>
      <c r="CV26" s="100"/>
      <c r="CW26" s="100"/>
      <c r="CX26" s="100"/>
      <c r="CY26" s="100"/>
      <c r="CZ26" s="100"/>
      <c r="DA26" s="100"/>
      <c r="DB26" s="100"/>
      <c r="DC26" s="100"/>
      <c r="DD26" s="100"/>
      <c r="DE26" s="100"/>
      <c r="DF26" s="100"/>
      <c r="DG26" s="100"/>
      <c r="DH26" s="100"/>
    </row>
    <row r="27" spans="1:113" x14ac:dyDescent="0.35">
      <c r="A27" s="98"/>
      <c r="B27" s="131"/>
      <c r="C27" s="98"/>
      <c r="D27" s="98"/>
      <c r="E27" s="538"/>
      <c r="F27" s="538"/>
      <c r="G27" s="538"/>
      <c r="H27" s="107"/>
      <c r="I27" s="212"/>
      <c r="J27" s="215"/>
      <c r="K27" s="215"/>
      <c r="L27" s="215"/>
      <c r="M27" s="215"/>
      <c r="N27" s="215"/>
      <c r="O27" s="426"/>
      <c r="P27" s="476"/>
      <c r="Q27" s="215"/>
      <c r="R27" s="215"/>
      <c r="S27" s="215"/>
      <c r="T27" s="461"/>
      <c r="U27" s="215"/>
      <c r="V27" s="215"/>
      <c r="W27" s="192"/>
      <c r="X27" s="192"/>
      <c r="Y27" s="192"/>
      <c r="Z27" s="192"/>
      <c r="AA27" s="192"/>
      <c r="AB27" s="192"/>
      <c r="AC27" s="192"/>
      <c r="AD27" s="192"/>
      <c r="AE27" s="192"/>
      <c r="AF27" s="192"/>
      <c r="AG27" s="192"/>
      <c r="AH27" s="100"/>
      <c r="AI27" s="100"/>
      <c r="AJ27" s="100"/>
      <c r="AK27" s="100"/>
      <c r="AL27" s="100"/>
      <c r="AM27" s="100"/>
      <c r="AN27" s="100"/>
      <c r="AO27" s="100"/>
      <c r="AP27" s="100"/>
      <c r="AQ27" s="100"/>
      <c r="AR27" s="100"/>
      <c r="AS27" s="100"/>
      <c r="AT27" s="100"/>
      <c r="AU27" s="100"/>
      <c r="AV27" s="100"/>
      <c r="AW27" s="100"/>
      <c r="AX27" s="100"/>
      <c r="AY27" s="100"/>
      <c r="AZ27" s="100"/>
      <c r="BA27" s="100"/>
      <c r="BB27" s="100"/>
      <c r="BC27" s="100"/>
      <c r="BD27" s="100"/>
      <c r="BE27" s="100"/>
      <c r="BF27" s="100"/>
      <c r="BG27" s="100"/>
      <c r="BH27" s="100"/>
      <c r="BI27" s="100"/>
      <c r="BJ27" s="100"/>
      <c r="BK27" s="100"/>
      <c r="BL27" s="100"/>
      <c r="BM27" s="100"/>
      <c r="BN27" s="100"/>
      <c r="BO27" s="100"/>
      <c r="BP27" s="100"/>
      <c r="BQ27" s="100"/>
      <c r="BR27" s="100"/>
      <c r="BS27" s="100"/>
      <c r="BT27" s="100"/>
      <c r="BU27" s="100"/>
      <c r="BV27" s="100"/>
      <c r="BW27" s="100"/>
      <c r="BX27" s="100"/>
      <c r="BY27" s="100"/>
      <c r="BZ27" s="100"/>
      <c r="CA27" s="100"/>
      <c r="CB27" s="100"/>
      <c r="CC27" s="100"/>
      <c r="CD27" s="100"/>
      <c r="CE27" s="100"/>
      <c r="CF27" s="100"/>
      <c r="CG27" s="100"/>
      <c r="CH27" s="100"/>
      <c r="CI27" s="100"/>
      <c r="CJ27" s="100"/>
      <c r="CK27" s="100"/>
      <c r="CL27" s="100"/>
      <c r="CM27" s="100"/>
      <c r="CN27" s="100"/>
      <c r="CO27" s="100"/>
      <c r="CP27" s="100"/>
      <c r="CQ27" s="100"/>
      <c r="CR27" s="100"/>
      <c r="CS27" s="100"/>
      <c r="CT27" s="100"/>
      <c r="CU27" s="100"/>
      <c r="CV27" s="100"/>
      <c r="CW27" s="100"/>
      <c r="CX27" s="100"/>
      <c r="CY27" s="100"/>
      <c r="CZ27" s="100"/>
      <c r="DA27" s="100"/>
      <c r="DB27" s="100"/>
      <c r="DC27" s="100"/>
      <c r="DD27" s="100"/>
      <c r="DE27" s="100"/>
      <c r="DF27" s="100"/>
      <c r="DG27" s="100"/>
      <c r="DH27" s="100"/>
    </row>
    <row r="28" spans="1:113" x14ac:dyDescent="0.35">
      <c r="A28" s="98"/>
      <c r="B28" s="131"/>
      <c r="C28" s="98"/>
      <c r="D28" s="124" t="s">
        <v>203</v>
      </c>
      <c r="E28" s="98"/>
      <c r="F28" s="105"/>
      <c r="G28" s="105"/>
      <c r="H28" s="107"/>
      <c r="I28" s="212"/>
      <c r="J28" s="215"/>
      <c r="K28" s="215"/>
      <c r="L28" s="215"/>
      <c r="M28" s="215"/>
      <c r="N28" s="215"/>
      <c r="O28" s="426"/>
      <c r="P28" s="476"/>
      <c r="Q28" s="215"/>
      <c r="R28" s="215"/>
      <c r="S28" s="215"/>
      <c r="T28" s="461"/>
      <c r="U28" s="215"/>
      <c r="V28" s="215"/>
      <c r="W28" s="192"/>
      <c r="X28" s="192"/>
      <c r="Y28" s="192"/>
      <c r="Z28" s="192"/>
      <c r="AA28" s="192"/>
      <c r="AB28" s="192"/>
      <c r="AC28" s="192"/>
      <c r="AD28" s="192"/>
      <c r="AE28" s="192"/>
      <c r="AF28" s="192"/>
      <c r="AG28" s="192"/>
      <c r="AH28" s="100"/>
      <c r="AI28" s="100"/>
      <c r="AJ28" s="100"/>
      <c r="AK28" s="100"/>
      <c r="AL28" s="100"/>
      <c r="AM28" s="100"/>
      <c r="AN28" s="100"/>
      <c r="AO28" s="100"/>
      <c r="AP28" s="100"/>
      <c r="AQ28" s="100"/>
      <c r="AR28" s="100"/>
      <c r="AS28" s="100"/>
      <c r="AT28" s="100"/>
      <c r="AU28" s="100"/>
      <c r="AV28" s="100"/>
      <c r="AW28" s="100"/>
      <c r="AX28" s="100"/>
      <c r="AY28" s="100"/>
      <c r="AZ28" s="100"/>
      <c r="BA28" s="100"/>
      <c r="BB28" s="100"/>
      <c r="BC28" s="100"/>
      <c r="BD28" s="100"/>
      <c r="BE28" s="100"/>
      <c r="BF28" s="100"/>
      <c r="BG28" s="100"/>
      <c r="BH28" s="100"/>
      <c r="BI28" s="100"/>
      <c r="BJ28" s="100"/>
      <c r="BK28" s="100"/>
      <c r="BL28" s="100"/>
      <c r="BM28" s="100"/>
      <c r="BN28" s="100"/>
      <c r="BO28" s="100"/>
      <c r="BP28" s="100"/>
      <c r="BQ28" s="100"/>
      <c r="BR28" s="100"/>
      <c r="BS28" s="100"/>
      <c r="BT28" s="100"/>
      <c r="BU28" s="100"/>
      <c r="BV28" s="100"/>
      <c r="BW28" s="100"/>
      <c r="BX28" s="100"/>
      <c r="BY28" s="100"/>
      <c r="BZ28" s="100"/>
      <c r="CA28" s="100"/>
      <c r="CB28" s="100"/>
      <c r="CC28" s="100"/>
      <c r="CD28" s="100"/>
      <c r="CE28" s="100"/>
      <c r="CF28" s="100"/>
      <c r="CG28" s="100"/>
      <c r="CH28" s="100"/>
      <c r="CI28" s="100"/>
      <c r="CJ28" s="100"/>
      <c r="CK28" s="100"/>
      <c r="CL28" s="100"/>
      <c r="CM28" s="100"/>
      <c r="CN28" s="100"/>
      <c r="CO28" s="100"/>
      <c r="CP28" s="100"/>
      <c r="CQ28" s="100"/>
      <c r="CR28" s="100"/>
      <c r="CS28" s="100"/>
      <c r="CT28" s="100"/>
      <c r="CU28" s="100"/>
      <c r="CV28" s="100"/>
      <c r="CW28" s="100"/>
      <c r="CX28" s="100"/>
      <c r="CY28" s="100"/>
      <c r="CZ28" s="100"/>
      <c r="DA28" s="100"/>
      <c r="DB28" s="100"/>
      <c r="DC28" s="100"/>
      <c r="DD28" s="100"/>
      <c r="DE28" s="100"/>
      <c r="DF28" s="100"/>
      <c r="DG28" s="100"/>
      <c r="DH28" s="100"/>
    </row>
    <row r="29" spans="1:113" x14ac:dyDescent="0.35">
      <c r="A29" s="98"/>
      <c r="B29" s="131"/>
      <c r="C29" s="98"/>
      <c r="D29" s="107" t="s">
        <v>250</v>
      </c>
      <c r="E29" s="98"/>
      <c r="F29" s="105"/>
      <c r="G29" s="105"/>
      <c r="H29" s="107"/>
      <c r="I29" s="212"/>
      <c r="J29" s="215"/>
      <c r="K29" s="215"/>
      <c r="L29" s="215"/>
      <c r="M29" s="215"/>
      <c r="N29" s="215"/>
      <c r="O29" s="426"/>
      <c r="P29" s="476"/>
      <c r="Q29" s="215"/>
      <c r="R29" s="215"/>
      <c r="S29" s="215"/>
      <c r="T29" s="461"/>
      <c r="U29" s="215"/>
      <c r="V29" s="215"/>
      <c r="W29" s="192"/>
      <c r="X29" s="192"/>
      <c r="Y29" s="192"/>
      <c r="Z29" s="192"/>
      <c r="AA29" s="192"/>
      <c r="AB29" s="192"/>
      <c r="AC29" s="192"/>
      <c r="AD29" s="192"/>
      <c r="AE29" s="192"/>
      <c r="AF29" s="192"/>
      <c r="AG29" s="192"/>
      <c r="AH29" s="100"/>
      <c r="AI29" s="100"/>
      <c r="AJ29" s="100"/>
      <c r="AK29" s="100"/>
      <c r="AL29" s="100"/>
      <c r="AM29" s="100"/>
      <c r="AN29" s="100"/>
      <c r="AO29" s="100"/>
      <c r="AP29" s="100"/>
      <c r="AQ29" s="100"/>
      <c r="AR29" s="100"/>
      <c r="AS29" s="100"/>
      <c r="AT29" s="100"/>
      <c r="AU29" s="100"/>
      <c r="AV29" s="100"/>
      <c r="AW29" s="100"/>
      <c r="AX29" s="100"/>
      <c r="AY29" s="100"/>
      <c r="AZ29" s="100"/>
      <c r="BA29" s="100"/>
      <c r="BB29" s="100"/>
      <c r="BC29" s="100"/>
      <c r="BD29" s="100"/>
      <c r="BE29" s="100"/>
      <c r="BF29" s="100"/>
      <c r="BG29" s="100"/>
      <c r="BH29" s="100"/>
      <c r="BI29" s="100"/>
      <c r="BJ29" s="100"/>
      <c r="BK29" s="100"/>
      <c r="BL29" s="100"/>
      <c r="BM29" s="100"/>
      <c r="BN29" s="100"/>
      <c r="BO29" s="100"/>
      <c r="BP29" s="100"/>
      <c r="BQ29" s="100"/>
      <c r="BR29" s="100"/>
      <c r="BS29" s="100"/>
      <c r="BT29" s="100"/>
      <c r="BU29" s="100"/>
      <c r="BV29" s="100"/>
      <c r="BW29" s="100"/>
      <c r="BX29" s="100"/>
      <c r="BY29" s="100"/>
      <c r="BZ29" s="100"/>
      <c r="CA29" s="100"/>
      <c r="CB29" s="100"/>
      <c r="CC29" s="100"/>
      <c r="CD29" s="100"/>
      <c r="CE29" s="100"/>
      <c r="CF29" s="100"/>
      <c r="CG29" s="100"/>
      <c r="CH29" s="100"/>
      <c r="CI29" s="100"/>
      <c r="CJ29" s="100"/>
      <c r="CK29" s="100"/>
      <c r="CL29" s="100"/>
      <c r="CM29" s="100"/>
      <c r="CN29" s="100"/>
      <c r="CO29" s="100"/>
      <c r="CP29" s="100"/>
      <c r="CQ29" s="100"/>
      <c r="CR29" s="100"/>
      <c r="CS29" s="100"/>
      <c r="CT29" s="100"/>
      <c r="CU29" s="100"/>
      <c r="CV29" s="100"/>
      <c r="CW29" s="100"/>
      <c r="CX29" s="100"/>
      <c r="CY29" s="100"/>
      <c r="CZ29" s="100"/>
      <c r="DA29" s="100"/>
      <c r="DB29" s="100"/>
      <c r="DC29" s="100"/>
      <c r="DD29" s="100"/>
      <c r="DE29" s="100"/>
      <c r="DF29" s="100"/>
      <c r="DG29" s="100"/>
      <c r="DH29" s="100"/>
    </row>
    <row r="30" spans="1:113" x14ac:dyDescent="0.35">
      <c r="A30" s="98"/>
      <c r="B30" s="131"/>
      <c r="C30" s="98"/>
      <c r="D30" s="591" t="s">
        <v>149</v>
      </c>
      <c r="E30" s="98" t="s">
        <v>251</v>
      </c>
      <c r="F30" s="105"/>
      <c r="G30" s="105"/>
      <c r="H30" s="107"/>
      <c r="I30" s="212"/>
      <c r="J30" s="215"/>
      <c r="K30" s="215"/>
      <c r="L30" s="215"/>
      <c r="M30" s="215"/>
      <c r="N30" s="215"/>
      <c r="O30" s="426"/>
      <c r="P30" s="476"/>
      <c r="Q30" s="215"/>
      <c r="R30" s="215"/>
      <c r="S30" s="215"/>
      <c r="T30" s="461"/>
      <c r="U30" s="215"/>
      <c r="V30" s="215"/>
      <c r="W30" s="192"/>
      <c r="X30" s="192"/>
      <c r="Y30" s="192"/>
      <c r="Z30" s="192"/>
      <c r="AA30" s="192"/>
      <c r="AB30" s="192"/>
      <c r="AC30" s="192"/>
      <c r="AD30" s="192"/>
      <c r="AE30" s="192"/>
      <c r="AF30" s="192"/>
      <c r="AG30" s="192"/>
      <c r="AH30" s="100"/>
      <c r="AI30" s="100"/>
      <c r="AJ30" s="100"/>
      <c r="AK30" s="100"/>
      <c r="AL30" s="100"/>
      <c r="AM30" s="100"/>
      <c r="AN30" s="100"/>
      <c r="AO30" s="100"/>
      <c r="AP30" s="100"/>
      <c r="AQ30" s="100"/>
      <c r="AR30" s="100"/>
      <c r="AS30" s="100"/>
      <c r="AT30" s="100"/>
      <c r="AU30" s="100"/>
      <c r="AV30" s="100"/>
      <c r="AW30" s="100"/>
      <c r="AX30" s="100"/>
      <c r="AY30" s="100"/>
      <c r="AZ30" s="100"/>
      <c r="BA30" s="100"/>
      <c r="BB30" s="100"/>
      <c r="BC30" s="100"/>
      <c r="BD30" s="100"/>
      <c r="BE30" s="100"/>
      <c r="BF30" s="100"/>
      <c r="BG30" s="100"/>
      <c r="BH30" s="100"/>
      <c r="BI30" s="100"/>
      <c r="BJ30" s="100"/>
      <c r="BK30" s="100"/>
      <c r="BL30" s="100"/>
      <c r="BM30" s="100"/>
      <c r="BN30" s="100"/>
      <c r="BO30" s="100"/>
      <c r="BP30" s="100"/>
      <c r="BQ30" s="100"/>
      <c r="BR30" s="100"/>
      <c r="BS30" s="100"/>
      <c r="BT30" s="100"/>
      <c r="BU30" s="100"/>
      <c r="BV30" s="100"/>
      <c r="BW30" s="100"/>
      <c r="BX30" s="100"/>
      <c r="BY30" s="100"/>
      <c r="BZ30" s="100"/>
      <c r="CA30" s="100"/>
      <c r="CB30" s="100"/>
      <c r="CC30" s="100"/>
      <c r="CD30" s="100"/>
      <c r="CE30" s="100"/>
      <c r="CF30" s="100"/>
      <c r="CG30" s="100"/>
      <c r="CH30" s="100"/>
      <c r="CI30" s="100"/>
      <c r="CJ30" s="100"/>
      <c r="CK30" s="100"/>
      <c r="CL30" s="100"/>
      <c r="CM30" s="100"/>
      <c r="CN30" s="100"/>
      <c r="CO30" s="100"/>
      <c r="CP30" s="100"/>
      <c r="CQ30" s="100"/>
      <c r="CR30" s="100"/>
      <c r="CS30" s="100"/>
      <c r="CT30" s="100"/>
      <c r="CU30" s="100"/>
      <c r="CV30" s="100"/>
      <c r="CW30" s="100"/>
      <c r="CX30" s="100"/>
      <c r="CY30" s="100"/>
      <c r="CZ30" s="100"/>
      <c r="DA30" s="100"/>
      <c r="DB30" s="100"/>
      <c r="DC30" s="100"/>
      <c r="DD30" s="100"/>
      <c r="DE30" s="100"/>
      <c r="DF30" s="100"/>
      <c r="DG30" s="100"/>
      <c r="DH30" s="100"/>
    </row>
    <row r="31" spans="1:113" ht="13.3" thickBot="1" x14ac:dyDescent="0.4">
      <c r="A31" s="98"/>
      <c r="B31" s="131"/>
      <c r="C31" s="98"/>
      <c r="D31" s="635"/>
      <c r="E31" s="421" t="s">
        <v>235</v>
      </c>
      <c r="F31" s="424"/>
      <c r="G31" s="421"/>
      <c r="H31" s="107"/>
      <c r="I31" s="212"/>
      <c r="J31" s="215"/>
      <c r="K31" s="215"/>
      <c r="L31" s="215"/>
      <c r="M31" s="215"/>
      <c r="N31" s="215"/>
      <c r="O31" s="426"/>
      <c r="P31" s="476"/>
      <c r="Q31" s="215"/>
      <c r="R31" s="215"/>
      <c r="S31" s="215"/>
      <c r="T31" s="461"/>
      <c r="U31" s="215"/>
      <c r="V31" s="215"/>
      <c r="W31" s="192"/>
      <c r="X31" s="192"/>
      <c r="Y31" s="192"/>
      <c r="Z31" s="192"/>
      <c r="AA31" s="192"/>
      <c r="AB31" s="192"/>
      <c r="AC31" s="192"/>
      <c r="AD31" s="192"/>
      <c r="AE31" s="100"/>
      <c r="AF31" s="100"/>
      <c r="AG31" s="100"/>
      <c r="AH31" s="100"/>
      <c r="AI31" s="100"/>
      <c r="AJ31" s="100"/>
      <c r="AK31" s="100"/>
      <c r="AL31" s="100"/>
      <c r="AM31" s="100"/>
      <c r="AN31" s="100"/>
      <c r="AO31" s="100"/>
      <c r="AP31" s="100"/>
      <c r="AQ31" s="100"/>
      <c r="AR31" s="100"/>
      <c r="AS31" s="100"/>
      <c r="AT31" s="100"/>
      <c r="AU31" s="100"/>
      <c r="AV31" s="100"/>
      <c r="AW31" s="100"/>
      <c r="AX31" s="100"/>
      <c r="AY31" s="100"/>
      <c r="AZ31" s="100"/>
      <c r="BA31" s="100"/>
      <c r="BB31" s="100"/>
      <c r="BC31" s="100"/>
      <c r="BD31" s="100"/>
      <c r="BE31" s="100"/>
      <c r="BF31" s="100"/>
      <c r="BG31" s="100"/>
      <c r="BH31" s="100"/>
      <c r="BI31" s="100"/>
      <c r="BJ31" s="100"/>
      <c r="BK31" s="100"/>
      <c r="BL31" s="100"/>
      <c r="BM31" s="100"/>
      <c r="BN31" s="100"/>
      <c r="BO31" s="100"/>
      <c r="BP31" s="100"/>
      <c r="BQ31" s="100"/>
      <c r="BR31" s="100"/>
      <c r="BS31" s="100"/>
      <c r="BT31" s="100"/>
      <c r="BU31" s="100"/>
      <c r="BV31" s="100"/>
      <c r="BW31" s="100"/>
      <c r="BX31" s="100"/>
      <c r="BY31" s="100"/>
      <c r="BZ31" s="100"/>
      <c r="CA31" s="100"/>
      <c r="CB31" s="100"/>
      <c r="CC31" s="100"/>
      <c r="CD31" s="100"/>
      <c r="CE31" s="100"/>
      <c r="CF31" s="100"/>
      <c r="CG31" s="100"/>
      <c r="CH31" s="100"/>
      <c r="CI31" s="100"/>
      <c r="CJ31" s="100"/>
      <c r="CK31" s="100"/>
      <c r="CL31" s="100"/>
      <c r="CM31" s="100"/>
      <c r="CN31" s="100"/>
      <c r="CO31" s="100"/>
      <c r="CP31" s="100"/>
      <c r="CQ31" s="100"/>
      <c r="CR31" s="100"/>
      <c r="CS31" s="100"/>
      <c r="CT31" s="100"/>
      <c r="CU31" s="100"/>
      <c r="CV31" s="100"/>
      <c r="CW31" s="100"/>
      <c r="CX31" s="100"/>
      <c r="CY31" s="100"/>
      <c r="CZ31" s="100"/>
      <c r="DA31" s="100"/>
      <c r="DB31" s="100"/>
      <c r="DC31" s="100"/>
      <c r="DD31" s="100"/>
      <c r="DE31" s="100"/>
    </row>
    <row r="32" spans="1:113" x14ac:dyDescent="0.35">
      <c r="A32" s="98"/>
      <c r="B32" s="131"/>
      <c r="C32" s="98"/>
      <c r="D32" s="98"/>
      <c r="E32" s="538"/>
      <c r="F32" s="538"/>
      <c r="G32" s="538"/>
      <c r="H32" s="107"/>
      <c r="I32" s="213"/>
      <c r="J32" s="216"/>
      <c r="K32" s="216"/>
      <c r="L32" s="216"/>
      <c r="M32" s="216"/>
      <c r="N32" s="216"/>
      <c r="O32" s="426"/>
      <c r="P32" s="476"/>
      <c r="Q32" s="215"/>
      <c r="R32" s="215"/>
      <c r="S32" s="215"/>
      <c r="T32" s="461"/>
      <c r="U32" s="215"/>
      <c r="V32" s="215"/>
      <c r="W32" s="192"/>
      <c r="X32" s="192"/>
      <c r="Y32" s="192"/>
      <c r="Z32" s="192"/>
      <c r="AA32" s="192"/>
      <c r="AB32" s="192"/>
      <c r="AC32" s="192"/>
      <c r="AD32" s="192"/>
      <c r="AE32" s="100"/>
      <c r="AF32" s="100"/>
      <c r="AG32" s="100"/>
      <c r="AH32" s="100"/>
      <c r="AI32" s="100"/>
      <c r="AJ32" s="100"/>
      <c r="AK32" s="100"/>
      <c r="AL32" s="100"/>
      <c r="AM32" s="100"/>
      <c r="AN32" s="100"/>
      <c r="AO32" s="100"/>
      <c r="AP32" s="100"/>
      <c r="AQ32" s="100"/>
      <c r="AR32" s="100"/>
      <c r="AS32" s="100"/>
      <c r="AT32" s="100"/>
      <c r="AU32" s="100"/>
      <c r="AV32" s="100"/>
      <c r="AW32" s="100"/>
      <c r="AX32" s="100"/>
      <c r="AY32" s="100"/>
      <c r="AZ32" s="100"/>
      <c r="BA32" s="100"/>
      <c r="BB32" s="100"/>
      <c r="BC32" s="100"/>
      <c r="BD32" s="100"/>
      <c r="BE32" s="100"/>
      <c r="BF32" s="100"/>
      <c r="BG32" s="100"/>
      <c r="BH32" s="100"/>
      <c r="BI32" s="100"/>
      <c r="BJ32" s="100"/>
      <c r="BK32" s="100"/>
      <c r="BL32" s="100"/>
      <c r="BM32" s="100"/>
      <c r="BN32" s="100"/>
      <c r="BO32" s="100"/>
      <c r="BP32" s="100"/>
      <c r="BQ32" s="100"/>
      <c r="BR32" s="100"/>
      <c r="BS32" s="100"/>
      <c r="BT32" s="100"/>
      <c r="BU32" s="100"/>
      <c r="BV32" s="100"/>
      <c r="BW32" s="100"/>
      <c r="BX32" s="100"/>
      <c r="BY32" s="100"/>
      <c r="BZ32" s="100"/>
      <c r="CA32" s="100"/>
      <c r="CB32" s="100"/>
      <c r="CC32" s="100"/>
      <c r="CD32" s="100"/>
      <c r="CE32" s="100"/>
      <c r="CF32" s="100"/>
      <c r="CG32" s="100"/>
      <c r="CH32" s="100"/>
      <c r="CI32" s="100"/>
      <c r="CJ32" s="100"/>
      <c r="CK32" s="100"/>
      <c r="CL32" s="100"/>
      <c r="CM32" s="100"/>
      <c r="CN32" s="100"/>
      <c r="CO32" s="100"/>
      <c r="CP32" s="100"/>
      <c r="CQ32" s="100"/>
      <c r="CR32" s="100"/>
      <c r="CS32" s="100"/>
      <c r="CT32" s="100"/>
      <c r="CU32" s="100"/>
      <c r="CV32" s="100"/>
      <c r="CW32" s="100"/>
      <c r="CX32" s="100"/>
      <c r="CY32" s="100"/>
      <c r="CZ32" s="100"/>
      <c r="DA32" s="100"/>
      <c r="DB32" s="100"/>
      <c r="DC32" s="100"/>
      <c r="DD32" s="100"/>
      <c r="DE32" s="100"/>
    </row>
    <row r="33" spans="1:104" ht="14.6" x14ac:dyDescent="0.4">
      <c r="A33" s="98"/>
      <c r="B33" s="131"/>
      <c r="C33" s="98"/>
      <c r="D33" s="98"/>
      <c r="E33" s="173"/>
      <c r="F33" s="174"/>
      <c r="G33" s="174"/>
      <c r="H33" s="107"/>
      <c r="I33" s="209" t="s">
        <v>232</v>
      </c>
      <c r="J33" s="209"/>
      <c r="K33" s="252"/>
      <c r="L33" s="430"/>
      <c r="M33" s="199"/>
      <c r="N33" s="199"/>
      <c r="O33" s="192"/>
      <c r="P33" s="476"/>
      <c r="Q33" s="215"/>
      <c r="R33" s="215"/>
      <c r="S33" s="215"/>
      <c r="T33" s="461"/>
      <c r="U33" s="215"/>
      <c r="V33" s="215"/>
      <c r="W33" s="192"/>
      <c r="X33" s="192"/>
      <c r="Y33" s="192"/>
      <c r="Z33" s="100"/>
      <c r="AA33" s="100"/>
      <c r="AB33" s="100"/>
      <c r="AC33" s="100"/>
      <c r="AD33" s="100"/>
      <c r="AE33" s="100"/>
      <c r="AF33" s="100"/>
      <c r="AG33" s="100"/>
      <c r="AH33" s="100"/>
      <c r="AI33" s="100"/>
      <c r="AJ33" s="100"/>
      <c r="AK33" s="100"/>
      <c r="AL33" s="100"/>
      <c r="AM33" s="100"/>
      <c r="AN33" s="100"/>
      <c r="AO33" s="100"/>
      <c r="AP33" s="100"/>
      <c r="AQ33" s="100"/>
      <c r="AR33" s="100"/>
      <c r="AS33" s="100"/>
      <c r="AT33" s="100"/>
      <c r="AU33" s="100"/>
      <c r="AV33" s="100"/>
      <c r="AW33" s="100"/>
      <c r="AX33" s="100"/>
      <c r="AY33" s="100"/>
      <c r="AZ33" s="100"/>
      <c r="BA33" s="100"/>
      <c r="BB33" s="100"/>
      <c r="BC33" s="100"/>
      <c r="BD33" s="100"/>
      <c r="BE33" s="100"/>
      <c r="BF33" s="100"/>
      <c r="BG33" s="100"/>
      <c r="BH33" s="100"/>
      <c r="BI33" s="100"/>
      <c r="BJ33" s="100"/>
      <c r="BK33" s="100"/>
      <c r="BL33" s="100"/>
      <c r="BM33" s="100"/>
      <c r="BN33" s="100"/>
      <c r="BO33" s="100"/>
      <c r="BP33" s="100"/>
      <c r="BQ33" s="100"/>
      <c r="BR33" s="100"/>
      <c r="BS33" s="100"/>
      <c r="BT33" s="100"/>
      <c r="BU33" s="100"/>
      <c r="BV33" s="100"/>
      <c r="BW33" s="100"/>
      <c r="BX33" s="100"/>
      <c r="BY33" s="100"/>
      <c r="BZ33" s="100"/>
      <c r="CA33" s="100"/>
      <c r="CB33" s="100"/>
      <c r="CC33" s="100"/>
      <c r="CD33" s="100"/>
      <c r="CE33" s="100"/>
      <c r="CF33" s="100"/>
      <c r="CG33" s="100"/>
      <c r="CH33" s="100"/>
      <c r="CI33" s="100"/>
      <c r="CJ33" s="100"/>
      <c r="CK33" s="100"/>
      <c r="CL33" s="100"/>
      <c r="CM33" s="100"/>
      <c r="CN33" s="100"/>
      <c r="CO33" s="100"/>
      <c r="CP33" s="100"/>
      <c r="CQ33" s="100"/>
      <c r="CR33" s="100"/>
      <c r="CS33" s="100"/>
      <c r="CT33" s="100"/>
      <c r="CU33" s="100"/>
      <c r="CV33" s="100"/>
      <c r="CW33" s="100"/>
      <c r="CX33" s="100"/>
      <c r="CY33" s="100"/>
      <c r="CZ33" s="100"/>
    </row>
    <row r="34" spans="1:104" x14ac:dyDescent="0.35">
      <c r="A34" s="98"/>
      <c r="B34" s="131"/>
      <c r="C34" s="98"/>
      <c r="D34" s="106"/>
      <c r="E34" s="540"/>
      <c r="F34" s="541"/>
      <c r="G34" s="541"/>
      <c r="H34" s="107"/>
      <c r="I34" s="210" t="s">
        <v>233</v>
      </c>
      <c r="J34" s="217">
        <v>5</v>
      </c>
      <c r="K34" s="431"/>
      <c r="L34" s="432"/>
      <c r="M34" s="192"/>
      <c r="N34" s="192"/>
      <c r="O34" s="192"/>
      <c r="P34" s="476"/>
      <c r="Q34" s="215"/>
      <c r="R34" s="215"/>
      <c r="S34" s="215"/>
      <c r="T34" s="461"/>
      <c r="U34" s="215"/>
      <c r="V34" s="215"/>
      <c r="W34" s="192"/>
      <c r="X34" s="192"/>
      <c r="Y34" s="192"/>
      <c r="Z34" s="100"/>
      <c r="AA34" s="100"/>
      <c r="AB34" s="100"/>
      <c r="AC34" s="100"/>
      <c r="AD34" s="100"/>
      <c r="AE34" s="100"/>
      <c r="AF34" s="100"/>
      <c r="AG34" s="100"/>
      <c r="AH34" s="100"/>
      <c r="AI34" s="100"/>
      <c r="AJ34" s="100"/>
      <c r="AK34" s="100"/>
      <c r="AL34" s="100"/>
      <c r="AM34" s="100"/>
      <c r="AN34" s="100"/>
      <c r="AO34" s="100"/>
      <c r="AP34" s="100"/>
      <c r="AQ34" s="100"/>
      <c r="AR34" s="100"/>
      <c r="AS34" s="100"/>
      <c r="AT34" s="100"/>
      <c r="AU34" s="100"/>
      <c r="AV34" s="100"/>
      <c r="AW34" s="100"/>
      <c r="AX34" s="100"/>
      <c r="AY34" s="100"/>
      <c r="AZ34" s="100"/>
      <c r="BA34" s="100"/>
      <c r="BB34" s="100"/>
      <c r="BC34" s="100"/>
      <c r="BD34" s="100"/>
      <c r="BE34" s="100"/>
      <c r="BF34" s="100"/>
      <c r="BG34" s="100"/>
      <c r="BH34" s="100"/>
      <c r="BI34" s="100"/>
      <c r="BJ34" s="100"/>
      <c r="BK34" s="100"/>
      <c r="BL34" s="100"/>
      <c r="BM34" s="100"/>
      <c r="BN34" s="100"/>
      <c r="BO34" s="100"/>
      <c r="BP34" s="100"/>
      <c r="BQ34" s="100"/>
      <c r="BR34" s="100"/>
      <c r="BS34" s="100"/>
      <c r="BT34" s="100"/>
      <c r="BU34" s="100"/>
      <c r="BV34" s="100"/>
      <c r="BW34" s="100"/>
      <c r="BX34" s="100"/>
      <c r="BY34" s="100"/>
      <c r="BZ34" s="100"/>
      <c r="CA34" s="100"/>
      <c r="CB34" s="100"/>
      <c r="CC34" s="100"/>
      <c r="CD34" s="100"/>
      <c r="CE34" s="100"/>
      <c r="CF34" s="100"/>
      <c r="CG34" s="100"/>
      <c r="CH34" s="100"/>
      <c r="CI34" s="100"/>
      <c r="CJ34" s="100"/>
      <c r="CK34" s="100"/>
      <c r="CL34" s="100"/>
      <c r="CM34" s="100"/>
      <c r="CN34" s="100"/>
      <c r="CO34" s="100"/>
      <c r="CP34" s="100"/>
      <c r="CQ34" s="100"/>
      <c r="CR34" s="100"/>
      <c r="CS34" s="100"/>
      <c r="CT34" s="100"/>
      <c r="CU34" s="100"/>
      <c r="CV34" s="100"/>
      <c r="CW34" s="100"/>
      <c r="CX34" s="100"/>
      <c r="CY34" s="100"/>
      <c r="CZ34" s="100"/>
    </row>
    <row r="35" spans="1:104" x14ac:dyDescent="0.35">
      <c r="A35" s="98"/>
      <c r="B35" s="131"/>
      <c r="C35" s="98"/>
      <c r="D35" s="120"/>
      <c r="E35" s="540"/>
      <c r="F35" s="541"/>
      <c r="G35" s="541"/>
      <c r="H35" s="107"/>
      <c r="I35" s="107" t="s">
        <v>496</v>
      </c>
      <c r="J35" s="107"/>
      <c r="K35" s="192"/>
      <c r="L35" s="192"/>
      <c r="M35" s="192"/>
      <c r="N35" s="192"/>
      <c r="O35" s="192"/>
      <c r="P35" s="476"/>
      <c r="Q35" s="215"/>
      <c r="R35" s="215"/>
      <c r="S35" s="215"/>
      <c r="T35" s="461"/>
      <c r="U35" s="215"/>
      <c r="V35" s="215"/>
      <c r="W35" s="192"/>
      <c r="X35" s="192"/>
      <c r="Y35" s="192"/>
      <c r="Z35" s="100"/>
      <c r="AA35" s="100"/>
      <c r="AB35" s="100"/>
      <c r="AC35" s="100"/>
      <c r="AD35" s="100"/>
      <c r="AE35" s="100"/>
      <c r="AF35" s="100"/>
      <c r="AG35" s="100"/>
      <c r="AH35" s="100"/>
      <c r="AI35" s="100"/>
      <c r="AJ35" s="100"/>
      <c r="AK35" s="100"/>
      <c r="AL35" s="100"/>
      <c r="AM35" s="100"/>
      <c r="AN35" s="100"/>
      <c r="AO35" s="100"/>
      <c r="AP35" s="100"/>
      <c r="AQ35" s="100"/>
      <c r="AR35" s="100"/>
      <c r="AS35" s="100"/>
      <c r="AT35" s="100"/>
      <c r="AU35" s="100"/>
      <c r="AV35" s="100"/>
      <c r="AW35" s="100"/>
      <c r="AX35" s="100"/>
      <c r="AY35" s="100"/>
      <c r="AZ35" s="100"/>
      <c r="BA35" s="100"/>
      <c r="BB35" s="100"/>
      <c r="BC35" s="100"/>
      <c r="BD35" s="100"/>
      <c r="BE35" s="100"/>
      <c r="BF35" s="100"/>
      <c r="BG35" s="100"/>
      <c r="BH35" s="100"/>
      <c r="BI35" s="100"/>
      <c r="BJ35" s="100"/>
      <c r="BK35" s="100"/>
      <c r="BL35" s="100"/>
      <c r="BM35" s="100"/>
      <c r="BN35" s="100"/>
      <c r="BO35" s="100"/>
      <c r="BP35" s="100"/>
      <c r="BQ35" s="100"/>
      <c r="BR35" s="100"/>
      <c r="BS35" s="100"/>
      <c r="BT35" s="100"/>
      <c r="BU35" s="100"/>
      <c r="BV35" s="100"/>
      <c r="BW35" s="100"/>
      <c r="BX35" s="100"/>
      <c r="BY35" s="100"/>
      <c r="BZ35" s="100"/>
      <c r="CA35" s="100"/>
      <c r="CB35" s="100"/>
      <c r="CC35" s="100"/>
      <c r="CD35" s="100"/>
      <c r="CE35" s="100"/>
      <c r="CF35" s="100"/>
      <c r="CG35" s="100"/>
      <c r="CH35" s="100"/>
      <c r="CI35" s="100"/>
      <c r="CJ35" s="100"/>
      <c r="CK35" s="100"/>
      <c r="CL35" s="100"/>
      <c r="CM35" s="100"/>
      <c r="CN35" s="100"/>
      <c r="CO35" s="100"/>
      <c r="CP35" s="100"/>
      <c r="CQ35" s="100"/>
      <c r="CR35" s="100"/>
      <c r="CS35" s="100"/>
      <c r="CT35" s="100"/>
      <c r="CU35" s="100"/>
      <c r="CV35" s="100"/>
      <c r="CW35" s="100"/>
      <c r="CX35" s="100"/>
      <c r="CY35" s="100"/>
      <c r="CZ35" s="100"/>
    </row>
    <row r="36" spans="1:104" x14ac:dyDescent="0.35">
      <c r="A36" s="98"/>
      <c r="B36" s="131"/>
      <c r="C36" s="98"/>
      <c r="D36" s="98"/>
      <c r="E36" s="538"/>
      <c r="F36" s="537"/>
      <c r="G36" s="537"/>
      <c r="H36" s="107"/>
      <c r="I36" s="101" t="s">
        <v>497</v>
      </c>
      <c r="J36" s="101"/>
      <c r="K36" s="101"/>
      <c r="L36" s="101"/>
      <c r="M36" s="192"/>
      <c r="N36" s="192"/>
      <c r="O36" s="192"/>
      <c r="P36" s="476"/>
      <c r="Q36" s="215"/>
      <c r="R36" s="215"/>
      <c r="S36" s="215"/>
      <c r="T36" s="461"/>
      <c r="U36" s="215"/>
      <c r="V36" s="215"/>
      <c r="W36" s="192"/>
      <c r="X36" s="192"/>
      <c r="Y36" s="192"/>
      <c r="Z36" s="100"/>
      <c r="AA36" s="100"/>
      <c r="AB36" s="100"/>
      <c r="AC36" s="100"/>
      <c r="AD36" s="100"/>
      <c r="AE36" s="100"/>
      <c r="AF36" s="100"/>
      <c r="AG36" s="100"/>
      <c r="AH36" s="100"/>
      <c r="AI36" s="100"/>
      <c r="AJ36" s="100"/>
      <c r="AK36" s="100"/>
      <c r="AL36" s="100"/>
      <c r="AM36" s="100"/>
      <c r="AN36" s="100"/>
      <c r="AO36" s="100"/>
      <c r="AP36" s="100"/>
      <c r="AQ36" s="100"/>
      <c r="AR36" s="100"/>
      <c r="AS36" s="100"/>
      <c r="AT36" s="100"/>
      <c r="AU36" s="100"/>
      <c r="AV36" s="100"/>
      <c r="AW36" s="100"/>
      <c r="AX36" s="100"/>
      <c r="AY36" s="100"/>
      <c r="AZ36" s="100"/>
      <c r="BA36" s="100"/>
      <c r="BB36" s="100"/>
      <c r="BC36" s="100"/>
      <c r="BD36" s="100"/>
      <c r="BE36" s="100"/>
      <c r="BF36" s="100"/>
      <c r="BG36" s="100"/>
      <c r="BH36" s="100"/>
      <c r="BI36" s="100"/>
      <c r="BJ36" s="100"/>
      <c r="BK36" s="100"/>
      <c r="BL36" s="100"/>
      <c r="BM36" s="100"/>
      <c r="BN36" s="100"/>
      <c r="BO36" s="100"/>
      <c r="BP36" s="100"/>
      <c r="BQ36" s="100"/>
      <c r="BR36" s="100"/>
      <c r="BS36" s="100"/>
      <c r="BT36" s="100"/>
      <c r="BU36" s="100"/>
      <c r="BV36" s="100"/>
      <c r="BW36" s="100"/>
      <c r="BX36" s="100"/>
      <c r="BY36" s="100"/>
      <c r="BZ36" s="100"/>
      <c r="CA36" s="100"/>
      <c r="CB36" s="100"/>
      <c r="CC36" s="100"/>
      <c r="CD36" s="100"/>
      <c r="CE36" s="100"/>
      <c r="CF36" s="100"/>
      <c r="CG36" s="100"/>
      <c r="CH36" s="100"/>
      <c r="CI36" s="100"/>
      <c r="CJ36" s="100"/>
      <c r="CK36" s="100"/>
      <c r="CL36" s="100"/>
      <c r="CM36" s="100"/>
      <c r="CN36" s="100"/>
      <c r="CO36" s="100"/>
      <c r="CP36" s="100"/>
      <c r="CQ36" s="100"/>
      <c r="CR36" s="100"/>
      <c r="CS36" s="100"/>
      <c r="CT36" s="100"/>
      <c r="CU36" s="100"/>
      <c r="CV36" s="100"/>
      <c r="CW36" s="100"/>
      <c r="CX36" s="100"/>
      <c r="CY36" s="100"/>
      <c r="CZ36" s="100"/>
    </row>
    <row r="37" spans="1:104" x14ac:dyDescent="0.35">
      <c r="A37" s="98"/>
      <c r="B37" s="131"/>
      <c r="C37" s="98"/>
      <c r="D37" s="98"/>
      <c r="E37" s="542"/>
      <c r="F37" s="542"/>
      <c r="G37" s="542"/>
      <c r="H37" s="107"/>
      <c r="I37" s="101"/>
      <c r="J37" s="101"/>
      <c r="K37" s="101"/>
      <c r="L37" s="101"/>
      <c r="M37" s="192"/>
      <c r="N37" s="192"/>
      <c r="O37" s="192"/>
      <c r="P37" s="476"/>
      <c r="Q37" s="215"/>
      <c r="R37" s="215"/>
      <c r="S37" s="215"/>
      <c r="T37" s="461"/>
      <c r="U37" s="215"/>
      <c r="V37" s="215"/>
      <c r="W37" s="192"/>
      <c r="X37" s="192"/>
      <c r="Y37" s="192"/>
      <c r="Z37" s="100"/>
      <c r="AA37" s="100"/>
      <c r="AB37" s="100"/>
      <c r="AC37" s="100"/>
      <c r="AD37" s="100"/>
      <c r="AE37" s="100"/>
      <c r="AF37" s="100"/>
      <c r="AG37" s="100"/>
      <c r="AH37" s="100"/>
      <c r="AI37" s="100"/>
      <c r="AJ37" s="100"/>
      <c r="AK37" s="100"/>
      <c r="AL37" s="100"/>
      <c r="AM37" s="100"/>
      <c r="AN37" s="100"/>
      <c r="AO37" s="100"/>
      <c r="AP37" s="100"/>
      <c r="AQ37" s="100"/>
      <c r="AR37" s="100"/>
      <c r="AS37" s="100"/>
      <c r="AT37" s="100"/>
      <c r="AU37" s="100"/>
      <c r="AV37" s="100"/>
      <c r="AW37" s="100"/>
      <c r="AX37" s="100"/>
      <c r="AY37" s="100"/>
      <c r="AZ37" s="100"/>
      <c r="BA37" s="100"/>
      <c r="BB37" s="100"/>
      <c r="BC37" s="100"/>
      <c r="BD37" s="100"/>
      <c r="BE37" s="100"/>
      <c r="BF37" s="100"/>
      <c r="BG37" s="100"/>
      <c r="BH37" s="100"/>
      <c r="BI37" s="100"/>
      <c r="BJ37" s="100"/>
      <c r="BK37" s="100"/>
      <c r="BL37" s="100"/>
      <c r="BM37" s="100"/>
      <c r="BN37" s="100"/>
      <c r="BO37" s="100"/>
      <c r="BP37" s="100"/>
      <c r="BQ37" s="100"/>
      <c r="BR37" s="100"/>
      <c r="BS37" s="100"/>
      <c r="BT37" s="100"/>
      <c r="BU37" s="100"/>
      <c r="BV37" s="100"/>
      <c r="BW37" s="100"/>
      <c r="BX37" s="100"/>
      <c r="BY37" s="100"/>
      <c r="BZ37" s="100"/>
      <c r="CA37" s="100"/>
      <c r="CB37" s="100"/>
      <c r="CC37" s="100"/>
      <c r="CD37" s="100"/>
      <c r="CE37" s="100"/>
      <c r="CF37" s="100"/>
      <c r="CG37" s="100"/>
      <c r="CH37" s="100"/>
      <c r="CI37" s="100"/>
      <c r="CJ37" s="100"/>
      <c r="CK37" s="100"/>
      <c r="CL37" s="100"/>
      <c r="CM37" s="100"/>
      <c r="CN37" s="100"/>
      <c r="CO37" s="100"/>
      <c r="CP37" s="100"/>
      <c r="CQ37" s="100"/>
      <c r="CR37" s="100"/>
      <c r="CS37" s="100"/>
      <c r="CT37" s="100"/>
      <c r="CU37" s="100"/>
      <c r="CV37" s="100"/>
      <c r="CW37" s="100"/>
      <c r="CX37" s="100"/>
      <c r="CY37" s="100"/>
      <c r="CZ37" s="100"/>
    </row>
    <row r="38" spans="1:104" x14ac:dyDescent="0.35">
      <c r="A38" s="98"/>
      <c r="B38" s="131"/>
      <c r="C38" s="98"/>
      <c r="D38" s="98"/>
      <c r="E38" s="538"/>
      <c r="F38" s="538"/>
      <c r="G38" s="538"/>
      <c r="H38" s="107"/>
      <c r="I38" s="101"/>
      <c r="J38" s="101"/>
      <c r="K38" s="101"/>
      <c r="L38" s="101"/>
      <c r="M38" s="192"/>
      <c r="N38" s="192"/>
      <c r="O38" s="192"/>
      <c r="P38" s="476"/>
      <c r="Q38" s="215"/>
      <c r="R38" s="215"/>
      <c r="S38" s="215"/>
      <c r="T38" s="461"/>
      <c r="U38" s="215"/>
      <c r="V38" s="215"/>
      <c r="W38" s="192"/>
      <c r="X38" s="192"/>
      <c r="Y38" s="192"/>
      <c r="Z38" s="100"/>
      <c r="AA38" s="100"/>
      <c r="AB38" s="100"/>
      <c r="AC38" s="100"/>
      <c r="AD38" s="100"/>
      <c r="AE38" s="100"/>
      <c r="AF38" s="100"/>
      <c r="AG38" s="100"/>
      <c r="AH38" s="100"/>
      <c r="AI38" s="100"/>
      <c r="AJ38" s="100"/>
      <c r="AK38" s="100"/>
      <c r="AL38" s="100"/>
      <c r="AM38" s="100"/>
      <c r="AN38" s="100"/>
      <c r="AO38" s="100"/>
      <c r="AP38" s="100"/>
      <c r="AQ38" s="100"/>
      <c r="AR38" s="100"/>
      <c r="AS38" s="100"/>
      <c r="AT38" s="100"/>
      <c r="AU38" s="100"/>
      <c r="AV38" s="100"/>
      <c r="AW38" s="100"/>
      <c r="AX38" s="100"/>
      <c r="AY38" s="100"/>
      <c r="AZ38" s="100"/>
      <c r="BA38" s="100"/>
      <c r="BB38" s="100"/>
      <c r="BC38" s="100"/>
      <c r="BD38" s="100"/>
      <c r="BE38" s="100"/>
      <c r="BF38" s="100"/>
      <c r="BG38" s="100"/>
      <c r="BH38" s="100"/>
      <c r="BI38" s="100"/>
      <c r="BJ38" s="100"/>
      <c r="BK38" s="100"/>
      <c r="BL38" s="100"/>
      <c r="BM38" s="100"/>
      <c r="BN38" s="100"/>
      <c r="BO38" s="100"/>
      <c r="BP38" s="100"/>
      <c r="BQ38" s="100"/>
      <c r="BR38" s="100"/>
      <c r="BS38" s="100"/>
      <c r="BT38" s="100"/>
      <c r="BU38" s="100"/>
      <c r="BV38" s="100"/>
      <c r="BW38" s="100"/>
      <c r="BX38" s="100"/>
      <c r="BY38" s="100"/>
      <c r="BZ38" s="100"/>
      <c r="CA38" s="100"/>
      <c r="CB38" s="100"/>
      <c r="CC38" s="100"/>
      <c r="CD38" s="100"/>
      <c r="CE38" s="100"/>
      <c r="CF38" s="100"/>
      <c r="CG38" s="100"/>
      <c r="CH38" s="100"/>
      <c r="CI38" s="100"/>
      <c r="CJ38" s="100"/>
      <c r="CK38" s="100"/>
      <c r="CL38" s="100"/>
      <c r="CM38" s="100"/>
      <c r="CN38" s="100"/>
      <c r="CO38" s="100"/>
      <c r="CP38" s="100"/>
      <c r="CQ38" s="100"/>
      <c r="CR38" s="100"/>
      <c r="CS38" s="100"/>
      <c r="CT38" s="100"/>
      <c r="CU38" s="100"/>
      <c r="CV38" s="100"/>
      <c r="CW38" s="100"/>
      <c r="CX38" s="100"/>
      <c r="CY38" s="100"/>
      <c r="CZ38" s="100"/>
    </row>
    <row r="39" spans="1:104" x14ac:dyDescent="0.35">
      <c r="A39" s="98"/>
      <c r="B39" s="131"/>
      <c r="C39" s="98"/>
      <c r="D39" s="98"/>
      <c r="E39" s="130"/>
      <c r="F39" s="127"/>
      <c r="G39" s="127"/>
      <c r="H39" s="107"/>
      <c r="O39" s="192"/>
      <c r="P39" s="477"/>
      <c r="Q39" s="215"/>
      <c r="R39" s="215"/>
      <c r="S39" s="215"/>
      <c r="T39" s="461"/>
      <c r="U39" s="215"/>
      <c r="V39" s="215"/>
      <c r="W39" s="192"/>
      <c r="X39" s="192"/>
      <c r="Y39" s="192"/>
      <c r="Z39" s="100"/>
      <c r="AA39" s="100"/>
      <c r="AB39" s="100"/>
      <c r="AC39" s="100"/>
      <c r="AD39" s="100"/>
      <c r="AE39" s="100"/>
      <c r="AF39" s="100"/>
      <c r="AG39" s="100"/>
      <c r="AH39" s="100"/>
      <c r="AI39" s="100"/>
      <c r="AJ39" s="100"/>
      <c r="AK39" s="100"/>
      <c r="AL39" s="100"/>
      <c r="AM39" s="100"/>
      <c r="AN39" s="100"/>
      <c r="AO39" s="100"/>
      <c r="AP39" s="100"/>
      <c r="AQ39" s="100"/>
      <c r="AR39" s="100"/>
      <c r="AS39" s="100"/>
      <c r="AT39" s="100"/>
      <c r="AU39" s="100"/>
      <c r="AV39" s="100"/>
      <c r="AW39" s="100"/>
      <c r="AX39" s="100"/>
      <c r="AY39" s="100"/>
      <c r="AZ39" s="100"/>
      <c r="BA39" s="100"/>
      <c r="BB39" s="100"/>
      <c r="BC39" s="100"/>
      <c r="BD39" s="100"/>
      <c r="BE39" s="100"/>
      <c r="BF39" s="100"/>
      <c r="BG39" s="100"/>
      <c r="BH39" s="100"/>
      <c r="BI39" s="100"/>
      <c r="BJ39" s="100"/>
      <c r="BK39" s="100"/>
      <c r="BL39" s="100"/>
      <c r="BM39" s="100"/>
      <c r="BN39" s="100"/>
      <c r="BO39" s="100"/>
      <c r="BP39" s="100"/>
      <c r="BQ39" s="100"/>
      <c r="BR39" s="100"/>
      <c r="BS39" s="100"/>
      <c r="BT39" s="100"/>
      <c r="BU39" s="100"/>
      <c r="BV39" s="100"/>
      <c r="BW39" s="100"/>
      <c r="BX39" s="100"/>
      <c r="BY39" s="100"/>
      <c r="BZ39" s="100"/>
      <c r="CA39" s="100"/>
      <c r="CB39" s="100"/>
      <c r="CC39" s="100"/>
      <c r="CD39" s="100"/>
      <c r="CE39" s="100"/>
      <c r="CF39" s="100"/>
      <c r="CG39" s="100"/>
      <c r="CH39" s="100"/>
      <c r="CI39" s="100"/>
      <c r="CJ39" s="100"/>
      <c r="CK39" s="100"/>
      <c r="CL39" s="100"/>
      <c r="CM39" s="100"/>
      <c r="CN39" s="100"/>
      <c r="CO39" s="100"/>
      <c r="CP39" s="100"/>
      <c r="CQ39" s="100"/>
      <c r="CR39" s="100"/>
      <c r="CS39" s="100"/>
      <c r="CT39" s="100"/>
      <c r="CU39" s="100"/>
      <c r="CV39" s="100"/>
      <c r="CW39" s="100"/>
      <c r="CX39" s="100"/>
      <c r="CY39" s="100"/>
      <c r="CZ39" s="100"/>
    </row>
    <row r="40" spans="1:104" x14ac:dyDescent="0.35">
      <c r="A40" s="98"/>
      <c r="B40" s="131"/>
      <c r="C40" s="98"/>
      <c r="H40" s="107"/>
      <c r="I40" s="101"/>
      <c r="J40" s="101"/>
      <c r="K40" s="101"/>
      <c r="L40" s="101"/>
      <c r="M40" s="192"/>
      <c r="N40" s="192"/>
      <c r="O40" s="192"/>
      <c r="P40" s="477"/>
      <c r="Q40" s="215"/>
      <c r="R40" s="215"/>
      <c r="S40" s="215"/>
      <c r="T40" s="461"/>
      <c r="U40" s="215"/>
      <c r="V40" s="215"/>
      <c r="W40" s="192"/>
      <c r="X40" s="192"/>
      <c r="Y40" s="192"/>
      <c r="Z40" s="100"/>
      <c r="AA40" s="100"/>
      <c r="AB40" s="100"/>
      <c r="AC40" s="100"/>
      <c r="AD40" s="100"/>
      <c r="AE40" s="100"/>
      <c r="AF40" s="100"/>
      <c r="AG40" s="100"/>
      <c r="AH40" s="100"/>
      <c r="AI40" s="100"/>
      <c r="AJ40" s="100"/>
      <c r="AK40" s="100"/>
      <c r="AL40" s="100"/>
      <c r="AM40" s="100"/>
      <c r="AN40" s="100"/>
      <c r="AO40" s="100"/>
      <c r="AP40" s="100"/>
      <c r="AQ40" s="100"/>
      <c r="AR40" s="100"/>
      <c r="AS40" s="100"/>
      <c r="AT40" s="100"/>
      <c r="AU40" s="100"/>
      <c r="AV40" s="100"/>
      <c r="AW40" s="100"/>
      <c r="AX40" s="100"/>
      <c r="AY40" s="100"/>
      <c r="AZ40" s="100"/>
      <c r="BA40" s="100"/>
      <c r="BB40" s="100"/>
      <c r="BC40" s="100"/>
      <c r="BD40" s="100"/>
      <c r="BE40" s="100"/>
      <c r="BF40" s="100"/>
      <c r="BG40" s="100"/>
      <c r="BH40" s="100"/>
      <c r="BI40" s="100"/>
      <c r="BJ40" s="100"/>
      <c r="BK40" s="100"/>
      <c r="BL40" s="100"/>
      <c r="BM40" s="100"/>
      <c r="BN40" s="100"/>
      <c r="BO40" s="100"/>
      <c r="BP40" s="100"/>
      <c r="BQ40" s="100"/>
      <c r="BR40" s="100"/>
      <c r="BS40" s="100"/>
      <c r="BT40" s="100"/>
      <c r="BU40" s="100"/>
      <c r="BV40" s="100"/>
      <c r="BW40" s="100"/>
      <c r="BX40" s="100"/>
      <c r="BY40" s="100"/>
      <c r="BZ40" s="100"/>
      <c r="CA40" s="100"/>
      <c r="CB40" s="100"/>
      <c r="CC40" s="100"/>
      <c r="CD40" s="100"/>
      <c r="CE40" s="100"/>
      <c r="CF40" s="100"/>
      <c r="CG40" s="100"/>
      <c r="CH40" s="100"/>
      <c r="CI40" s="100"/>
      <c r="CJ40" s="100"/>
      <c r="CK40" s="100"/>
      <c r="CL40" s="100"/>
      <c r="CM40" s="100"/>
      <c r="CN40" s="100"/>
      <c r="CO40" s="100"/>
      <c r="CP40" s="100"/>
      <c r="CQ40" s="100"/>
      <c r="CR40" s="100"/>
      <c r="CS40" s="100"/>
      <c r="CT40" s="100"/>
      <c r="CU40" s="100"/>
      <c r="CV40" s="100"/>
      <c r="CW40" s="100"/>
      <c r="CX40" s="100"/>
      <c r="CY40" s="100"/>
      <c r="CZ40" s="100"/>
    </row>
    <row r="41" spans="1:104" x14ac:dyDescent="0.35">
      <c r="A41" s="98"/>
      <c r="B41" s="131"/>
      <c r="C41" s="98"/>
      <c r="H41" s="107"/>
      <c r="I41" s="101"/>
      <c r="J41" s="101"/>
      <c r="K41" s="101"/>
      <c r="L41" s="101"/>
      <c r="M41" s="192"/>
      <c r="N41" s="192"/>
      <c r="O41" s="192"/>
      <c r="P41" s="477"/>
      <c r="Q41" s="215"/>
      <c r="R41" s="215"/>
      <c r="S41" s="215"/>
      <c r="T41" s="461"/>
      <c r="U41" s="215"/>
      <c r="V41" s="215"/>
      <c r="W41" s="192"/>
      <c r="X41" s="192"/>
      <c r="Y41" s="192"/>
      <c r="Z41" s="100"/>
      <c r="AA41" s="100"/>
      <c r="AB41" s="100"/>
      <c r="AC41" s="100"/>
      <c r="AD41" s="100"/>
      <c r="AE41" s="100"/>
      <c r="AF41" s="100"/>
      <c r="AG41" s="100"/>
      <c r="AH41" s="100"/>
      <c r="AI41" s="100"/>
      <c r="AJ41" s="100"/>
      <c r="AK41" s="100"/>
      <c r="AL41" s="100"/>
      <c r="AM41" s="100"/>
      <c r="AN41" s="100"/>
      <c r="AO41" s="100"/>
      <c r="AP41" s="100"/>
      <c r="AQ41" s="100"/>
      <c r="AR41" s="100"/>
      <c r="AS41" s="100"/>
      <c r="AT41" s="100"/>
      <c r="AU41" s="100"/>
      <c r="AV41" s="100"/>
      <c r="AW41" s="100"/>
      <c r="AX41" s="100"/>
      <c r="AY41" s="100"/>
      <c r="AZ41" s="100"/>
      <c r="BA41" s="100"/>
      <c r="BB41" s="100"/>
      <c r="BC41" s="100"/>
      <c r="BD41" s="100"/>
      <c r="BE41" s="100"/>
      <c r="BF41" s="100"/>
      <c r="BG41" s="100"/>
      <c r="BH41" s="100"/>
      <c r="BI41" s="100"/>
      <c r="BJ41" s="100"/>
      <c r="BK41" s="100"/>
      <c r="BL41" s="100"/>
      <c r="BM41" s="100"/>
      <c r="BN41" s="100"/>
      <c r="BO41" s="100"/>
      <c r="BP41" s="100"/>
      <c r="BQ41" s="100"/>
      <c r="BR41" s="100"/>
      <c r="BS41" s="100"/>
      <c r="BT41" s="100"/>
      <c r="BU41" s="100"/>
      <c r="BV41" s="100"/>
      <c r="BW41" s="100"/>
      <c r="BX41" s="100"/>
      <c r="BY41" s="100"/>
      <c r="BZ41" s="100"/>
      <c r="CA41" s="100"/>
      <c r="CB41" s="100"/>
      <c r="CC41" s="100"/>
      <c r="CD41" s="100"/>
      <c r="CE41" s="100"/>
      <c r="CF41" s="100"/>
      <c r="CG41" s="100"/>
      <c r="CH41" s="100"/>
      <c r="CI41" s="100"/>
      <c r="CJ41" s="100"/>
      <c r="CK41" s="100"/>
      <c r="CL41" s="100"/>
      <c r="CM41" s="100"/>
      <c r="CN41" s="100"/>
      <c r="CO41" s="100"/>
      <c r="CP41" s="100"/>
      <c r="CQ41" s="100"/>
      <c r="CR41" s="100"/>
      <c r="CS41" s="100"/>
      <c r="CT41" s="100"/>
      <c r="CU41" s="100"/>
      <c r="CV41" s="100"/>
      <c r="CW41" s="100"/>
      <c r="CX41" s="100"/>
      <c r="CY41" s="100"/>
      <c r="CZ41" s="100"/>
    </row>
    <row r="42" spans="1:104" x14ac:dyDescent="0.35">
      <c r="A42" s="98"/>
      <c r="B42" s="131"/>
      <c r="C42" s="98"/>
      <c r="H42" s="107"/>
      <c r="I42" s="101"/>
      <c r="J42" s="101"/>
      <c r="K42" s="101"/>
      <c r="L42" s="192"/>
      <c r="M42" s="192"/>
      <c r="N42" s="192"/>
      <c r="O42" s="192"/>
      <c r="P42" s="477"/>
      <c r="Q42" s="215"/>
      <c r="R42" s="215"/>
      <c r="S42" s="215"/>
      <c r="T42" s="461"/>
      <c r="U42" s="215"/>
      <c r="V42" s="215"/>
      <c r="W42" s="192"/>
      <c r="X42" s="192"/>
      <c r="Y42" s="192"/>
      <c r="Z42" s="100"/>
      <c r="AA42" s="100"/>
      <c r="AB42" s="100"/>
      <c r="AC42" s="100"/>
      <c r="AD42" s="100"/>
      <c r="AE42" s="100"/>
      <c r="AF42" s="100"/>
      <c r="AG42" s="100"/>
      <c r="AH42" s="100"/>
      <c r="AI42" s="100"/>
      <c r="AJ42" s="100"/>
      <c r="AK42" s="100"/>
      <c r="AL42" s="100"/>
      <c r="AM42" s="100"/>
      <c r="AN42" s="100"/>
      <c r="AO42" s="100"/>
      <c r="AP42" s="100"/>
      <c r="AQ42" s="100"/>
      <c r="AR42" s="100"/>
      <c r="AS42" s="100"/>
      <c r="AT42" s="100"/>
      <c r="AU42" s="100"/>
      <c r="AV42" s="100"/>
      <c r="AW42" s="100"/>
      <c r="AX42" s="100"/>
      <c r="AY42" s="100"/>
      <c r="AZ42" s="100"/>
      <c r="BA42" s="100"/>
      <c r="BB42" s="100"/>
      <c r="BC42" s="100"/>
      <c r="BD42" s="100"/>
      <c r="BE42" s="100"/>
      <c r="BF42" s="100"/>
      <c r="BG42" s="100"/>
      <c r="BH42" s="100"/>
      <c r="BI42" s="100"/>
      <c r="BJ42" s="100"/>
      <c r="BK42" s="100"/>
      <c r="BL42" s="100"/>
      <c r="BM42" s="100"/>
      <c r="BN42" s="100"/>
      <c r="BO42" s="100"/>
      <c r="BP42" s="100"/>
      <c r="BQ42" s="100"/>
      <c r="BR42" s="100"/>
      <c r="BS42" s="100"/>
      <c r="BT42" s="100"/>
      <c r="BU42" s="100"/>
      <c r="BV42" s="100"/>
      <c r="BW42" s="100"/>
      <c r="BX42" s="100"/>
      <c r="BY42" s="100"/>
      <c r="BZ42" s="100"/>
      <c r="CA42" s="100"/>
      <c r="CB42" s="100"/>
      <c r="CC42" s="100"/>
      <c r="CD42" s="100"/>
      <c r="CE42" s="100"/>
      <c r="CF42" s="100"/>
      <c r="CG42" s="100"/>
      <c r="CH42" s="100"/>
      <c r="CI42" s="100"/>
      <c r="CJ42" s="100"/>
      <c r="CK42" s="100"/>
      <c r="CL42" s="100"/>
      <c r="CM42" s="100"/>
      <c r="CN42" s="100"/>
      <c r="CO42" s="100"/>
      <c r="CP42" s="100"/>
      <c r="CQ42" s="100"/>
      <c r="CR42" s="100"/>
      <c r="CS42" s="100"/>
      <c r="CT42" s="100"/>
      <c r="CU42" s="100"/>
      <c r="CV42" s="100"/>
      <c r="CW42" s="100"/>
      <c r="CX42" s="100"/>
      <c r="CY42" s="100"/>
      <c r="CZ42" s="100"/>
    </row>
    <row r="43" spans="1:104" x14ac:dyDescent="0.35">
      <c r="A43" s="98"/>
      <c r="B43" s="105"/>
      <c r="C43" s="98"/>
      <c r="H43" s="107"/>
      <c r="I43" s="101"/>
      <c r="J43" s="101"/>
      <c r="K43" s="107"/>
      <c r="L43" s="107"/>
      <c r="M43" s="107"/>
      <c r="N43" s="107"/>
      <c r="O43" s="107"/>
      <c r="P43" s="477"/>
      <c r="Q43" s="215"/>
      <c r="R43" s="215"/>
      <c r="S43" s="215"/>
      <c r="T43" s="461"/>
      <c r="U43" s="215"/>
      <c r="V43" s="215"/>
      <c r="W43" s="107"/>
      <c r="X43" s="107"/>
      <c r="Y43" s="107"/>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98"/>
      <c r="BJ43" s="98"/>
      <c r="BK43" s="98"/>
      <c r="BL43" s="98"/>
      <c r="BM43" s="98"/>
      <c r="BN43" s="98"/>
      <c r="BO43" s="98"/>
      <c r="BP43" s="98"/>
      <c r="BQ43" s="98"/>
      <c r="BR43" s="98"/>
      <c r="BS43" s="98"/>
      <c r="BT43" s="98"/>
      <c r="BU43" s="98"/>
      <c r="BV43" s="98"/>
      <c r="BW43" s="98"/>
      <c r="BX43" s="98"/>
      <c r="BY43" s="98"/>
      <c r="BZ43" s="98"/>
      <c r="CA43" s="98"/>
      <c r="CB43" s="98"/>
      <c r="CC43" s="98"/>
      <c r="CD43" s="98"/>
      <c r="CE43" s="98"/>
      <c r="CF43" s="98"/>
      <c r="CG43" s="98"/>
      <c r="CH43" s="98"/>
      <c r="CI43" s="98"/>
      <c r="CJ43" s="98"/>
      <c r="CK43" s="98"/>
      <c r="CL43" s="98"/>
      <c r="CM43" s="98"/>
      <c r="CN43" s="98"/>
      <c r="CO43" s="98"/>
      <c r="CP43" s="98"/>
      <c r="CQ43" s="98"/>
      <c r="CR43" s="98"/>
      <c r="CS43" s="98"/>
      <c r="CT43" s="98"/>
      <c r="CU43" s="98"/>
      <c r="CV43" s="98"/>
      <c r="CW43" s="98"/>
      <c r="CX43" s="98"/>
      <c r="CY43" s="98"/>
      <c r="CZ43" s="98"/>
    </row>
    <row r="44" spans="1:104" ht="13.3" thickBot="1" x14ac:dyDescent="0.4">
      <c r="A44" s="98"/>
      <c r="C44" s="98"/>
      <c r="D44" s="131"/>
      <c r="E44" s="98"/>
      <c r="F44" s="105"/>
      <c r="G44" s="98"/>
      <c r="H44" s="107"/>
      <c r="I44" s="107"/>
      <c r="J44" s="107"/>
      <c r="K44" s="107"/>
      <c r="L44" s="107"/>
      <c r="M44" s="107"/>
      <c r="N44" s="107"/>
      <c r="O44" s="107"/>
      <c r="P44" s="477"/>
      <c r="Q44" s="215"/>
      <c r="R44" s="215"/>
      <c r="S44" s="215"/>
      <c r="T44" s="461"/>
      <c r="U44" s="215"/>
      <c r="V44" s="215"/>
      <c r="W44" s="107"/>
      <c r="X44" s="107"/>
      <c r="Y44" s="107"/>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98"/>
      <c r="BJ44" s="98"/>
      <c r="BK44" s="98"/>
      <c r="BL44" s="98"/>
      <c r="BM44" s="98"/>
      <c r="BN44" s="98"/>
      <c r="BO44" s="98"/>
      <c r="BP44" s="98"/>
      <c r="BQ44" s="98"/>
      <c r="BR44" s="98"/>
      <c r="BS44" s="98"/>
      <c r="BT44" s="98"/>
      <c r="BU44" s="98"/>
      <c r="BV44" s="98"/>
      <c r="BW44" s="98"/>
      <c r="BX44" s="98"/>
      <c r="BY44" s="98"/>
      <c r="BZ44" s="98"/>
      <c r="CA44" s="98"/>
      <c r="CB44" s="98"/>
      <c r="CC44" s="98"/>
      <c r="CD44" s="98"/>
      <c r="CE44" s="98"/>
      <c r="CF44" s="98"/>
      <c r="CG44" s="98"/>
      <c r="CH44" s="98"/>
      <c r="CI44" s="98"/>
      <c r="CJ44" s="98"/>
      <c r="CK44" s="98"/>
      <c r="CL44" s="98"/>
      <c r="CM44" s="98"/>
      <c r="CN44" s="98"/>
      <c r="CO44" s="98"/>
      <c r="CP44" s="98"/>
      <c r="CQ44" s="98"/>
      <c r="CR44" s="98"/>
      <c r="CS44" s="98"/>
      <c r="CT44" s="98"/>
      <c r="CU44" s="98"/>
      <c r="CV44" s="98"/>
      <c r="CW44" s="98"/>
      <c r="CX44" s="98"/>
      <c r="CY44" s="98"/>
      <c r="CZ44" s="98"/>
    </row>
    <row r="45" spans="1:104" x14ac:dyDescent="0.35">
      <c r="A45" s="98"/>
      <c r="B45" s="231" t="s">
        <v>156</v>
      </c>
      <c r="C45" s="422" t="s">
        <v>219</v>
      </c>
      <c r="D45" s="134" t="s">
        <v>514</v>
      </c>
      <c r="E45" s="134" t="s">
        <v>36</v>
      </c>
      <c r="F45" s="134" t="s">
        <v>152</v>
      </c>
      <c r="G45" s="134"/>
      <c r="K45" s="192"/>
      <c r="L45" s="192"/>
      <c r="M45" s="192"/>
      <c r="N45" s="107"/>
      <c r="O45" s="107"/>
      <c r="P45" s="477"/>
      <c r="Q45" s="215"/>
      <c r="R45" s="215"/>
      <c r="S45" s="215"/>
      <c r="T45" s="461"/>
      <c r="U45" s="215"/>
      <c r="V45" s="215"/>
      <c r="W45" s="107"/>
      <c r="X45" s="107"/>
      <c r="Y45" s="107"/>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98"/>
      <c r="BJ45" s="98"/>
      <c r="BK45" s="98"/>
      <c r="BL45" s="98"/>
      <c r="BM45" s="98"/>
      <c r="BN45" s="98"/>
      <c r="BO45" s="98"/>
      <c r="BP45" s="98"/>
      <c r="BQ45" s="98"/>
      <c r="BR45" s="98"/>
      <c r="BS45" s="98"/>
      <c r="BT45" s="98"/>
      <c r="BU45" s="98"/>
      <c r="BV45" s="98"/>
      <c r="BW45" s="98"/>
      <c r="BX45" s="98"/>
      <c r="BY45" s="98"/>
      <c r="BZ45" s="98"/>
      <c r="CA45" s="98"/>
      <c r="CB45" s="98"/>
      <c r="CC45" s="98"/>
      <c r="CD45" s="98"/>
      <c r="CE45" s="98"/>
      <c r="CF45" s="98"/>
      <c r="CG45" s="98"/>
      <c r="CH45" s="98"/>
      <c r="CI45" s="98"/>
      <c r="CJ45" s="98"/>
      <c r="CK45" s="98"/>
      <c r="CL45" s="98"/>
      <c r="CM45" s="98"/>
      <c r="CN45" s="98"/>
      <c r="CO45" s="98"/>
      <c r="CP45" s="98"/>
      <c r="CQ45" s="98"/>
      <c r="CR45" s="98"/>
      <c r="CS45" s="98"/>
      <c r="CT45" s="98"/>
      <c r="CU45" s="98"/>
      <c r="CV45" s="98"/>
      <c r="CW45" s="98"/>
      <c r="CX45" s="98"/>
      <c r="CY45" s="98"/>
      <c r="CZ45" s="98"/>
    </row>
    <row r="46" spans="1:104" x14ac:dyDescent="0.35">
      <c r="A46" s="98"/>
      <c r="B46" s="184"/>
      <c r="C46" s="98"/>
      <c r="D46" s="124" t="s">
        <v>151</v>
      </c>
      <c r="E46" s="124"/>
      <c r="F46" s="124"/>
      <c r="G46" s="124"/>
      <c r="K46" s="192"/>
      <c r="L46" s="192"/>
      <c r="M46" s="192"/>
      <c r="N46" s="107"/>
      <c r="O46" s="107"/>
      <c r="P46" s="477"/>
      <c r="Q46" s="215"/>
      <c r="R46" s="215"/>
      <c r="S46" s="215"/>
      <c r="T46" s="461"/>
      <c r="U46" s="215"/>
      <c r="V46" s="215"/>
      <c r="W46" s="107"/>
      <c r="X46" s="107"/>
      <c r="Y46" s="107"/>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98"/>
      <c r="BJ46" s="98"/>
      <c r="BK46" s="98"/>
      <c r="BL46" s="98"/>
      <c r="BM46" s="98"/>
      <c r="BN46" s="98"/>
      <c r="BO46" s="98"/>
      <c r="BP46" s="98"/>
      <c r="BQ46" s="98"/>
      <c r="BR46" s="98"/>
      <c r="BS46" s="98"/>
      <c r="BT46" s="98"/>
      <c r="BU46" s="98"/>
      <c r="BV46" s="98"/>
      <c r="BW46" s="98"/>
      <c r="BX46" s="98"/>
      <c r="BY46" s="98"/>
      <c r="BZ46" s="98"/>
      <c r="CA46" s="98"/>
      <c r="CB46" s="98"/>
      <c r="CC46" s="98"/>
      <c r="CD46" s="98"/>
      <c r="CE46" s="98"/>
      <c r="CF46" s="98"/>
      <c r="CG46" s="98"/>
      <c r="CH46" s="98"/>
      <c r="CI46" s="98"/>
      <c r="CJ46" s="98"/>
      <c r="CK46" s="98"/>
      <c r="CL46" s="98"/>
      <c r="CM46" s="98"/>
      <c r="CN46" s="98"/>
      <c r="CO46" s="98"/>
      <c r="CP46" s="98"/>
      <c r="CQ46" s="98"/>
      <c r="CR46" s="98"/>
      <c r="CS46" s="98"/>
      <c r="CT46" s="98"/>
      <c r="CU46" s="98"/>
      <c r="CV46" s="98"/>
      <c r="CW46" s="98"/>
      <c r="CX46" s="98"/>
      <c r="CY46" s="98"/>
      <c r="CZ46" s="98"/>
    </row>
    <row r="47" spans="1:104" x14ac:dyDescent="0.35">
      <c r="A47" s="98"/>
      <c r="B47" s="98"/>
      <c r="C47" s="98"/>
      <c r="D47" s="107" t="s">
        <v>510</v>
      </c>
      <c r="E47" s="553">
        <v>0.5</v>
      </c>
      <c r="F47" s="552"/>
      <c r="G47" s="107"/>
      <c r="H47" s="107" t="s">
        <v>153</v>
      </c>
      <c r="K47" s="107"/>
      <c r="L47" s="107"/>
      <c r="M47" s="107"/>
      <c r="N47" s="107"/>
      <c r="O47" s="107"/>
      <c r="P47" s="477"/>
      <c r="Q47" s="215"/>
      <c r="R47" s="215"/>
      <c r="S47" s="215"/>
      <c r="T47" s="461"/>
      <c r="U47" s="215"/>
      <c r="V47" s="215"/>
      <c r="W47" s="107"/>
      <c r="X47" s="107"/>
      <c r="Y47" s="107"/>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98"/>
      <c r="BJ47" s="98"/>
      <c r="BK47" s="98"/>
      <c r="BL47" s="98"/>
      <c r="BM47" s="98"/>
      <c r="BN47" s="98"/>
      <c r="BO47" s="98"/>
      <c r="BP47" s="98"/>
      <c r="BQ47" s="98"/>
      <c r="BR47" s="98"/>
      <c r="BS47" s="98"/>
      <c r="BT47" s="98"/>
      <c r="BU47" s="98"/>
      <c r="BV47" s="98"/>
      <c r="BW47" s="98"/>
      <c r="BX47" s="98"/>
      <c r="BY47" s="98"/>
      <c r="BZ47" s="98"/>
      <c r="CA47" s="98"/>
      <c r="CB47" s="98"/>
      <c r="CC47" s="98"/>
      <c r="CD47" s="98"/>
      <c r="CE47" s="98"/>
      <c r="CF47" s="98"/>
      <c r="CG47" s="98"/>
      <c r="CH47" s="98"/>
      <c r="CI47" s="98"/>
      <c r="CJ47" s="98"/>
      <c r="CK47" s="98"/>
      <c r="CL47" s="98"/>
      <c r="CM47" s="98"/>
      <c r="CN47" s="98"/>
      <c r="CO47" s="98"/>
      <c r="CP47" s="98"/>
      <c r="CQ47" s="98"/>
      <c r="CR47" s="98"/>
      <c r="CS47" s="98"/>
      <c r="CT47" s="98"/>
      <c r="CU47" s="98"/>
      <c r="CV47" s="98"/>
      <c r="CW47" s="98"/>
      <c r="CX47" s="98"/>
      <c r="CY47" s="98"/>
      <c r="CZ47" s="98"/>
    </row>
    <row r="48" spans="1:104" x14ac:dyDescent="0.35">
      <c r="A48" s="98"/>
      <c r="B48" s="98"/>
      <c r="C48" s="98"/>
      <c r="D48" s="107" t="s">
        <v>498</v>
      </c>
      <c r="E48" s="554">
        <v>0.12</v>
      </c>
      <c r="F48" s="107"/>
      <c r="G48" s="107"/>
      <c r="H48" s="107"/>
      <c r="K48" s="107"/>
      <c r="L48" s="201"/>
      <c r="M48" s="107"/>
      <c r="N48" s="107"/>
      <c r="O48" s="107"/>
      <c r="P48" s="477"/>
      <c r="Q48" s="215"/>
      <c r="R48" s="215"/>
      <c r="S48" s="215"/>
      <c r="T48" s="461"/>
      <c r="U48" s="215"/>
      <c r="V48" s="215"/>
      <c r="W48" s="107"/>
      <c r="X48" s="107"/>
      <c r="Y48" s="107"/>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98"/>
      <c r="BJ48" s="98"/>
      <c r="BK48" s="98"/>
      <c r="BL48" s="98"/>
      <c r="BM48" s="98"/>
      <c r="BN48" s="98"/>
      <c r="BO48" s="98"/>
      <c r="BP48" s="98"/>
      <c r="BQ48" s="98"/>
      <c r="BR48" s="98"/>
      <c r="BS48" s="98"/>
      <c r="BT48" s="98"/>
      <c r="BU48" s="98"/>
      <c r="BV48" s="98"/>
      <c r="BW48" s="98"/>
      <c r="BX48" s="98"/>
      <c r="BY48" s="98"/>
      <c r="BZ48" s="98"/>
      <c r="CA48" s="98"/>
      <c r="CB48" s="98"/>
      <c r="CC48" s="98"/>
      <c r="CD48" s="98"/>
      <c r="CE48" s="98"/>
      <c r="CF48" s="98"/>
      <c r="CG48" s="98"/>
      <c r="CH48" s="98"/>
      <c r="CI48" s="98"/>
      <c r="CJ48" s="98"/>
      <c r="CK48" s="98"/>
      <c r="CL48" s="98"/>
      <c r="CM48" s="98"/>
      <c r="CN48" s="98"/>
      <c r="CO48" s="98"/>
      <c r="CP48" s="98"/>
      <c r="CQ48" s="98"/>
      <c r="CR48" s="98"/>
      <c r="CS48" s="98"/>
      <c r="CT48" s="98"/>
      <c r="CU48" s="98"/>
      <c r="CV48" s="98"/>
      <c r="CW48" s="98"/>
      <c r="CX48" s="98"/>
      <c r="CY48" s="98"/>
      <c r="CZ48" s="98"/>
    </row>
    <row r="49" spans="1:104" x14ac:dyDescent="0.35">
      <c r="A49" s="98"/>
      <c r="B49" s="98"/>
      <c r="C49" s="98"/>
      <c r="D49" s="107" t="s">
        <v>508</v>
      </c>
      <c r="E49" s="555">
        <v>0.06</v>
      </c>
      <c r="F49" s="552"/>
      <c r="G49" s="107"/>
      <c r="H49" s="107" t="s">
        <v>245</v>
      </c>
      <c r="K49" s="107"/>
      <c r="L49" s="201"/>
      <c r="M49" s="107"/>
      <c r="N49" s="107"/>
      <c r="O49" s="107"/>
      <c r="P49" s="477"/>
      <c r="Q49" s="215"/>
      <c r="R49" s="215"/>
      <c r="S49" s="215"/>
      <c r="T49" s="461"/>
      <c r="U49" s="215"/>
      <c r="V49" s="215"/>
      <c r="W49" s="107"/>
      <c r="X49" s="107"/>
      <c r="Y49" s="107"/>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c r="BD49" s="98"/>
      <c r="BE49" s="98"/>
      <c r="BF49" s="98"/>
      <c r="BG49" s="98"/>
      <c r="BH49" s="98"/>
      <c r="BI49" s="98"/>
      <c r="BJ49" s="98"/>
      <c r="BK49" s="98"/>
      <c r="BL49" s="98"/>
      <c r="BM49" s="98"/>
      <c r="BN49" s="98"/>
      <c r="BO49" s="98"/>
      <c r="BP49" s="98"/>
      <c r="BQ49" s="98"/>
      <c r="BR49" s="98"/>
      <c r="BS49" s="98"/>
      <c r="BT49" s="98"/>
      <c r="BU49" s="98"/>
      <c r="BV49" s="98"/>
      <c r="BW49" s="98"/>
      <c r="BX49" s="98"/>
      <c r="BY49" s="98"/>
      <c r="BZ49" s="98"/>
      <c r="CA49" s="98"/>
      <c r="CB49" s="98"/>
      <c r="CC49" s="98"/>
      <c r="CD49" s="98"/>
      <c r="CE49" s="98"/>
      <c r="CF49" s="98"/>
      <c r="CG49" s="98"/>
      <c r="CH49" s="98"/>
      <c r="CI49" s="98"/>
      <c r="CJ49" s="98"/>
      <c r="CK49" s="98"/>
      <c r="CL49" s="98"/>
      <c r="CM49" s="98"/>
      <c r="CN49" s="98"/>
      <c r="CO49" s="98"/>
      <c r="CP49" s="98"/>
      <c r="CQ49" s="98"/>
      <c r="CR49" s="98"/>
      <c r="CS49" s="98"/>
      <c r="CT49" s="98"/>
      <c r="CU49" s="98"/>
      <c r="CV49" s="98"/>
      <c r="CW49" s="98"/>
      <c r="CX49" s="98"/>
      <c r="CY49" s="98"/>
      <c r="CZ49" s="98"/>
    </row>
    <row r="50" spans="1:104" x14ac:dyDescent="0.35">
      <c r="A50" s="98"/>
      <c r="B50" s="490"/>
      <c r="C50" s="98"/>
      <c r="D50" s="107" t="s">
        <v>645</v>
      </c>
      <c r="E50" s="553">
        <f>E48</f>
        <v>0.12</v>
      </c>
      <c r="F50" s="552"/>
      <c r="G50" s="107"/>
      <c r="H50" s="107"/>
      <c r="K50" s="107"/>
      <c r="L50" s="201"/>
      <c r="M50" s="107"/>
      <c r="N50" s="107"/>
      <c r="O50" s="107"/>
      <c r="P50" s="477"/>
      <c r="Q50" s="215"/>
      <c r="R50" s="215"/>
      <c r="S50" s="215"/>
      <c r="T50" s="461"/>
      <c r="U50" s="215"/>
      <c r="V50" s="215"/>
      <c r="W50" s="107"/>
      <c r="X50" s="107"/>
      <c r="Y50" s="107"/>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c r="BD50" s="98"/>
      <c r="BE50" s="98"/>
      <c r="BF50" s="98"/>
      <c r="BG50" s="98"/>
      <c r="BH50" s="98"/>
      <c r="BI50" s="98"/>
      <c r="BJ50" s="98"/>
      <c r="BK50" s="98"/>
      <c r="BL50" s="98"/>
      <c r="BM50" s="98"/>
      <c r="BN50" s="98"/>
      <c r="BO50" s="98"/>
      <c r="BP50" s="98"/>
      <c r="BQ50" s="98"/>
      <c r="BR50" s="98"/>
      <c r="BS50" s="98"/>
      <c r="BT50" s="98"/>
      <c r="BU50" s="98"/>
      <c r="BV50" s="98"/>
      <c r="BW50" s="98"/>
      <c r="BX50" s="98"/>
      <c r="BY50" s="98"/>
      <c r="BZ50" s="98"/>
      <c r="CA50" s="98"/>
      <c r="CB50" s="98"/>
      <c r="CC50" s="98"/>
      <c r="CD50" s="98"/>
      <c r="CE50" s="98"/>
      <c r="CF50" s="98"/>
      <c r="CG50" s="98"/>
      <c r="CH50" s="98"/>
      <c r="CI50" s="98"/>
      <c r="CJ50" s="98"/>
      <c r="CK50" s="98"/>
      <c r="CL50" s="98"/>
      <c r="CM50" s="98"/>
      <c r="CN50" s="98"/>
      <c r="CO50" s="98"/>
      <c r="CP50" s="98"/>
      <c r="CQ50" s="98"/>
      <c r="CR50" s="98"/>
      <c r="CS50" s="98"/>
      <c r="CT50" s="98"/>
      <c r="CU50" s="98"/>
      <c r="CV50" s="98"/>
      <c r="CW50" s="98"/>
      <c r="CX50" s="98"/>
      <c r="CY50" s="98"/>
      <c r="CZ50" s="98"/>
    </row>
    <row r="51" spans="1:104" x14ac:dyDescent="0.35">
      <c r="A51" s="98"/>
      <c r="B51" s="98"/>
      <c r="C51" s="98"/>
      <c r="D51" s="107" t="s">
        <v>509</v>
      </c>
      <c r="E51" s="553">
        <v>0.24</v>
      </c>
      <c r="F51" s="552"/>
      <c r="G51" s="107"/>
      <c r="H51" s="107"/>
      <c r="I51" s="107"/>
      <c r="J51" s="107"/>
      <c r="K51" s="107"/>
      <c r="L51" s="201"/>
      <c r="M51" s="107"/>
      <c r="N51" s="107"/>
      <c r="O51" s="107"/>
      <c r="P51" s="477"/>
      <c r="Q51" s="215"/>
      <c r="R51" s="215"/>
      <c r="S51" s="215"/>
      <c r="T51" s="461"/>
      <c r="U51" s="215"/>
      <c r="V51" s="215"/>
      <c r="W51" s="107"/>
      <c r="X51" s="107"/>
      <c r="Y51" s="107"/>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c r="BD51" s="98"/>
      <c r="BE51" s="98"/>
      <c r="BF51" s="98"/>
      <c r="BG51" s="98"/>
      <c r="BH51" s="98"/>
      <c r="BI51" s="98"/>
      <c r="BJ51" s="98"/>
      <c r="BK51" s="98"/>
      <c r="BL51" s="98"/>
      <c r="BM51" s="98"/>
      <c r="BN51" s="98"/>
      <c r="BO51" s="98"/>
      <c r="BP51" s="98"/>
      <c r="BQ51" s="98"/>
      <c r="BR51" s="98"/>
      <c r="BS51" s="98"/>
      <c r="BT51" s="98"/>
      <c r="BU51" s="98"/>
      <c r="BV51" s="98"/>
      <c r="BW51" s="98"/>
      <c r="BX51" s="98"/>
      <c r="BY51" s="98"/>
      <c r="BZ51" s="98"/>
      <c r="CA51" s="98"/>
      <c r="CB51" s="98"/>
      <c r="CC51" s="98"/>
      <c r="CD51" s="98"/>
      <c r="CE51" s="98"/>
      <c r="CF51" s="98"/>
      <c r="CG51" s="98"/>
      <c r="CH51" s="98"/>
      <c r="CI51" s="98"/>
      <c r="CJ51" s="98"/>
      <c r="CK51" s="98"/>
      <c r="CL51" s="98"/>
      <c r="CM51" s="98"/>
      <c r="CN51" s="98"/>
      <c r="CO51" s="98"/>
      <c r="CP51" s="98"/>
      <c r="CQ51" s="98"/>
      <c r="CR51" s="98"/>
      <c r="CS51" s="98"/>
      <c r="CT51" s="98"/>
      <c r="CU51" s="98"/>
      <c r="CV51" s="98"/>
      <c r="CW51" s="98"/>
      <c r="CX51" s="98"/>
      <c r="CY51" s="98"/>
      <c r="CZ51" s="98"/>
    </row>
    <row r="52" spans="1:104" x14ac:dyDescent="0.35">
      <c r="A52" s="98"/>
      <c r="B52" s="98"/>
      <c r="C52" s="98"/>
      <c r="D52" s="110" t="s">
        <v>154</v>
      </c>
      <c r="E52" s="553">
        <v>0.02</v>
      </c>
      <c r="F52" s="552"/>
      <c r="G52" s="107"/>
      <c r="H52" s="107"/>
      <c r="I52" s="137"/>
      <c r="J52" s="107"/>
      <c r="K52" s="107"/>
      <c r="L52" s="107"/>
      <c r="M52" s="107"/>
      <c r="N52" s="107"/>
      <c r="O52" s="107"/>
      <c r="P52" s="477"/>
      <c r="Q52" s="215"/>
      <c r="R52" s="215"/>
      <c r="S52" s="215"/>
      <c r="T52" s="461"/>
      <c r="U52" s="215"/>
      <c r="V52" s="215"/>
      <c r="W52" s="107"/>
      <c r="X52" s="107"/>
      <c r="Y52" s="107"/>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c r="BD52" s="98"/>
      <c r="BE52" s="98"/>
      <c r="BF52" s="98"/>
      <c r="BG52" s="98"/>
      <c r="BH52" s="98"/>
      <c r="BI52" s="98"/>
      <c r="BJ52" s="98"/>
      <c r="BK52" s="98"/>
      <c r="BL52" s="98"/>
      <c r="BM52" s="98"/>
      <c r="BN52" s="98"/>
      <c r="BO52" s="98"/>
      <c r="BP52" s="98"/>
      <c r="BQ52" s="98"/>
      <c r="BR52" s="98"/>
      <c r="BS52" s="98"/>
      <c r="BT52" s="98"/>
      <c r="BU52" s="98"/>
      <c r="BV52" s="98"/>
      <c r="BW52" s="98"/>
      <c r="BX52" s="98"/>
      <c r="BY52" s="98"/>
      <c r="BZ52" s="98"/>
      <c r="CA52" s="98"/>
      <c r="CB52" s="98"/>
      <c r="CC52" s="98"/>
      <c r="CD52" s="98"/>
      <c r="CE52" s="98"/>
      <c r="CF52" s="98"/>
      <c r="CG52" s="98"/>
      <c r="CH52" s="98"/>
      <c r="CI52" s="98"/>
      <c r="CJ52" s="98"/>
      <c r="CK52" s="98"/>
      <c r="CL52" s="98"/>
      <c r="CM52" s="98"/>
      <c r="CN52" s="98"/>
      <c r="CO52" s="98"/>
      <c r="CP52" s="98"/>
      <c r="CQ52" s="98"/>
      <c r="CR52" s="98"/>
      <c r="CS52" s="98"/>
      <c r="CT52" s="98"/>
      <c r="CU52" s="98"/>
      <c r="CV52" s="98"/>
      <c r="CW52" s="98"/>
      <c r="CX52" s="98"/>
      <c r="CY52" s="98"/>
      <c r="CZ52" s="98"/>
    </row>
    <row r="53" spans="1:104" x14ac:dyDescent="0.35">
      <c r="A53" s="98"/>
      <c r="B53" s="98"/>
      <c r="C53" s="107"/>
      <c r="D53" s="107" t="s">
        <v>177</v>
      </c>
      <c r="E53" s="556">
        <v>0</v>
      </c>
      <c r="F53" s="552"/>
      <c r="G53" s="107"/>
      <c r="H53" s="107"/>
      <c r="I53" s="107"/>
      <c r="J53" s="107"/>
      <c r="K53" s="107"/>
      <c r="L53" s="107"/>
      <c r="M53" s="107"/>
      <c r="N53" s="107"/>
      <c r="O53" s="107"/>
      <c r="P53" s="478"/>
      <c r="Q53" s="216"/>
      <c r="R53" s="216"/>
      <c r="S53" s="216"/>
      <c r="T53" s="463"/>
      <c r="U53" s="216"/>
      <c r="V53" s="216"/>
      <c r="W53" s="107"/>
      <c r="X53" s="107"/>
      <c r="Y53" s="107"/>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c r="BD53" s="98"/>
      <c r="BE53" s="98"/>
      <c r="BF53" s="98"/>
      <c r="BG53" s="98"/>
      <c r="BH53" s="98"/>
      <c r="BI53" s="98"/>
      <c r="BJ53" s="98"/>
      <c r="BK53" s="98"/>
      <c r="BL53" s="98"/>
      <c r="BM53" s="98"/>
      <c r="BN53" s="98"/>
      <c r="BO53" s="98"/>
      <c r="BP53" s="98"/>
      <c r="BQ53" s="98"/>
      <c r="BR53" s="98"/>
      <c r="BS53" s="98"/>
      <c r="BT53" s="98"/>
      <c r="BU53" s="98"/>
      <c r="BV53" s="98"/>
      <c r="BW53" s="98"/>
      <c r="BX53" s="98"/>
      <c r="BY53" s="98"/>
      <c r="BZ53" s="98"/>
      <c r="CA53" s="98"/>
      <c r="CB53" s="98"/>
      <c r="CC53" s="98"/>
      <c r="CD53" s="98"/>
      <c r="CE53" s="98"/>
      <c r="CF53" s="98"/>
      <c r="CG53" s="98"/>
      <c r="CH53" s="98"/>
      <c r="CI53" s="98"/>
      <c r="CJ53" s="98"/>
      <c r="CK53" s="98"/>
      <c r="CL53" s="98"/>
      <c r="CM53" s="98"/>
      <c r="CN53" s="98"/>
      <c r="CO53" s="98"/>
      <c r="CP53" s="98"/>
      <c r="CQ53" s="98"/>
      <c r="CR53" s="98"/>
      <c r="CS53" s="98"/>
      <c r="CT53" s="98"/>
      <c r="CU53" s="98"/>
      <c r="CV53" s="98"/>
      <c r="CW53" s="98"/>
      <c r="CX53" s="98"/>
      <c r="CY53" s="98"/>
      <c r="CZ53" s="98"/>
    </row>
    <row r="54" spans="1:104" x14ac:dyDescent="0.35">
      <c r="A54" s="98"/>
      <c r="B54" s="98"/>
      <c r="C54" s="107"/>
      <c r="D54" s="107" t="s">
        <v>646</v>
      </c>
      <c r="E54" s="557" t="s">
        <v>579</v>
      </c>
      <c r="F54" s="552"/>
      <c r="G54" s="107"/>
      <c r="H54" s="107" t="s">
        <v>580</v>
      </c>
      <c r="I54" s="107"/>
      <c r="J54" s="107"/>
      <c r="K54" s="107"/>
      <c r="L54" s="107"/>
      <c r="M54" s="107"/>
      <c r="N54" s="107"/>
      <c r="O54" s="107"/>
      <c r="P54" s="107" t="s">
        <v>570</v>
      </c>
      <c r="Q54" s="426"/>
      <c r="R54" s="426"/>
      <c r="S54" s="426"/>
      <c r="T54" s="131"/>
      <c r="U54" s="426"/>
      <c r="V54" s="426"/>
      <c r="W54" s="107"/>
      <c r="X54" s="107"/>
      <c r="Y54" s="107"/>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c r="BD54" s="98"/>
      <c r="BE54" s="98"/>
      <c r="BF54" s="98"/>
      <c r="BG54" s="98"/>
      <c r="BH54" s="98"/>
      <c r="BI54" s="98"/>
      <c r="BJ54" s="98"/>
      <c r="BK54" s="98"/>
      <c r="BL54" s="98"/>
      <c r="BM54" s="98"/>
      <c r="BN54" s="98"/>
      <c r="BO54" s="98"/>
      <c r="BP54" s="98"/>
      <c r="BQ54" s="98"/>
      <c r="BR54" s="98"/>
      <c r="BS54" s="98"/>
      <c r="BT54" s="98"/>
      <c r="BU54" s="98"/>
      <c r="BV54" s="98"/>
      <c r="BW54" s="98"/>
      <c r="BX54" s="98"/>
      <c r="BY54" s="98"/>
      <c r="BZ54" s="98"/>
      <c r="CA54" s="98"/>
      <c r="CB54" s="98"/>
      <c r="CC54" s="98"/>
      <c r="CD54" s="98"/>
      <c r="CE54" s="98"/>
      <c r="CF54" s="98"/>
      <c r="CG54" s="98"/>
      <c r="CH54" s="98"/>
      <c r="CI54" s="98"/>
      <c r="CJ54" s="98"/>
      <c r="CK54" s="98"/>
      <c r="CL54" s="98"/>
      <c r="CM54" s="98"/>
      <c r="CN54" s="98"/>
      <c r="CO54" s="98"/>
      <c r="CP54" s="98"/>
      <c r="CQ54" s="98"/>
      <c r="CR54" s="98"/>
      <c r="CS54" s="98"/>
      <c r="CT54" s="98"/>
      <c r="CU54" s="98"/>
      <c r="CV54" s="98"/>
      <c r="CW54" s="98"/>
      <c r="CX54" s="98"/>
      <c r="CY54" s="98"/>
      <c r="CZ54" s="98"/>
    </row>
    <row r="55" spans="1:104" x14ac:dyDescent="0.35">
      <c r="A55" s="98"/>
      <c r="B55" s="98"/>
      <c r="C55" s="107"/>
      <c r="D55" s="551" t="s">
        <v>647</v>
      </c>
      <c r="E55" s="558">
        <v>15</v>
      </c>
      <c r="F55" s="552"/>
      <c r="G55" s="107"/>
      <c r="H55" s="107" t="s">
        <v>581</v>
      </c>
      <c r="I55" s="107"/>
      <c r="J55" s="107"/>
      <c r="K55" s="107"/>
      <c r="L55" s="107"/>
      <c r="M55" s="107"/>
      <c r="N55" s="107"/>
      <c r="O55" s="107"/>
      <c r="P55" s="101" t="s">
        <v>497</v>
      </c>
      <c r="Q55" s="426"/>
      <c r="R55" s="426"/>
      <c r="S55" s="426"/>
      <c r="T55" s="131"/>
      <c r="U55" s="426"/>
      <c r="V55" s="426"/>
      <c r="W55" s="107"/>
      <c r="X55" s="107"/>
      <c r="Y55" s="107"/>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c r="BD55" s="98"/>
      <c r="BE55" s="98"/>
      <c r="BF55" s="98"/>
      <c r="BG55" s="98"/>
      <c r="BH55" s="98"/>
      <c r="BI55" s="98"/>
      <c r="BJ55" s="98"/>
      <c r="BK55" s="98"/>
      <c r="BL55" s="98"/>
      <c r="BM55" s="98"/>
      <c r="BN55" s="98"/>
      <c r="BO55" s="98"/>
      <c r="BP55" s="98"/>
      <c r="BQ55" s="98"/>
      <c r="BR55" s="98"/>
      <c r="BS55" s="98"/>
      <c r="BT55" s="98"/>
      <c r="BU55" s="98"/>
      <c r="BV55" s="98"/>
      <c r="BW55" s="98"/>
      <c r="BX55" s="98"/>
      <c r="BY55" s="98"/>
      <c r="BZ55" s="98"/>
      <c r="CA55" s="98"/>
      <c r="CB55" s="98"/>
      <c r="CC55" s="98"/>
      <c r="CD55" s="98"/>
      <c r="CE55" s="98"/>
      <c r="CF55" s="98"/>
      <c r="CG55" s="98"/>
      <c r="CH55" s="98"/>
      <c r="CI55" s="98"/>
      <c r="CJ55" s="98"/>
      <c r="CK55" s="98"/>
      <c r="CL55" s="98"/>
      <c r="CM55" s="98"/>
      <c r="CN55" s="98"/>
      <c r="CO55" s="98"/>
      <c r="CP55" s="98"/>
      <c r="CQ55" s="98"/>
      <c r="CR55" s="98"/>
      <c r="CS55" s="98"/>
      <c r="CT55" s="98"/>
      <c r="CU55" s="98"/>
      <c r="CV55" s="98"/>
      <c r="CW55" s="98"/>
      <c r="CX55" s="98"/>
      <c r="CY55" s="98"/>
      <c r="CZ55" s="98"/>
    </row>
    <row r="56" spans="1:104" x14ac:dyDescent="0.35">
      <c r="A56" s="98"/>
      <c r="B56" s="98"/>
      <c r="C56" s="107"/>
      <c r="D56" s="107"/>
      <c r="E56" s="402"/>
      <c r="F56" s="107"/>
      <c r="G56" s="107"/>
      <c r="H56" s="107"/>
      <c r="I56" s="107"/>
      <c r="J56" s="107"/>
      <c r="K56" s="107"/>
      <c r="L56" s="107"/>
      <c r="M56" s="107"/>
      <c r="N56" s="107"/>
      <c r="O56" s="107"/>
      <c r="P56" s="101"/>
      <c r="Q56" s="426"/>
      <c r="R56" s="426"/>
      <c r="S56" s="426"/>
      <c r="T56" s="131"/>
      <c r="U56" s="426"/>
      <c r="V56" s="426"/>
      <c r="W56" s="107"/>
      <c r="X56" s="107"/>
      <c r="Y56" s="107"/>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c r="BD56" s="98"/>
      <c r="BE56" s="98"/>
      <c r="BF56" s="98"/>
      <c r="BG56" s="98"/>
      <c r="BH56" s="98"/>
      <c r="BI56" s="98"/>
      <c r="BJ56" s="98"/>
      <c r="BK56" s="98"/>
      <c r="BL56" s="98"/>
      <c r="BM56" s="98"/>
      <c r="BN56" s="98"/>
      <c r="BO56" s="98"/>
      <c r="BP56" s="98"/>
      <c r="BQ56" s="98"/>
      <c r="BR56" s="98"/>
      <c r="BS56" s="98"/>
      <c r="BT56" s="98"/>
      <c r="BU56" s="98"/>
      <c r="BV56" s="98"/>
      <c r="BW56" s="98"/>
      <c r="BX56" s="98"/>
      <c r="BY56" s="98"/>
      <c r="BZ56" s="98"/>
      <c r="CA56" s="98"/>
      <c r="CB56" s="98"/>
      <c r="CC56" s="98"/>
      <c r="CD56" s="98"/>
      <c r="CE56" s="98"/>
      <c r="CF56" s="98"/>
      <c r="CG56" s="98"/>
      <c r="CH56" s="98"/>
      <c r="CI56" s="98"/>
      <c r="CJ56" s="98"/>
      <c r="CK56" s="98"/>
      <c r="CL56" s="98"/>
      <c r="CM56" s="98"/>
      <c r="CN56" s="98"/>
      <c r="CO56" s="98"/>
      <c r="CP56" s="98"/>
      <c r="CQ56" s="98"/>
      <c r="CR56" s="98"/>
      <c r="CS56" s="98"/>
      <c r="CT56" s="98"/>
      <c r="CU56" s="98"/>
      <c r="CV56" s="98"/>
      <c r="CW56" s="98"/>
      <c r="CX56" s="98"/>
      <c r="CY56" s="98"/>
      <c r="CZ56" s="98"/>
    </row>
    <row r="57" spans="1:104" x14ac:dyDescent="0.35">
      <c r="A57" s="98"/>
      <c r="B57" s="490"/>
      <c r="C57" s="107"/>
      <c r="D57" s="539"/>
      <c r="E57" s="532"/>
      <c r="F57" s="107"/>
      <c r="G57" s="107"/>
      <c r="H57" s="539"/>
      <c r="I57" s="107"/>
      <c r="J57" s="107"/>
      <c r="K57" s="107"/>
      <c r="L57" s="107"/>
      <c r="M57" s="107"/>
      <c r="N57" s="107"/>
      <c r="O57" s="107"/>
      <c r="P57" s="101"/>
      <c r="Q57" s="107"/>
      <c r="R57" s="107"/>
      <c r="S57" s="107"/>
      <c r="T57" s="107"/>
      <c r="U57" s="107"/>
      <c r="V57" s="107"/>
      <c r="W57" s="107"/>
      <c r="X57" s="107"/>
      <c r="Y57" s="107"/>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c r="BD57" s="98"/>
      <c r="BE57" s="98"/>
      <c r="BF57" s="98"/>
      <c r="BG57" s="98"/>
      <c r="BH57" s="98"/>
      <c r="BI57" s="98"/>
      <c r="BJ57" s="98"/>
      <c r="BK57" s="98"/>
      <c r="BL57" s="98"/>
      <c r="BM57" s="98"/>
      <c r="BN57" s="98"/>
      <c r="BO57" s="98"/>
      <c r="BP57" s="98"/>
      <c r="BQ57" s="98"/>
      <c r="BR57" s="98"/>
      <c r="BS57" s="98"/>
      <c r="BT57" s="98"/>
      <c r="BU57" s="98"/>
      <c r="BV57" s="98"/>
      <c r="BW57" s="98"/>
      <c r="BX57" s="98"/>
      <c r="BY57" s="98"/>
      <c r="BZ57" s="98"/>
      <c r="CA57" s="98"/>
      <c r="CB57" s="98"/>
      <c r="CC57" s="98"/>
      <c r="CD57" s="98"/>
      <c r="CE57" s="98"/>
      <c r="CF57" s="98"/>
      <c r="CG57" s="98"/>
      <c r="CH57" s="98"/>
      <c r="CI57" s="98"/>
      <c r="CJ57" s="98"/>
      <c r="CK57" s="98"/>
      <c r="CL57" s="98"/>
      <c r="CM57" s="98"/>
      <c r="CN57" s="98"/>
      <c r="CO57" s="98"/>
      <c r="CP57" s="98"/>
      <c r="CQ57" s="98"/>
      <c r="CR57" s="98"/>
      <c r="CS57" s="98"/>
      <c r="CT57" s="98"/>
      <c r="CU57" s="98"/>
      <c r="CV57" s="98"/>
      <c r="CW57" s="98"/>
      <c r="CX57" s="98"/>
      <c r="CY57" s="98"/>
      <c r="CZ57" s="98"/>
    </row>
    <row r="58" spans="1:104" x14ac:dyDescent="0.35">
      <c r="A58" s="98"/>
      <c r="B58" s="490"/>
      <c r="C58" s="107"/>
      <c r="D58" s="539"/>
      <c r="E58" s="533"/>
      <c r="F58" s="107"/>
      <c r="G58" s="107"/>
      <c r="H58" s="539"/>
      <c r="I58" s="107"/>
      <c r="J58" s="107"/>
      <c r="K58" s="107"/>
      <c r="L58" s="107"/>
      <c r="M58" s="107"/>
      <c r="N58" s="107"/>
      <c r="O58" s="107"/>
      <c r="Q58" s="107"/>
      <c r="R58" s="107"/>
      <c r="S58" s="107"/>
      <c r="T58" s="107"/>
      <c r="U58" s="107"/>
      <c r="V58" s="107"/>
      <c r="W58" s="107"/>
      <c r="X58" s="107"/>
      <c r="Y58" s="107"/>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c r="BD58" s="98"/>
      <c r="BE58" s="98"/>
      <c r="BF58" s="98"/>
      <c r="BG58" s="98"/>
      <c r="BH58" s="98"/>
      <c r="BI58" s="98"/>
      <c r="BJ58" s="98"/>
      <c r="BK58" s="98"/>
      <c r="BL58" s="98"/>
      <c r="BM58" s="98"/>
      <c r="BN58" s="98"/>
      <c r="BO58" s="98"/>
      <c r="BP58" s="98"/>
      <c r="BQ58" s="98"/>
      <c r="BR58" s="98"/>
      <c r="BS58" s="98"/>
      <c r="BT58" s="98"/>
      <c r="BU58" s="98"/>
      <c r="BV58" s="98"/>
      <c r="BW58" s="98"/>
      <c r="BX58" s="98"/>
      <c r="BY58" s="98"/>
      <c r="BZ58" s="98"/>
      <c r="CA58" s="98"/>
      <c r="CB58" s="98"/>
      <c r="CC58" s="98"/>
      <c r="CD58" s="98"/>
      <c r="CE58" s="98"/>
      <c r="CF58" s="98"/>
      <c r="CG58" s="98"/>
      <c r="CH58" s="98"/>
      <c r="CI58" s="98"/>
      <c r="CJ58" s="98"/>
      <c r="CK58" s="98"/>
      <c r="CL58" s="98"/>
      <c r="CM58" s="98"/>
      <c r="CN58" s="98"/>
      <c r="CO58" s="98"/>
      <c r="CP58" s="98"/>
      <c r="CQ58" s="98"/>
      <c r="CR58" s="98"/>
      <c r="CS58" s="98"/>
      <c r="CT58" s="98"/>
      <c r="CU58" s="98"/>
      <c r="CV58" s="98"/>
      <c r="CW58" s="98"/>
      <c r="CX58" s="98"/>
      <c r="CY58" s="98"/>
      <c r="CZ58" s="98"/>
    </row>
    <row r="59" spans="1:104" x14ac:dyDescent="0.35">
      <c r="A59" s="98"/>
      <c r="B59" s="98"/>
      <c r="C59" s="107"/>
      <c r="D59" s="107"/>
      <c r="E59" s="107"/>
      <c r="F59" s="107"/>
      <c r="G59" s="107"/>
      <c r="H59" s="107"/>
      <c r="I59" s="107"/>
      <c r="J59" s="107"/>
      <c r="K59" s="107"/>
      <c r="L59" s="107"/>
      <c r="M59" s="107"/>
      <c r="O59" s="107"/>
      <c r="P59" s="107"/>
      <c r="Q59" s="107"/>
      <c r="R59" s="107"/>
      <c r="S59" s="107"/>
      <c r="T59" s="107"/>
      <c r="U59" s="107"/>
      <c r="V59" s="107"/>
      <c r="W59" s="107"/>
      <c r="X59" s="107"/>
      <c r="Y59" s="107"/>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c r="BD59" s="98"/>
      <c r="BE59" s="98"/>
      <c r="BF59" s="98"/>
      <c r="BG59" s="98"/>
      <c r="BH59" s="98"/>
      <c r="BI59" s="98"/>
      <c r="BJ59" s="98"/>
      <c r="BK59" s="98"/>
      <c r="BL59" s="98"/>
      <c r="BM59" s="98"/>
      <c r="BN59" s="98"/>
      <c r="BO59" s="98"/>
      <c r="BP59" s="98"/>
      <c r="BQ59" s="98"/>
      <c r="BR59" s="98"/>
      <c r="BS59" s="98"/>
      <c r="BT59" s="98"/>
      <c r="BU59" s="98"/>
      <c r="BV59" s="98"/>
      <c r="BW59" s="98"/>
      <c r="BX59" s="98"/>
      <c r="BY59" s="98"/>
      <c r="BZ59" s="98"/>
      <c r="CA59" s="98"/>
      <c r="CB59" s="98"/>
      <c r="CC59" s="98"/>
      <c r="CD59" s="98"/>
      <c r="CE59" s="98"/>
      <c r="CF59" s="98"/>
      <c r="CG59" s="98"/>
      <c r="CH59" s="98"/>
      <c r="CI59" s="98"/>
      <c r="CJ59" s="98"/>
      <c r="CK59" s="98"/>
      <c r="CL59" s="98"/>
      <c r="CM59" s="98"/>
      <c r="CN59" s="98"/>
      <c r="CO59" s="98"/>
      <c r="CP59" s="98"/>
      <c r="CQ59" s="98"/>
      <c r="CR59" s="98"/>
      <c r="CS59" s="98"/>
      <c r="CT59" s="98"/>
      <c r="CU59" s="98"/>
      <c r="CV59" s="98"/>
      <c r="CW59" s="98"/>
      <c r="CX59" s="98"/>
      <c r="CY59" s="98"/>
      <c r="CZ59" s="98"/>
    </row>
    <row r="60" spans="1:104" x14ac:dyDescent="0.35">
      <c r="A60" s="98"/>
      <c r="B60" s="98"/>
      <c r="C60" s="98"/>
      <c r="D60" s="107" t="s">
        <v>172</v>
      </c>
      <c r="E60" s="560">
        <v>2056</v>
      </c>
      <c r="F60" s="107"/>
      <c r="G60" s="107"/>
      <c r="H60" s="107"/>
      <c r="I60" s="107"/>
      <c r="J60" s="107"/>
      <c r="K60" s="107"/>
      <c r="L60" s="107"/>
      <c r="M60" s="107"/>
      <c r="N60" s="107"/>
      <c r="O60" s="107"/>
      <c r="P60" s="107"/>
      <c r="Q60" s="107"/>
      <c r="R60" s="107"/>
      <c r="S60" s="107"/>
      <c r="T60" s="107"/>
      <c r="U60" s="107"/>
      <c r="V60" s="107"/>
      <c r="W60" s="107"/>
      <c r="X60" s="107"/>
      <c r="Y60" s="107"/>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c r="BD60" s="98"/>
      <c r="BE60" s="98"/>
      <c r="BF60" s="98"/>
      <c r="BG60" s="98"/>
      <c r="BH60" s="98"/>
      <c r="BI60" s="98"/>
      <c r="BJ60" s="98"/>
      <c r="BK60" s="98"/>
      <c r="BL60" s="98"/>
      <c r="BM60" s="98"/>
      <c r="BN60" s="98"/>
      <c r="BO60" s="98"/>
      <c r="BP60" s="98"/>
      <c r="BQ60" s="98"/>
      <c r="BR60" s="98"/>
      <c r="BS60" s="98"/>
      <c r="BT60" s="98"/>
      <c r="BU60" s="98"/>
      <c r="BV60" s="98"/>
      <c r="BW60" s="98"/>
      <c r="BX60" s="98"/>
      <c r="BY60" s="98"/>
      <c r="BZ60" s="98"/>
      <c r="CA60" s="98"/>
      <c r="CB60" s="98"/>
      <c r="CC60" s="98"/>
      <c r="CD60" s="98"/>
      <c r="CE60" s="98"/>
      <c r="CF60" s="98"/>
      <c r="CG60" s="98"/>
      <c r="CH60" s="98"/>
      <c r="CI60" s="98"/>
      <c r="CJ60" s="98"/>
      <c r="CK60" s="98"/>
      <c r="CL60" s="98"/>
      <c r="CM60" s="98"/>
      <c r="CN60" s="98"/>
      <c r="CO60" s="98"/>
      <c r="CP60" s="98"/>
      <c r="CQ60" s="98"/>
      <c r="CR60" s="98"/>
      <c r="CS60" s="98"/>
      <c r="CT60" s="98"/>
      <c r="CU60" s="98"/>
      <c r="CV60" s="98"/>
      <c r="CW60" s="98"/>
      <c r="CX60" s="98"/>
      <c r="CY60" s="98"/>
      <c r="CZ60" s="98"/>
    </row>
    <row r="61" spans="1:104" x14ac:dyDescent="0.35">
      <c r="A61" s="98"/>
      <c r="B61" s="98"/>
      <c r="C61" s="98"/>
      <c r="D61" s="107" t="s">
        <v>648</v>
      </c>
      <c r="E61" s="560">
        <v>4</v>
      </c>
      <c r="F61" s="107" t="s">
        <v>246</v>
      </c>
      <c r="G61" s="107"/>
      <c r="H61" s="107" t="s">
        <v>521</v>
      </c>
      <c r="I61" s="107"/>
      <c r="J61" s="107"/>
      <c r="K61" s="107"/>
      <c r="L61" s="107"/>
      <c r="M61" s="107"/>
      <c r="N61" s="107"/>
      <c r="O61" s="107"/>
      <c r="P61" s="107"/>
      <c r="Q61" s="107"/>
      <c r="R61" s="107"/>
      <c r="S61" s="107"/>
      <c r="T61" s="107"/>
      <c r="U61" s="107"/>
      <c r="V61" s="107"/>
      <c r="W61" s="107"/>
      <c r="X61" s="107"/>
      <c r="Y61" s="107"/>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c r="BD61" s="98"/>
      <c r="BE61" s="98"/>
      <c r="BF61" s="98"/>
      <c r="BG61" s="98"/>
      <c r="BH61" s="98"/>
      <c r="BI61" s="98"/>
      <c r="BJ61" s="98"/>
      <c r="BK61" s="98"/>
      <c r="BL61" s="98"/>
      <c r="BM61" s="98"/>
      <c r="BN61" s="98"/>
      <c r="BO61" s="98"/>
      <c r="BP61" s="98"/>
      <c r="BQ61" s="98"/>
      <c r="BR61" s="98"/>
      <c r="BS61" s="98"/>
      <c r="BT61" s="98"/>
      <c r="BU61" s="98"/>
      <c r="BV61" s="98"/>
      <c r="BW61" s="98"/>
      <c r="BX61" s="98"/>
      <c r="BY61" s="98"/>
      <c r="BZ61" s="98"/>
      <c r="CA61" s="98"/>
      <c r="CB61" s="98"/>
      <c r="CC61" s="98"/>
      <c r="CD61" s="98"/>
      <c r="CE61" s="98"/>
      <c r="CF61" s="98"/>
      <c r="CG61" s="98"/>
      <c r="CH61" s="98"/>
      <c r="CI61" s="98"/>
      <c r="CJ61" s="98"/>
      <c r="CK61" s="98"/>
      <c r="CL61" s="98"/>
      <c r="CM61" s="98"/>
      <c r="CN61" s="98"/>
      <c r="CO61" s="98"/>
      <c r="CP61" s="98"/>
      <c r="CQ61" s="98"/>
      <c r="CR61" s="98"/>
      <c r="CS61" s="98"/>
      <c r="CT61" s="98"/>
      <c r="CU61" s="98"/>
      <c r="CV61" s="98"/>
      <c r="CW61" s="98"/>
      <c r="CX61" s="98"/>
      <c r="CY61" s="98"/>
      <c r="CZ61" s="98"/>
    </row>
    <row r="62" spans="1:104" x14ac:dyDescent="0.35">
      <c r="A62" s="111"/>
      <c r="B62" s="98"/>
      <c r="C62" s="98"/>
      <c r="D62" s="107" t="s">
        <v>649</v>
      </c>
      <c r="E62" s="560">
        <v>12</v>
      </c>
      <c r="F62" s="107" t="s">
        <v>246</v>
      </c>
      <c r="G62" s="107"/>
      <c r="H62" s="107"/>
      <c r="I62" s="137"/>
      <c r="J62" s="107"/>
      <c r="K62" s="107"/>
      <c r="L62" s="107"/>
      <c r="M62" s="107"/>
      <c r="N62" s="107"/>
      <c r="O62" s="107"/>
      <c r="P62" s="107"/>
      <c r="Q62" s="107"/>
      <c r="R62" s="107"/>
      <c r="S62" s="107"/>
      <c r="T62" s="107"/>
      <c r="U62" s="107"/>
      <c r="V62" s="107"/>
      <c r="W62" s="107"/>
      <c r="X62" s="107"/>
      <c r="Y62" s="107"/>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c r="BD62" s="98"/>
      <c r="BE62" s="98"/>
      <c r="BF62" s="98"/>
      <c r="BG62" s="98"/>
      <c r="BH62" s="98"/>
      <c r="BI62" s="98"/>
      <c r="BJ62" s="98"/>
      <c r="BK62" s="98"/>
      <c r="BL62" s="98"/>
      <c r="BM62" s="98"/>
      <c r="BN62" s="98"/>
      <c r="BO62" s="98"/>
      <c r="BP62" s="98"/>
      <c r="BQ62" s="98"/>
      <c r="BR62" s="98"/>
      <c r="BS62" s="98"/>
      <c r="BT62" s="98"/>
      <c r="BU62" s="98"/>
      <c r="BV62" s="98"/>
      <c r="BW62" s="98"/>
      <c r="BX62" s="98"/>
      <c r="BY62" s="98"/>
      <c r="BZ62" s="98"/>
      <c r="CA62" s="98"/>
      <c r="CB62" s="98"/>
      <c r="CC62" s="98"/>
      <c r="CD62" s="98"/>
      <c r="CE62" s="98"/>
      <c r="CF62" s="98"/>
      <c r="CG62" s="98"/>
      <c r="CH62" s="98"/>
      <c r="CI62" s="98"/>
      <c r="CJ62" s="98"/>
      <c r="CK62" s="98"/>
      <c r="CL62" s="98"/>
      <c r="CM62" s="98"/>
      <c r="CN62" s="98"/>
      <c r="CO62" s="98"/>
      <c r="CP62" s="98"/>
      <c r="CQ62" s="98"/>
      <c r="CR62" s="98"/>
      <c r="CS62" s="98"/>
      <c r="CT62" s="98"/>
      <c r="CU62" s="98"/>
      <c r="CV62" s="98"/>
      <c r="CW62" s="98"/>
      <c r="CX62" s="98"/>
      <c r="CY62" s="98"/>
      <c r="CZ62" s="98"/>
    </row>
    <row r="63" spans="1:104" x14ac:dyDescent="0.35">
      <c r="B63" s="98"/>
      <c r="C63" s="98"/>
      <c r="D63" s="107" t="s">
        <v>174</v>
      </c>
      <c r="E63" s="559">
        <f>E61+1</f>
        <v>5</v>
      </c>
      <c r="F63" s="107" t="s">
        <v>247</v>
      </c>
      <c r="G63" s="107"/>
      <c r="H63" s="107"/>
      <c r="I63" s="107"/>
      <c r="J63" s="107"/>
      <c r="K63" s="107"/>
      <c r="L63" s="107"/>
      <c r="M63" s="107"/>
      <c r="N63" s="107"/>
      <c r="O63" s="107"/>
      <c r="P63" s="107"/>
      <c r="Q63" s="107"/>
      <c r="R63" s="107"/>
      <c r="S63" s="107"/>
      <c r="T63" s="107"/>
      <c r="U63" s="107"/>
      <c r="V63" s="107"/>
      <c r="W63" s="107"/>
      <c r="X63" s="107"/>
      <c r="Y63" s="107"/>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c r="BD63" s="98"/>
      <c r="BE63" s="98"/>
      <c r="BF63" s="98"/>
      <c r="BG63" s="98"/>
      <c r="BH63" s="98"/>
      <c r="BI63" s="98"/>
      <c r="BJ63" s="98"/>
      <c r="BK63" s="98"/>
      <c r="BL63" s="98"/>
      <c r="BM63" s="98"/>
      <c r="BN63" s="98"/>
      <c r="BO63" s="98"/>
      <c r="BP63" s="98"/>
      <c r="BQ63" s="98"/>
      <c r="BR63" s="98"/>
      <c r="BS63" s="98"/>
      <c r="BT63" s="98"/>
      <c r="BU63" s="98"/>
      <c r="BV63" s="98"/>
      <c r="BW63" s="98"/>
      <c r="BX63" s="98"/>
      <c r="BY63" s="98"/>
      <c r="BZ63" s="98"/>
      <c r="CA63" s="98"/>
      <c r="CB63" s="98"/>
      <c r="CC63" s="98"/>
      <c r="CD63" s="98"/>
      <c r="CE63" s="98"/>
      <c r="CF63" s="98"/>
      <c r="CG63" s="98"/>
      <c r="CH63" s="98"/>
      <c r="CI63" s="98"/>
      <c r="CJ63" s="98"/>
      <c r="CK63" s="98"/>
      <c r="CL63" s="98"/>
      <c r="CM63" s="98"/>
      <c r="CN63" s="98"/>
      <c r="CO63" s="98"/>
      <c r="CP63" s="98"/>
      <c r="CQ63" s="98"/>
      <c r="CR63" s="98"/>
      <c r="CS63" s="98"/>
      <c r="CT63" s="98"/>
      <c r="CU63" s="98"/>
      <c r="CV63" s="98"/>
      <c r="CW63" s="98"/>
      <c r="CX63" s="98"/>
      <c r="CY63" s="98"/>
      <c r="CZ63" s="98"/>
    </row>
    <row r="64" spans="1:104" x14ac:dyDescent="0.35">
      <c r="B64" s="98"/>
      <c r="C64" s="98"/>
      <c r="D64" s="107" t="s">
        <v>175</v>
      </c>
      <c r="E64" s="559">
        <f>E61+E62</f>
        <v>16</v>
      </c>
      <c r="F64" s="107" t="s">
        <v>247</v>
      </c>
      <c r="G64" s="107"/>
      <c r="H64" s="107"/>
      <c r="I64" s="107"/>
      <c r="J64" s="107"/>
      <c r="K64" s="107"/>
      <c r="L64" s="107"/>
      <c r="M64" s="107"/>
      <c r="O64" s="107"/>
      <c r="P64" s="107"/>
      <c r="Q64" s="107"/>
      <c r="R64" s="107"/>
      <c r="S64" s="107"/>
      <c r="T64" s="107"/>
      <c r="U64" s="107"/>
      <c r="V64" s="107"/>
      <c r="W64" s="107"/>
      <c r="X64" s="107"/>
      <c r="Y64" s="107"/>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c r="BD64" s="98"/>
      <c r="BE64" s="98"/>
      <c r="BF64" s="98"/>
      <c r="BG64" s="98"/>
      <c r="BH64" s="98"/>
      <c r="BI64" s="98"/>
      <c r="BJ64" s="98"/>
      <c r="BK64" s="98"/>
      <c r="BL64" s="98"/>
      <c r="BM64" s="98"/>
      <c r="BN64" s="98"/>
      <c r="BO64" s="98"/>
      <c r="BP64" s="98"/>
      <c r="BQ64" s="98"/>
      <c r="BR64" s="98"/>
      <c r="BS64" s="98"/>
      <c r="BT64" s="98"/>
      <c r="BU64" s="98"/>
      <c r="BV64" s="98"/>
      <c r="BW64" s="98"/>
      <c r="BX64" s="98"/>
      <c r="BY64" s="98"/>
      <c r="BZ64" s="98"/>
      <c r="CA64" s="98"/>
      <c r="CB64" s="98"/>
      <c r="CC64" s="98"/>
      <c r="CD64" s="98"/>
      <c r="CE64" s="98"/>
      <c r="CF64" s="98"/>
      <c r="CG64" s="98"/>
      <c r="CH64" s="98"/>
      <c r="CI64" s="98"/>
      <c r="CJ64" s="98"/>
      <c r="CK64" s="98"/>
      <c r="CL64" s="98"/>
      <c r="CM64" s="98"/>
      <c r="CN64" s="98"/>
      <c r="CO64" s="98"/>
      <c r="CP64" s="98"/>
      <c r="CQ64" s="98"/>
      <c r="CR64" s="98"/>
      <c r="CS64" s="98"/>
      <c r="CT64" s="98"/>
      <c r="CU64" s="98"/>
      <c r="CV64" s="98"/>
      <c r="CW64" s="98"/>
      <c r="CX64" s="98"/>
      <c r="CY64" s="98"/>
      <c r="CZ64" s="98"/>
    </row>
    <row r="65" spans="2:104" x14ac:dyDescent="0.35">
      <c r="B65" s="98"/>
      <c r="C65" s="98"/>
      <c r="D65" s="107" t="s">
        <v>181</v>
      </c>
      <c r="E65" s="559">
        <f>E64</f>
        <v>16</v>
      </c>
      <c r="F65" s="107" t="s">
        <v>247</v>
      </c>
      <c r="G65" s="107"/>
      <c r="H65" s="107"/>
      <c r="I65" s="107"/>
      <c r="J65" s="107"/>
      <c r="K65" s="107"/>
      <c r="L65" s="107"/>
      <c r="M65" s="107"/>
      <c r="N65" s="107" t="s">
        <v>512</v>
      </c>
      <c r="O65" s="107"/>
      <c r="P65" s="107"/>
      <c r="Q65" s="107"/>
      <c r="R65" s="107"/>
      <c r="S65" s="107"/>
      <c r="T65" s="107"/>
      <c r="U65" s="107"/>
      <c r="V65" s="107"/>
      <c r="W65" s="107"/>
      <c r="X65" s="107"/>
      <c r="Y65" s="107"/>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98"/>
      <c r="BJ65" s="98"/>
      <c r="BK65" s="98"/>
      <c r="BL65" s="98"/>
      <c r="BM65" s="98"/>
      <c r="BN65" s="98"/>
      <c r="BO65" s="98"/>
      <c r="BP65" s="98"/>
      <c r="BQ65" s="98"/>
      <c r="BR65" s="98"/>
      <c r="BS65" s="98"/>
      <c r="BT65" s="98"/>
      <c r="BU65" s="98"/>
      <c r="BV65" s="98"/>
      <c r="BW65" s="98"/>
      <c r="BX65" s="98"/>
      <c r="BY65" s="98"/>
      <c r="BZ65" s="98"/>
      <c r="CA65" s="98"/>
      <c r="CB65" s="98"/>
      <c r="CC65" s="98"/>
      <c r="CD65" s="98"/>
      <c r="CE65" s="98"/>
      <c r="CF65" s="98"/>
      <c r="CG65" s="98"/>
      <c r="CH65" s="98"/>
      <c r="CI65" s="98"/>
      <c r="CJ65" s="98"/>
      <c r="CK65" s="98"/>
      <c r="CL65" s="98"/>
      <c r="CM65" s="98"/>
      <c r="CN65" s="98"/>
      <c r="CO65" s="98"/>
      <c r="CP65" s="98"/>
      <c r="CQ65" s="98"/>
      <c r="CR65" s="98"/>
      <c r="CS65" s="98"/>
      <c r="CT65" s="98"/>
      <c r="CU65" s="98"/>
      <c r="CV65" s="98"/>
      <c r="CW65" s="98"/>
      <c r="CX65" s="98"/>
      <c r="CY65" s="98"/>
      <c r="CZ65" s="98"/>
    </row>
    <row r="66" spans="2:104" x14ac:dyDescent="0.35">
      <c r="B66" s="98"/>
      <c r="C66" s="98"/>
      <c r="D66" s="107" t="s">
        <v>182</v>
      </c>
      <c r="E66" s="559">
        <f>E64</f>
        <v>16</v>
      </c>
      <c r="F66" s="107" t="s">
        <v>247</v>
      </c>
      <c r="G66" s="107"/>
      <c r="H66" s="107"/>
      <c r="I66" s="107"/>
      <c r="J66" s="107"/>
      <c r="K66" s="107"/>
      <c r="L66" s="107"/>
      <c r="M66" s="107"/>
      <c r="N66" s="107"/>
      <c r="O66" s="107"/>
      <c r="P66" s="107"/>
      <c r="Q66" s="107"/>
      <c r="R66" s="107"/>
      <c r="S66" s="107"/>
      <c r="T66" s="107"/>
      <c r="U66" s="107"/>
      <c r="V66" s="107"/>
      <c r="W66" s="107"/>
      <c r="X66" s="107"/>
      <c r="Y66" s="107"/>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98"/>
      <c r="BJ66" s="98"/>
      <c r="BK66" s="98"/>
      <c r="BL66" s="98"/>
      <c r="BM66" s="98"/>
      <c r="BN66" s="98"/>
      <c r="BO66" s="98"/>
      <c r="BP66" s="98"/>
      <c r="BQ66" s="98"/>
      <c r="BR66" s="98"/>
      <c r="BS66" s="98"/>
      <c r="BT66" s="98"/>
      <c r="BU66" s="98"/>
      <c r="BV66" s="98"/>
      <c r="BW66" s="98"/>
      <c r="BX66" s="98"/>
      <c r="BY66" s="98"/>
      <c r="BZ66" s="98"/>
      <c r="CA66" s="98"/>
      <c r="CB66" s="98"/>
      <c r="CC66" s="98"/>
      <c r="CD66" s="98"/>
      <c r="CE66" s="98"/>
      <c r="CF66" s="98"/>
      <c r="CG66" s="98"/>
      <c r="CH66" s="98"/>
      <c r="CI66" s="98"/>
      <c r="CJ66" s="98"/>
      <c r="CK66" s="98"/>
      <c r="CL66" s="98"/>
      <c r="CM66" s="98"/>
      <c r="CN66" s="98"/>
      <c r="CO66" s="98"/>
      <c r="CP66" s="98"/>
      <c r="CQ66" s="98"/>
      <c r="CR66" s="98"/>
      <c r="CS66" s="98"/>
      <c r="CT66" s="98"/>
      <c r="CU66" s="98"/>
      <c r="CV66" s="98"/>
      <c r="CW66" s="98"/>
      <c r="CX66" s="98"/>
      <c r="CY66" s="98"/>
      <c r="CZ66" s="98"/>
    </row>
    <row r="67" spans="2:104" x14ac:dyDescent="0.35">
      <c r="B67" s="98"/>
      <c r="C67" s="98"/>
      <c r="D67" s="185" t="s">
        <v>220</v>
      </c>
      <c r="E67" s="105"/>
      <c r="F67" s="105"/>
      <c r="G67" s="107"/>
      <c r="H67" s="107"/>
      <c r="I67" s="107"/>
      <c r="J67" s="107"/>
      <c r="K67" s="107"/>
      <c r="L67" s="107"/>
      <c r="M67" s="107"/>
      <c r="N67" s="107"/>
      <c r="O67" s="107"/>
      <c r="P67" s="107"/>
      <c r="Q67" s="107"/>
      <c r="R67" s="107"/>
      <c r="S67" s="107"/>
      <c r="T67" s="107"/>
      <c r="U67" s="107"/>
      <c r="V67" s="107"/>
      <c r="W67" s="107"/>
      <c r="X67" s="107"/>
      <c r="Y67" s="107"/>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c r="BD67" s="98"/>
      <c r="BE67" s="98"/>
      <c r="BF67" s="98"/>
      <c r="BG67" s="98"/>
      <c r="BH67" s="98"/>
      <c r="BI67" s="98"/>
      <c r="BJ67" s="98"/>
      <c r="BK67" s="98"/>
      <c r="BL67" s="98"/>
      <c r="BM67" s="98"/>
      <c r="BN67" s="98"/>
      <c r="BO67" s="98"/>
      <c r="BP67" s="98"/>
      <c r="BQ67" s="98"/>
      <c r="BR67" s="98"/>
      <c r="BS67" s="98"/>
      <c r="BT67" s="98"/>
      <c r="BU67" s="98"/>
      <c r="BV67" s="98"/>
      <c r="BW67" s="98"/>
      <c r="BX67" s="98"/>
      <c r="BY67" s="98"/>
      <c r="BZ67" s="98"/>
      <c r="CA67" s="98"/>
      <c r="CB67" s="98"/>
      <c r="CC67" s="98"/>
      <c r="CD67" s="98"/>
      <c r="CE67" s="98"/>
      <c r="CF67" s="98"/>
      <c r="CG67" s="98"/>
      <c r="CH67" s="98"/>
      <c r="CI67" s="98"/>
      <c r="CJ67" s="98"/>
      <c r="CK67" s="98"/>
      <c r="CL67" s="98"/>
      <c r="CM67" s="98"/>
      <c r="CN67" s="98"/>
      <c r="CO67" s="98"/>
      <c r="CP67" s="98"/>
      <c r="CQ67" s="98"/>
      <c r="CR67" s="98"/>
      <c r="CS67" s="98"/>
      <c r="CT67" s="98"/>
      <c r="CU67" s="98"/>
      <c r="CV67" s="98"/>
      <c r="CW67" s="98"/>
      <c r="CX67" s="98"/>
      <c r="CY67" s="98"/>
      <c r="CZ67" s="98"/>
    </row>
    <row r="68" spans="2:104" x14ac:dyDescent="0.35">
      <c r="B68" s="98"/>
      <c r="C68" s="98"/>
      <c r="D68" s="110" t="s">
        <v>515</v>
      </c>
      <c r="E68" s="636">
        <v>3.83</v>
      </c>
      <c r="F68" s="107" t="s">
        <v>183</v>
      </c>
      <c r="G68" s="107"/>
      <c r="H68" s="107"/>
      <c r="I68" s="107"/>
      <c r="J68" s="107"/>
      <c r="K68" s="107"/>
      <c r="L68" s="107"/>
      <c r="M68" s="107"/>
      <c r="N68" s="107"/>
      <c r="O68" s="107"/>
      <c r="P68" s="107"/>
      <c r="Q68" s="107"/>
      <c r="R68" s="107"/>
      <c r="S68" s="107"/>
      <c r="T68" s="107"/>
      <c r="U68" s="107"/>
      <c r="V68" s="107"/>
      <c r="W68" s="107"/>
      <c r="X68" s="107"/>
      <c r="Y68" s="107"/>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c r="BD68" s="98"/>
      <c r="BE68" s="98"/>
      <c r="BF68" s="98"/>
      <c r="BG68" s="98"/>
      <c r="BH68" s="98"/>
      <c r="BI68" s="98"/>
      <c r="BJ68" s="98"/>
      <c r="BK68" s="98"/>
      <c r="BL68" s="98"/>
      <c r="BM68" s="98"/>
      <c r="BN68" s="98"/>
      <c r="BO68" s="98"/>
      <c r="BP68" s="98"/>
      <c r="BQ68" s="98"/>
      <c r="BR68" s="98"/>
      <c r="BS68" s="98"/>
      <c r="BT68" s="98"/>
      <c r="BU68" s="98"/>
      <c r="BV68" s="98"/>
      <c r="BW68" s="98"/>
      <c r="BX68" s="98"/>
      <c r="BY68" s="98"/>
      <c r="BZ68" s="98"/>
      <c r="CA68" s="98"/>
      <c r="CB68" s="98"/>
      <c r="CC68" s="98"/>
      <c r="CD68" s="98"/>
      <c r="CE68" s="98"/>
      <c r="CF68" s="98"/>
      <c r="CG68" s="98"/>
      <c r="CH68" s="98"/>
      <c r="CI68" s="98"/>
      <c r="CJ68" s="98"/>
      <c r="CK68" s="98"/>
      <c r="CL68" s="98"/>
      <c r="CM68" s="98"/>
      <c r="CN68" s="98"/>
      <c r="CO68" s="98"/>
      <c r="CP68" s="98"/>
      <c r="CQ68" s="98"/>
      <c r="CR68" s="98"/>
      <c r="CS68" s="98"/>
      <c r="CT68" s="98"/>
      <c r="CU68" s="98"/>
      <c r="CV68" s="98"/>
      <c r="CW68" s="98"/>
      <c r="CX68" s="98"/>
      <c r="CY68" s="98"/>
      <c r="CZ68" s="98"/>
    </row>
    <row r="69" spans="2:104" x14ac:dyDescent="0.35">
      <c r="B69" s="98"/>
      <c r="C69" s="98"/>
      <c r="D69" s="105"/>
      <c r="E69" s="130">
        <f>E68*1000000</f>
        <v>3830000</v>
      </c>
      <c r="F69" s="107" t="s">
        <v>155</v>
      </c>
      <c r="G69" s="107"/>
      <c r="H69" s="107"/>
      <c r="I69" s="107"/>
      <c r="J69" s="107"/>
      <c r="K69" s="107"/>
      <c r="L69" s="107"/>
      <c r="M69" s="107"/>
      <c r="N69" s="107"/>
      <c r="O69" s="107"/>
      <c r="P69" s="107"/>
      <c r="Q69" s="107"/>
      <c r="R69" s="107"/>
      <c r="S69" s="107"/>
      <c r="T69" s="107"/>
      <c r="U69" s="107"/>
      <c r="V69" s="107"/>
      <c r="W69" s="107"/>
      <c r="X69" s="107"/>
      <c r="Y69" s="107"/>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c r="BD69" s="98"/>
      <c r="BE69" s="98"/>
      <c r="BF69" s="98"/>
      <c r="BG69" s="98"/>
      <c r="BH69" s="98"/>
      <c r="BI69" s="98"/>
      <c r="BJ69" s="98"/>
      <c r="BK69" s="98"/>
      <c r="BL69" s="98"/>
      <c r="BM69" s="98"/>
      <c r="BN69" s="98"/>
      <c r="BO69" s="98"/>
      <c r="BP69" s="98"/>
      <c r="BQ69" s="98"/>
      <c r="BR69" s="98"/>
      <c r="BS69" s="98"/>
      <c r="BT69" s="98"/>
      <c r="BU69" s="98"/>
      <c r="BV69" s="98"/>
      <c r="BW69" s="98"/>
      <c r="BX69" s="98"/>
      <c r="BY69" s="98"/>
      <c r="BZ69" s="98"/>
      <c r="CA69" s="98"/>
      <c r="CB69" s="98"/>
      <c r="CC69" s="98"/>
      <c r="CD69" s="98"/>
      <c r="CE69" s="98"/>
      <c r="CF69" s="98"/>
      <c r="CG69" s="98"/>
      <c r="CH69" s="98"/>
      <c r="CI69" s="98"/>
      <c r="CJ69" s="98"/>
      <c r="CK69" s="98"/>
      <c r="CL69" s="98"/>
      <c r="CM69" s="98"/>
      <c r="CN69" s="98"/>
      <c r="CO69" s="98"/>
      <c r="CP69" s="98"/>
      <c r="CQ69" s="98"/>
      <c r="CR69" s="98"/>
      <c r="CS69" s="98"/>
      <c r="CT69" s="98"/>
      <c r="CU69" s="98"/>
      <c r="CV69" s="98"/>
      <c r="CW69" s="98"/>
      <c r="CX69" s="98"/>
      <c r="CY69" s="98"/>
      <c r="CZ69" s="98"/>
    </row>
    <row r="70" spans="2:104" x14ac:dyDescent="0.35">
      <c r="B70" s="98"/>
      <c r="C70" s="98"/>
      <c r="D70" s="105"/>
      <c r="E70" s="130">
        <f>E69*E62</f>
        <v>45960000</v>
      </c>
      <c r="F70" s="107" t="s">
        <v>217</v>
      </c>
      <c r="G70" s="107"/>
      <c r="H70" s="107"/>
      <c r="I70" s="107"/>
      <c r="J70" s="107"/>
      <c r="K70" s="107"/>
      <c r="L70" s="107"/>
      <c r="M70" s="107"/>
      <c r="N70" s="107"/>
      <c r="O70" s="107"/>
      <c r="P70" s="107"/>
      <c r="Q70" s="107"/>
      <c r="R70" s="107"/>
      <c r="S70" s="107"/>
      <c r="T70" s="107"/>
      <c r="U70" s="107"/>
      <c r="V70" s="107"/>
      <c r="W70" s="107"/>
      <c r="X70" s="107"/>
      <c r="Y70" s="107"/>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c r="BD70" s="98"/>
      <c r="BE70" s="98"/>
      <c r="BF70" s="98"/>
      <c r="BG70" s="98"/>
      <c r="BH70" s="98"/>
      <c r="BI70" s="98"/>
      <c r="BJ70" s="98"/>
      <c r="BK70" s="98"/>
      <c r="BL70" s="98"/>
      <c r="BM70" s="98"/>
      <c r="BN70" s="98"/>
      <c r="BO70" s="98"/>
      <c r="BP70" s="98"/>
      <c r="BQ70" s="98"/>
      <c r="BR70" s="98"/>
      <c r="BS70" s="98"/>
      <c r="BT70" s="98"/>
      <c r="BU70" s="98"/>
      <c r="BV70" s="98"/>
      <c r="BW70" s="98"/>
      <c r="BX70" s="98"/>
      <c r="BY70" s="98"/>
      <c r="BZ70" s="98"/>
      <c r="CA70" s="98"/>
      <c r="CB70" s="98"/>
      <c r="CC70" s="98"/>
      <c r="CD70" s="98"/>
      <c r="CE70" s="98"/>
      <c r="CF70" s="98"/>
      <c r="CG70" s="98"/>
      <c r="CH70" s="98"/>
      <c r="CI70" s="98"/>
      <c r="CJ70" s="98"/>
      <c r="CK70" s="98"/>
      <c r="CL70" s="98"/>
      <c r="CM70" s="98"/>
      <c r="CN70" s="98"/>
      <c r="CO70" s="98"/>
      <c r="CP70" s="98"/>
      <c r="CQ70" s="98"/>
      <c r="CR70" s="98"/>
      <c r="CS70" s="98"/>
      <c r="CT70" s="98"/>
      <c r="CU70" s="98"/>
      <c r="CV70" s="98"/>
      <c r="CW70" s="98"/>
      <c r="CX70" s="98"/>
      <c r="CY70" s="98"/>
      <c r="CZ70" s="98"/>
    </row>
    <row r="71" spans="2:104" x14ac:dyDescent="0.35">
      <c r="B71" s="98"/>
      <c r="C71" s="98"/>
      <c r="D71" s="410" t="s">
        <v>631</v>
      </c>
      <c r="E71" s="637">
        <v>1</v>
      </c>
      <c r="F71" s="107"/>
      <c r="G71" s="107"/>
      <c r="H71" s="107"/>
      <c r="I71" s="107"/>
      <c r="J71" s="107"/>
      <c r="K71" s="107"/>
      <c r="L71" s="107"/>
      <c r="M71" s="107"/>
      <c r="N71" s="107"/>
      <c r="O71" s="107"/>
      <c r="P71" s="107"/>
      <c r="Q71" s="107"/>
      <c r="R71" s="107"/>
      <c r="S71" s="107"/>
      <c r="T71" s="107"/>
      <c r="U71" s="107"/>
      <c r="V71" s="107"/>
      <c r="W71" s="107"/>
      <c r="X71" s="107"/>
      <c r="Y71" s="107"/>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c r="BD71" s="98"/>
      <c r="BE71" s="98"/>
      <c r="BF71" s="98"/>
      <c r="BG71" s="98"/>
      <c r="BH71" s="98"/>
      <c r="BI71" s="98"/>
      <c r="BJ71" s="98"/>
      <c r="BK71" s="98"/>
      <c r="BL71" s="98"/>
      <c r="BM71" s="98"/>
      <c r="BN71" s="98"/>
      <c r="BO71" s="98"/>
      <c r="BP71" s="98"/>
      <c r="BQ71" s="98"/>
      <c r="BR71" s="98"/>
      <c r="BS71" s="98"/>
      <c r="BT71" s="98"/>
      <c r="BU71" s="98"/>
      <c r="BV71" s="98"/>
      <c r="BW71" s="98"/>
      <c r="BX71" s="98"/>
      <c r="BY71" s="98"/>
      <c r="BZ71" s="98"/>
      <c r="CA71" s="98"/>
      <c r="CB71" s="98"/>
      <c r="CC71" s="98"/>
      <c r="CD71" s="98"/>
      <c r="CE71" s="98"/>
      <c r="CF71" s="98"/>
      <c r="CG71" s="98"/>
      <c r="CH71" s="98"/>
      <c r="CI71" s="98"/>
      <c r="CJ71" s="98"/>
      <c r="CK71" s="98"/>
      <c r="CL71" s="98"/>
      <c r="CM71" s="98"/>
      <c r="CN71" s="98"/>
      <c r="CO71" s="98"/>
      <c r="CP71" s="98"/>
      <c r="CQ71" s="98"/>
      <c r="CR71" s="98"/>
      <c r="CS71" s="98"/>
      <c r="CT71" s="98"/>
      <c r="CU71" s="98"/>
      <c r="CV71" s="98"/>
      <c r="CW71" s="98"/>
      <c r="CX71" s="98"/>
      <c r="CY71" s="98"/>
      <c r="CZ71" s="98"/>
    </row>
    <row r="72" spans="2:104" x14ac:dyDescent="0.35">
      <c r="B72" s="98"/>
      <c r="C72" s="98"/>
      <c r="D72" s="410" t="s">
        <v>650</v>
      </c>
      <c r="E72" s="561">
        <f>E69/(365*E71)</f>
        <v>10493.150684931506</v>
      </c>
      <c r="F72" s="107" t="s">
        <v>511</v>
      </c>
      <c r="G72" s="107"/>
      <c r="H72" s="107" t="s">
        <v>516</v>
      </c>
      <c r="I72" s="107"/>
      <c r="J72" s="107"/>
      <c r="K72" s="107"/>
      <c r="L72" s="107"/>
      <c r="M72" s="107"/>
      <c r="N72" s="107"/>
      <c r="O72" s="107"/>
      <c r="P72" s="107"/>
      <c r="Q72" s="107"/>
      <c r="R72" s="107"/>
      <c r="S72" s="107"/>
      <c r="T72" s="107"/>
      <c r="U72" s="107"/>
      <c r="V72" s="107"/>
      <c r="W72" s="107"/>
      <c r="X72" s="107"/>
      <c r="Y72" s="107"/>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c r="BD72" s="98"/>
      <c r="BE72" s="98"/>
      <c r="BF72" s="98"/>
      <c r="BG72" s="98"/>
      <c r="BH72" s="98"/>
      <c r="BI72" s="98"/>
      <c r="BJ72" s="98"/>
      <c r="BK72" s="98"/>
      <c r="BL72" s="98"/>
      <c r="BM72" s="98"/>
      <c r="BN72" s="98"/>
      <c r="BO72" s="98"/>
      <c r="BP72" s="98"/>
      <c r="BQ72" s="98"/>
      <c r="BR72" s="98"/>
      <c r="BS72" s="98"/>
      <c r="BT72" s="98"/>
      <c r="BU72" s="98"/>
      <c r="BV72" s="98"/>
      <c r="BW72" s="98"/>
      <c r="BX72" s="98"/>
      <c r="BY72" s="98"/>
      <c r="BZ72" s="98"/>
      <c r="CA72" s="98"/>
      <c r="CB72" s="98"/>
      <c r="CC72" s="98"/>
      <c r="CD72" s="98"/>
      <c r="CE72" s="98"/>
      <c r="CF72" s="98"/>
      <c r="CG72" s="98"/>
      <c r="CH72" s="98"/>
      <c r="CI72" s="98"/>
      <c r="CJ72" s="98"/>
      <c r="CK72" s="98"/>
      <c r="CL72" s="98"/>
      <c r="CM72" s="98"/>
      <c r="CN72" s="98"/>
      <c r="CO72" s="98"/>
      <c r="CP72" s="98"/>
      <c r="CQ72" s="98"/>
      <c r="CR72" s="98"/>
      <c r="CS72" s="98"/>
      <c r="CT72" s="98"/>
      <c r="CU72" s="98"/>
      <c r="CV72" s="98"/>
      <c r="CW72" s="98"/>
      <c r="CX72" s="98"/>
      <c r="CY72" s="98"/>
      <c r="CZ72" s="98"/>
    </row>
    <row r="73" spans="2:104" x14ac:dyDescent="0.35">
      <c r="B73" s="98"/>
      <c r="C73" s="98"/>
      <c r="D73" s="105" t="s">
        <v>30</v>
      </c>
      <c r="E73" s="638">
        <f>E12</f>
        <v>5</v>
      </c>
      <c r="F73" s="107"/>
      <c r="G73" s="107"/>
      <c r="H73" s="107" t="s">
        <v>561</v>
      </c>
      <c r="I73" s="107"/>
      <c r="J73" s="107"/>
      <c r="K73" s="107"/>
      <c r="L73" s="107"/>
      <c r="M73" s="107"/>
      <c r="N73" s="107"/>
      <c r="O73" s="107"/>
      <c r="P73" s="107"/>
      <c r="Q73" s="107"/>
      <c r="R73" s="107"/>
      <c r="S73" s="107"/>
      <c r="T73" s="107"/>
      <c r="U73" s="107"/>
      <c r="V73" s="107"/>
      <c r="W73" s="107"/>
      <c r="X73" s="107"/>
      <c r="Y73" s="107"/>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c r="BD73" s="98"/>
      <c r="BE73" s="98"/>
      <c r="BF73" s="98"/>
      <c r="BG73" s="98"/>
      <c r="BH73" s="98"/>
      <c r="BI73" s="98"/>
      <c r="BJ73" s="98"/>
      <c r="BK73" s="98"/>
      <c r="BL73" s="98"/>
      <c r="BM73" s="98"/>
      <c r="BN73" s="98"/>
      <c r="BO73" s="98"/>
      <c r="BP73" s="98"/>
      <c r="BQ73" s="98"/>
      <c r="BR73" s="98"/>
      <c r="BS73" s="98"/>
      <c r="BT73" s="98"/>
      <c r="BU73" s="98"/>
      <c r="BV73" s="98"/>
      <c r="BW73" s="98"/>
      <c r="BX73" s="98"/>
      <c r="BY73" s="98"/>
      <c r="BZ73" s="98"/>
      <c r="CA73" s="98"/>
      <c r="CB73" s="98"/>
      <c r="CC73" s="98"/>
      <c r="CD73" s="98"/>
      <c r="CE73" s="98"/>
      <c r="CF73" s="98"/>
      <c r="CG73" s="98"/>
      <c r="CH73" s="98"/>
      <c r="CI73" s="98"/>
      <c r="CJ73" s="98"/>
      <c r="CK73" s="98"/>
      <c r="CL73" s="98"/>
      <c r="CM73" s="98"/>
      <c r="CN73" s="98"/>
      <c r="CO73" s="98"/>
      <c r="CP73" s="98"/>
      <c r="CQ73" s="98"/>
      <c r="CR73" s="98"/>
      <c r="CS73" s="98"/>
      <c r="CT73" s="98"/>
      <c r="CU73" s="98"/>
      <c r="CV73" s="98"/>
      <c r="CW73" s="98"/>
      <c r="CX73" s="98"/>
      <c r="CY73" s="98"/>
      <c r="CZ73" s="98"/>
    </row>
    <row r="74" spans="2:104" x14ac:dyDescent="0.35">
      <c r="B74" s="98"/>
      <c r="C74" s="98"/>
      <c r="D74" s="186" t="s">
        <v>640</v>
      </c>
      <c r="E74" s="639">
        <f>E14</f>
        <v>79.41</v>
      </c>
      <c r="F74" s="35" t="s">
        <v>5</v>
      </c>
      <c r="G74" s="107"/>
      <c r="H74" s="107" t="s">
        <v>561</v>
      </c>
      <c r="I74" s="107"/>
      <c r="J74" s="107"/>
      <c r="K74" s="107"/>
      <c r="L74" s="107"/>
      <c r="M74" s="107"/>
      <c r="N74" s="107"/>
      <c r="O74" s="107"/>
      <c r="P74" s="107"/>
      <c r="Q74" s="107"/>
      <c r="R74" s="107"/>
      <c r="S74" s="107"/>
      <c r="T74" s="107"/>
      <c r="U74" s="107"/>
      <c r="V74" s="107"/>
      <c r="W74" s="107"/>
      <c r="X74" s="107"/>
      <c r="Y74" s="107"/>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c r="BD74" s="98"/>
      <c r="BE74" s="98"/>
      <c r="BF74" s="98"/>
      <c r="BG74" s="98"/>
      <c r="BH74" s="98"/>
      <c r="BI74" s="98"/>
      <c r="BJ74" s="98"/>
      <c r="BK74" s="98"/>
      <c r="BL74" s="98"/>
      <c r="BM74" s="98"/>
      <c r="BN74" s="98"/>
      <c r="BO74" s="98"/>
      <c r="BP74" s="98"/>
      <c r="BQ74" s="98"/>
      <c r="BR74" s="98"/>
      <c r="BS74" s="98"/>
      <c r="BT74" s="98"/>
      <c r="BU74" s="98"/>
      <c r="BV74" s="98"/>
      <c r="BW74" s="98"/>
      <c r="BX74" s="98"/>
      <c r="BY74" s="98"/>
      <c r="BZ74" s="98"/>
      <c r="CA74" s="98"/>
      <c r="CB74" s="98"/>
      <c r="CC74" s="98"/>
      <c r="CD74" s="98"/>
      <c r="CE74" s="98"/>
      <c r="CF74" s="98"/>
      <c r="CG74" s="98"/>
      <c r="CH74" s="98"/>
      <c r="CI74" s="98"/>
      <c r="CJ74" s="98"/>
      <c r="CK74" s="98"/>
      <c r="CL74" s="98"/>
      <c r="CM74" s="98"/>
      <c r="CN74" s="98"/>
      <c r="CO74" s="98"/>
      <c r="CP74" s="98"/>
      <c r="CQ74" s="98"/>
      <c r="CR74" s="98"/>
      <c r="CS74" s="98"/>
      <c r="CT74" s="98"/>
      <c r="CU74" s="98"/>
      <c r="CV74" s="98"/>
      <c r="CW74" s="98"/>
      <c r="CX74" s="98"/>
      <c r="CY74" s="98"/>
      <c r="CZ74" s="98"/>
    </row>
    <row r="75" spans="2:104" x14ac:dyDescent="0.35">
      <c r="B75" s="98"/>
      <c r="C75" s="98"/>
      <c r="D75" s="186"/>
      <c r="E75" s="562">
        <f>l_conv(E74,F74,F75)</f>
        <v>127.79800704</v>
      </c>
      <c r="F75" s="107" t="s">
        <v>6</v>
      </c>
      <c r="G75" s="107"/>
      <c r="H75" s="107"/>
      <c r="I75" s="107"/>
      <c r="J75" s="107"/>
      <c r="K75" s="107"/>
      <c r="L75" s="107"/>
      <c r="M75" s="107"/>
      <c r="N75" s="107"/>
      <c r="O75" s="107"/>
      <c r="P75" s="107"/>
      <c r="Q75" s="107"/>
      <c r="R75" s="107"/>
      <c r="S75" s="107"/>
      <c r="T75" s="107"/>
      <c r="U75" s="107"/>
      <c r="V75" s="107"/>
      <c r="W75" s="107"/>
      <c r="X75" s="107"/>
      <c r="Y75" s="107"/>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98"/>
      <c r="BJ75" s="98"/>
      <c r="BK75" s="98"/>
      <c r="BL75" s="98"/>
      <c r="BM75" s="98"/>
      <c r="BN75" s="98"/>
      <c r="BO75" s="98"/>
      <c r="BP75" s="98"/>
      <c r="BQ75" s="98"/>
      <c r="BR75" s="98"/>
      <c r="BS75" s="98"/>
      <c r="BT75" s="98"/>
      <c r="BU75" s="98"/>
      <c r="BV75" s="98"/>
      <c r="BW75" s="98"/>
      <c r="BX75" s="98"/>
      <c r="BY75" s="98"/>
      <c r="BZ75" s="98"/>
      <c r="CA75" s="98"/>
      <c r="CB75" s="98"/>
      <c r="CC75" s="98"/>
      <c r="CD75" s="98"/>
      <c r="CE75" s="98"/>
      <c r="CF75" s="98"/>
      <c r="CG75" s="98"/>
      <c r="CH75" s="98"/>
      <c r="CI75" s="98"/>
      <c r="CJ75" s="98"/>
      <c r="CK75" s="98"/>
      <c r="CL75" s="98"/>
      <c r="CM75" s="98"/>
      <c r="CN75" s="98"/>
      <c r="CO75" s="98"/>
      <c r="CP75" s="98"/>
      <c r="CQ75" s="98"/>
      <c r="CR75" s="98"/>
      <c r="CS75" s="98"/>
      <c r="CT75" s="98"/>
      <c r="CU75" s="98"/>
      <c r="CV75" s="98"/>
      <c r="CW75" s="98"/>
      <c r="CX75" s="98"/>
      <c r="CY75" s="98"/>
      <c r="CZ75" s="98"/>
    </row>
    <row r="76" spans="2:104" x14ac:dyDescent="0.35">
      <c r="B76" s="98"/>
      <c r="C76" s="98"/>
      <c r="D76" s="186" t="s">
        <v>12</v>
      </c>
      <c r="E76" s="640">
        <v>2100</v>
      </c>
      <c r="F76" s="35" t="s">
        <v>3</v>
      </c>
      <c r="G76" s="107"/>
      <c r="H76" s="194" t="s">
        <v>200</v>
      </c>
      <c r="I76" s="107"/>
      <c r="J76" s="107"/>
      <c r="K76" s="107"/>
      <c r="L76" s="107"/>
      <c r="M76" s="107"/>
      <c r="N76" s="107"/>
      <c r="O76" s="107"/>
      <c r="P76" s="107"/>
      <c r="Q76" s="107"/>
      <c r="R76" s="107"/>
      <c r="S76" s="107"/>
      <c r="T76" s="107"/>
      <c r="U76" s="107"/>
      <c r="V76" s="107"/>
      <c r="W76" s="107"/>
      <c r="X76" s="107"/>
      <c r="Y76" s="107"/>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c r="BD76" s="98"/>
      <c r="BE76" s="98"/>
      <c r="BF76" s="98"/>
      <c r="BG76" s="98"/>
      <c r="BH76" s="98"/>
      <c r="BI76" s="98"/>
      <c r="BJ76" s="98"/>
      <c r="BK76" s="98"/>
      <c r="BL76" s="98"/>
      <c r="BM76" s="98"/>
      <c r="BN76" s="98"/>
      <c r="BO76" s="98"/>
      <c r="BP76" s="98"/>
      <c r="BQ76" s="98"/>
      <c r="BR76" s="98"/>
      <c r="BS76" s="98"/>
      <c r="BT76" s="98"/>
      <c r="BU76" s="98"/>
      <c r="BV76" s="98"/>
      <c r="BW76" s="98"/>
      <c r="BX76" s="98"/>
      <c r="BY76" s="98"/>
      <c r="BZ76" s="98"/>
      <c r="CA76" s="98"/>
      <c r="CB76" s="98"/>
      <c r="CC76" s="98"/>
      <c r="CD76" s="98"/>
      <c r="CE76" s="98"/>
      <c r="CF76" s="98"/>
      <c r="CG76" s="98"/>
      <c r="CH76" s="98"/>
      <c r="CI76" s="98"/>
      <c r="CJ76" s="98"/>
      <c r="CK76" s="98"/>
      <c r="CL76" s="98"/>
      <c r="CM76" s="98"/>
      <c r="CN76" s="98"/>
      <c r="CO76" s="98"/>
      <c r="CP76" s="98"/>
      <c r="CQ76" s="98"/>
      <c r="CR76" s="98"/>
      <c r="CS76" s="98"/>
      <c r="CT76" s="98"/>
      <c r="CU76" s="98"/>
      <c r="CV76" s="98"/>
      <c r="CW76" s="98"/>
      <c r="CX76" s="98"/>
      <c r="CY76" s="98"/>
      <c r="CZ76" s="98"/>
    </row>
    <row r="77" spans="2:104" x14ac:dyDescent="0.35">
      <c r="B77" s="98"/>
      <c r="C77" s="98"/>
      <c r="D77" s="186"/>
      <c r="E77" s="562">
        <f>P_Conv(E76,F76,"MPa")</f>
        <v>14.580342627899999</v>
      </c>
      <c r="F77" s="35" t="s">
        <v>11</v>
      </c>
      <c r="G77" s="107"/>
      <c r="I77" s="107"/>
      <c r="J77" s="107"/>
      <c r="K77" s="107"/>
      <c r="L77" s="107"/>
      <c r="M77" s="107"/>
      <c r="N77" s="107"/>
      <c r="O77" s="107"/>
      <c r="P77" s="107"/>
      <c r="Q77" s="107"/>
      <c r="R77" s="107"/>
      <c r="S77" s="107"/>
      <c r="T77" s="107"/>
      <c r="U77" s="107"/>
      <c r="V77" s="107"/>
      <c r="W77" s="107"/>
      <c r="X77" s="107"/>
      <c r="Y77" s="107"/>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98"/>
      <c r="BJ77" s="98"/>
      <c r="BK77" s="98"/>
      <c r="BL77" s="98"/>
      <c r="BM77" s="98"/>
      <c r="BN77" s="98"/>
      <c r="BO77" s="98"/>
      <c r="BP77" s="98"/>
      <c r="BQ77" s="98"/>
      <c r="BR77" s="98"/>
      <c r="BS77" s="98"/>
      <c r="BT77" s="98"/>
      <c r="BU77" s="98"/>
      <c r="BV77" s="98"/>
      <c r="BW77" s="98"/>
      <c r="BX77" s="98"/>
      <c r="BY77" s="98"/>
      <c r="BZ77" s="98"/>
      <c r="CA77" s="98"/>
      <c r="CB77" s="98"/>
      <c r="CC77" s="98"/>
      <c r="CD77" s="98"/>
      <c r="CE77" s="98"/>
      <c r="CF77" s="98"/>
      <c r="CG77" s="98"/>
      <c r="CH77" s="98"/>
      <c r="CI77" s="98"/>
      <c r="CJ77" s="98"/>
      <c r="CK77" s="98"/>
      <c r="CL77" s="98"/>
      <c r="CM77" s="98"/>
      <c r="CN77" s="98"/>
      <c r="CO77" s="98"/>
      <c r="CP77" s="98"/>
      <c r="CQ77" s="98"/>
      <c r="CR77" s="98"/>
      <c r="CS77" s="98"/>
      <c r="CT77" s="98"/>
      <c r="CU77" s="98"/>
      <c r="CV77" s="98"/>
      <c r="CW77" s="98"/>
      <c r="CX77" s="98"/>
      <c r="CY77" s="98"/>
      <c r="CZ77" s="98"/>
    </row>
    <row r="78" spans="2:104" x14ac:dyDescent="0.35">
      <c r="B78" s="98"/>
      <c r="C78" s="98"/>
      <c r="D78" s="186" t="s">
        <v>0</v>
      </c>
      <c r="E78" s="640">
        <v>1900</v>
      </c>
      <c r="F78" s="35" t="str">
        <f>F76</f>
        <v>psig</v>
      </c>
      <c r="G78" s="107"/>
      <c r="H78" s="194" t="s">
        <v>252</v>
      </c>
      <c r="I78" s="107"/>
      <c r="J78" s="107"/>
      <c r="K78" s="107"/>
      <c r="L78" s="107"/>
      <c r="M78" s="107"/>
      <c r="N78" s="107"/>
      <c r="O78" s="107"/>
      <c r="P78" s="107"/>
      <c r="Q78" s="107"/>
      <c r="R78" s="107"/>
      <c r="S78" s="107"/>
      <c r="T78" s="107"/>
      <c r="U78" s="107"/>
      <c r="V78" s="107"/>
      <c r="W78" s="107"/>
      <c r="X78" s="107"/>
      <c r="Y78" s="107"/>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c r="BD78" s="98"/>
      <c r="BE78" s="98"/>
      <c r="BF78" s="98"/>
      <c r="BG78" s="98"/>
      <c r="BH78" s="98"/>
      <c r="BI78" s="98"/>
      <c r="BJ78" s="98"/>
      <c r="BK78" s="98"/>
      <c r="BL78" s="98"/>
      <c r="BM78" s="98"/>
      <c r="BN78" s="98"/>
      <c r="BO78" s="98"/>
      <c r="BP78" s="98"/>
      <c r="BQ78" s="98"/>
      <c r="BR78" s="98"/>
      <c r="BS78" s="98"/>
      <c r="BT78" s="98"/>
      <c r="BU78" s="98"/>
      <c r="BV78" s="98"/>
      <c r="BW78" s="98"/>
      <c r="BX78" s="98"/>
      <c r="BY78" s="98"/>
      <c r="BZ78" s="98"/>
      <c r="CA78" s="98"/>
      <c r="CB78" s="98"/>
      <c r="CC78" s="98"/>
      <c r="CD78" s="98"/>
      <c r="CE78" s="98"/>
      <c r="CF78" s="98"/>
      <c r="CG78" s="98"/>
      <c r="CH78" s="98"/>
      <c r="CI78" s="98"/>
      <c r="CJ78" s="98"/>
      <c r="CK78" s="98"/>
      <c r="CL78" s="98"/>
      <c r="CM78" s="98"/>
      <c r="CN78" s="98"/>
      <c r="CO78" s="98"/>
      <c r="CP78" s="98"/>
      <c r="CQ78" s="98"/>
      <c r="CR78" s="98"/>
      <c r="CS78" s="98"/>
      <c r="CT78" s="98"/>
      <c r="CU78" s="98"/>
      <c r="CV78" s="98"/>
      <c r="CW78" s="98"/>
      <c r="CX78" s="98"/>
      <c r="CY78" s="98"/>
      <c r="CZ78" s="98"/>
    </row>
    <row r="79" spans="2:104" x14ac:dyDescent="0.35">
      <c r="B79" s="98"/>
      <c r="C79" s="98"/>
      <c r="D79" s="433"/>
      <c r="E79" s="562">
        <f>P_Conv(E78,F78,"MPa")</f>
        <v>13.2013912279</v>
      </c>
      <c r="F79" s="434" t="s">
        <v>11</v>
      </c>
      <c r="G79" s="107"/>
      <c r="H79" s="107"/>
      <c r="I79" s="107"/>
      <c r="J79" s="107"/>
      <c r="K79" s="107"/>
      <c r="L79" s="107"/>
      <c r="M79" s="107"/>
      <c r="N79" s="107"/>
      <c r="O79" s="107"/>
      <c r="P79" s="107"/>
      <c r="Q79" s="107"/>
      <c r="R79" s="107"/>
      <c r="S79" s="107"/>
      <c r="T79" s="107"/>
      <c r="U79" s="107"/>
      <c r="V79" s="107"/>
      <c r="W79" s="107"/>
      <c r="X79" s="107"/>
      <c r="Y79" s="107"/>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c r="BD79" s="98"/>
      <c r="BE79" s="98"/>
      <c r="BF79" s="98"/>
      <c r="BG79" s="98"/>
      <c r="BH79" s="98"/>
      <c r="BI79" s="98"/>
      <c r="BJ79" s="98"/>
      <c r="BK79" s="98"/>
      <c r="BL79" s="98"/>
      <c r="BM79" s="98"/>
      <c r="BN79" s="98"/>
      <c r="BO79" s="98"/>
      <c r="BP79" s="98"/>
      <c r="BQ79" s="98"/>
      <c r="BR79" s="98"/>
      <c r="BS79" s="98"/>
      <c r="BT79" s="98"/>
      <c r="BU79" s="98"/>
      <c r="BV79" s="98"/>
      <c r="BW79" s="98"/>
      <c r="BX79" s="98"/>
      <c r="BY79" s="98"/>
      <c r="BZ79" s="98"/>
      <c r="CA79" s="98"/>
      <c r="CB79" s="98"/>
      <c r="CC79" s="98"/>
      <c r="CD79" s="98"/>
      <c r="CE79" s="98"/>
      <c r="CF79" s="98"/>
      <c r="CG79" s="98"/>
      <c r="CH79" s="98"/>
      <c r="CI79" s="98"/>
      <c r="CJ79" s="98"/>
      <c r="CK79" s="98"/>
      <c r="CL79" s="98"/>
      <c r="CM79" s="98"/>
      <c r="CN79" s="98"/>
      <c r="CO79" s="98"/>
      <c r="CP79" s="98"/>
      <c r="CQ79" s="98"/>
      <c r="CR79" s="98"/>
      <c r="CS79" s="98"/>
      <c r="CT79" s="98"/>
      <c r="CU79" s="98"/>
      <c r="CV79" s="98"/>
      <c r="CW79" s="98"/>
      <c r="CX79" s="98"/>
      <c r="CY79" s="98"/>
      <c r="CZ79" s="98"/>
    </row>
    <row r="80" spans="2:104" x14ac:dyDescent="0.35">
      <c r="B80" s="98"/>
      <c r="C80" s="98"/>
      <c r="D80" s="433" t="s">
        <v>28</v>
      </c>
      <c r="E80" s="641">
        <v>0</v>
      </c>
      <c r="F80" s="434" t="s">
        <v>14</v>
      </c>
      <c r="G80" s="107"/>
      <c r="H80" s="194" t="s">
        <v>550</v>
      </c>
      <c r="I80" s="107"/>
      <c r="J80" s="107"/>
      <c r="K80" s="107"/>
      <c r="L80" s="107"/>
      <c r="M80" s="107"/>
      <c r="N80" s="107"/>
      <c r="O80" s="107"/>
      <c r="P80" s="107"/>
      <c r="Q80" s="107"/>
      <c r="R80" s="107"/>
      <c r="S80" s="107"/>
      <c r="T80" s="107"/>
      <c r="U80" s="107"/>
      <c r="V80" s="107"/>
      <c r="W80" s="107"/>
      <c r="X80" s="107"/>
      <c r="Y80" s="107"/>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c r="BD80" s="98"/>
      <c r="BE80" s="98"/>
      <c r="BF80" s="98"/>
      <c r="BG80" s="98"/>
      <c r="BH80" s="98"/>
      <c r="BI80" s="98"/>
      <c r="BJ80" s="98"/>
      <c r="BK80" s="98"/>
      <c r="BL80" s="98"/>
      <c r="BM80" s="98"/>
      <c r="BN80" s="98"/>
      <c r="BO80" s="98"/>
      <c r="BP80" s="98"/>
      <c r="BQ80" s="98"/>
      <c r="BR80" s="98"/>
      <c r="BS80" s="98"/>
      <c r="BT80" s="98"/>
      <c r="BU80" s="98"/>
      <c r="BV80" s="98"/>
      <c r="BW80" s="98"/>
      <c r="BX80" s="98"/>
      <c r="BY80" s="98"/>
      <c r="BZ80" s="98"/>
      <c r="CA80" s="98"/>
      <c r="CB80" s="98"/>
      <c r="CC80" s="98"/>
      <c r="CD80" s="98"/>
      <c r="CE80" s="98"/>
      <c r="CF80" s="98"/>
      <c r="CG80" s="98"/>
      <c r="CH80" s="98"/>
      <c r="CI80" s="98"/>
      <c r="CJ80" s="98"/>
      <c r="CK80" s="98"/>
      <c r="CL80" s="98"/>
      <c r="CM80" s="98"/>
      <c r="CN80" s="98"/>
      <c r="CO80" s="98"/>
      <c r="CP80" s="98"/>
      <c r="CQ80" s="98"/>
      <c r="CR80" s="98"/>
      <c r="CS80" s="98"/>
      <c r="CT80" s="98"/>
      <c r="CU80" s="98"/>
      <c r="CV80" s="98"/>
      <c r="CW80" s="98"/>
      <c r="CX80" s="98"/>
      <c r="CY80" s="98"/>
      <c r="CZ80" s="98"/>
    </row>
    <row r="81" spans="2:104" x14ac:dyDescent="0.35">
      <c r="B81" s="98"/>
      <c r="C81" s="98"/>
      <c r="D81" s="105"/>
      <c r="E81" s="562">
        <f>l_conv(E80,F80,F81)</f>
        <v>0</v>
      </c>
      <c r="F81" s="107" t="s">
        <v>7</v>
      </c>
      <c r="G81" s="107"/>
      <c r="H81" s="107"/>
      <c r="I81" s="107"/>
      <c r="J81" s="107"/>
      <c r="K81" s="107"/>
      <c r="L81" s="107"/>
      <c r="M81" s="107"/>
      <c r="N81" s="107"/>
      <c r="O81" s="107"/>
      <c r="P81" s="107"/>
      <c r="Q81" s="107"/>
      <c r="R81" s="107"/>
      <c r="S81" s="107"/>
      <c r="T81" s="107"/>
      <c r="U81" s="107"/>
      <c r="V81" s="107"/>
      <c r="W81" s="107"/>
      <c r="X81" s="107"/>
      <c r="Y81" s="107"/>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c r="BD81" s="98"/>
      <c r="BE81" s="98"/>
      <c r="BF81" s="98"/>
      <c r="BG81" s="98"/>
      <c r="BH81" s="98"/>
      <c r="BI81" s="98"/>
      <c r="BJ81" s="98"/>
      <c r="BK81" s="98"/>
      <c r="BL81" s="98"/>
      <c r="BM81" s="98"/>
      <c r="BN81" s="98"/>
      <c r="BO81" s="98"/>
      <c r="BP81" s="98"/>
      <c r="BQ81" s="98"/>
      <c r="BR81" s="98"/>
      <c r="BS81" s="98"/>
      <c r="BT81" s="98"/>
      <c r="BU81" s="98"/>
      <c r="BV81" s="98"/>
      <c r="BW81" s="98"/>
      <c r="BX81" s="98"/>
      <c r="BY81" s="98"/>
      <c r="BZ81" s="98"/>
      <c r="CA81" s="98"/>
      <c r="CB81" s="98"/>
      <c r="CC81" s="98"/>
      <c r="CD81" s="98"/>
      <c r="CE81" s="98"/>
      <c r="CF81" s="98"/>
      <c r="CG81" s="98"/>
      <c r="CH81" s="98"/>
      <c r="CI81" s="98"/>
      <c r="CJ81" s="98"/>
      <c r="CK81" s="98"/>
      <c r="CL81" s="98"/>
      <c r="CM81" s="98"/>
      <c r="CN81" s="98"/>
      <c r="CO81" s="98"/>
      <c r="CP81" s="98"/>
      <c r="CQ81" s="98"/>
      <c r="CR81" s="98"/>
      <c r="CS81" s="98"/>
      <c r="CT81" s="98"/>
      <c r="CU81" s="98"/>
      <c r="CV81" s="98"/>
      <c r="CW81" s="98"/>
      <c r="CX81" s="98"/>
      <c r="CY81" s="98"/>
      <c r="CZ81" s="98"/>
    </row>
    <row r="82" spans="2:104" x14ac:dyDescent="0.35">
      <c r="B82" s="98"/>
      <c r="C82" s="98"/>
      <c r="D82" s="105" t="s">
        <v>651</v>
      </c>
      <c r="E82" s="592" t="s">
        <v>332</v>
      </c>
      <c r="F82" s="107"/>
      <c r="G82" s="107"/>
      <c r="H82" s="107" t="s">
        <v>551</v>
      </c>
      <c r="I82" s="107"/>
      <c r="J82" s="107"/>
      <c r="K82" s="107"/>
      <c r="L82" s="107"/>
      <c r="M82" s="107"/>
      <c r="N82" s="107"/>
      <c r="O82" s="107"/>
      <c r="P82" s="107"/>
      <c r="Q82" s="107"/>
      <c r="R82" s="107"/>
      <c r="S82" s="107"/>
      <c r="T82" s="107"/>
      <c r="U82" s="107"/>
      <c r="V82" s="107"/>
      <c r="W82" s="107"/>
      <c r="X82" s="107"/>
      <c r="Y82" s="107"/>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c r="BD82" s="98"/>
      <c r="BE82" s="98"/>
      <c r="BF82" s="98"/>
      <c r="BG82" s="98"/>
      <c r="BH82" s="98"/>
      <c r="BI82" s="98"/>
      <c r="BJ82" s="98"/>
      <c r="BK82" s="98"/>
      <c r="BL82" s="98"/>
      <c r="BM82" s="98"/>
      <c r="BN82" s="98"/>
      <c r="BO82" s="98"/>
      <c r="BP82" s="98"/>
      <c r="BQ82" s="98"/>
      <c r="BR82" s="98"/>
      <c r="BS82" s="98"/>
      <c r="BT82" s="98"/>
      <c r="BU82" s="98"/>
      <c r="BV82" s="98"/>
      <c r="BW82" s="98"/>
      <c r="BX82" s="98"/>
      <c r="BY82" s="98"/>
      <c r="BZ82" s="98"/>
      <c r="CA82" s="98"/>
      <c r="CB82" s="98"/>
      <c r="CC82" s="98"/>
      <c r="CD82" s="98"/>
      <c r="CE82" s="98"/>
      <c r="CF82" s="98"/>
      <c r="CG82" s="98"/>
      <c r="CH82" s="98"/>
      <c r="CI82" s="98"/>
      <c r="CJ82" s="98"/>
      <c r="CK82" s="98"/>
      <c r="CL82" s="98"/>
      <c r="CM82" s="98"/>
      <c r="CN82" s="98"/>
      <c r="CO82" s="98"/>
      <c r="CP82" s="98"/>
      <c r="CQ82" s="98"/>
      <c r="CR82" s="98"/>
      <c r="CS82" s="98"/>
      <c r="CT82" s="98"/>
      <c r="CU82" s="98"/>
      <c r="CV82" s="98"/>
      <c r="CW82" s="98"/>
      <c r="CX82" s="98"/>
      <c r="CY82" s="98"/>
      <c r="CZ82" s="98"/>
    </row>
    <row r="83" spans="2:104" x14ac:dyDescent="0.35">
      <c r="B83" s="98"/>
      <c r="C83" s="98"/>
      <c r="D83" s="105" t="s">
        <v>305</v>
      </c>
      <c r="E83" s="593" t="s">
        <v>303</v>
      </c>
      <c r="F83" s="107"/>
      <c r="G83" s="107"/>
      <c r="H83" s="107" t="s">
        <v>557</v>
      </c>
      <c r="I83" s="107"/>
      <c r="J83" s="107"/>
      <c r="K83" s="107"/>
      <c r="L83" s="107"/>
      <c r="M83" s="107"/>
      <c r="N83" s="107"/>
      <c r="O83" s="107"/>
      <c r="P83" s="107"/>
      <c r="Q83" s="107"/>
      <c r="R83" s="107"/>
      <c r="S83" s="107"/>
      <c r="T83" s="107"/>
      <c r="U83" s="107"/>
      <c r="V83" s="107"/>
      <c r="W83" s="107"/>
      <c r="X83" s="107"/>
      <c r="Y83" s="107"/>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c r="BD83" s="98"/>
      <c r="BE83" s="98"/>
      <c r="BF83" s="98"/>
      <c r="BG83" s="98"/>
      <c r="BH83" s="98"/>
      <c r="BI83" s="98"/>
      <c r="BJ83" s="98"/>
      <c r="BK83" s="98"/>
      <c r="BL83" s="98"/>
      <c r="BM83" s="98"/>
      <c r="BN83" s="98"/>
      <c r="BO83" s="98"/>
      <c r="BP83" s="98"/>
      <c r="BQ83" s="98"/>
      <c r="BR83" s="98"/>
      <c r="BS83" s="98"/>
      <c r="BT83" s="98"/>
      <c r="BU83" s="98"/>
      <c r="BV83" s="98"/>
      <c r="BW83" s="98"/>
      <c r="BX83" s="98"/>
      <c r="BY83" s="98"/>
      <c r="BZ83" s="98"/>
      <c r="CA83" s="98"/>
      <c r="CB83" s="98"/>
      <c r="CC83" s="98"/>
      <c r="CD83" s="98"/>
      <c r="CE83" s="98"/>
      <c r="CF83" s="98"/>
      <c r="CG83" s="98"/>
      <c r="CH83" s="98"/>
      <c r="CI83" s="98"/>
      <c r="CJ83" s="98"/>
      <c r="CK83" s="98"/>
      <c r="CL83" s="98"/>
      <c r="CM83" s="98"/>
      <c r="CN83" s="98"/>
      <c r="CO83" s="98"/>
      <c r="CP83" s="98"/>
      <c r="CQ83" s="98"/>
      <c r="CR83" s="98"/>
      <c r="CS83" s="98"/>
      <c r="CT83" s="98"/>
      <c r="CU83" s="98"/>
      <c r="CV83" s="98"/>
      <c r="CW83" s="98"/>
      <c r="CX83" s="98"/>
      <c r="CY83" s="98"/>
      <c r="CZ83" s="98"/>
    </row>
    <row r="84" spans="2:104" ht="13.3" thickBot="1" x14ac:dyDescent="0.4">
      <c r="B84" s="421"/>
      <c r="C84" s="421"/>
      <c r="D84" s="424"/>
      <c r="E84" s="435"/>
      <c r="F84" s="435"/>
      <c r="G84" s="435"/>
      <c r="H84" s="107" t="s">
        <v>558</v>
      </c>
      <c r="I84" s="107"/>
      <c r="J84" s="107"/>
      <c r="K84" s="107"/>
      <c r="L84" s="107"/>
      <c r="M84" s="107"/>
      <c r="N84" s="107"/>
      <c r="O84" s="107"/>
      <c r="P84" s="107"/>
      <c r="Q84" s="107"/>
      <c r="R84" s="107"/>
      <c r="S84" s="107"/>
      <c r="T84" s="107"/>
      <c r="U84" s="107"/>
      <c r="V84" s="107"/>
      <c r="W84" s="107"/>
      <c r="X84" s="107"/>
      <c r="Y84" s="107"/>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c r="BD84" s="98"/>
      <c r="BE84" s="98"/>
      <c r="BF84" s="98"/>
      <c r="BG84" s="98"/>
      <c r="BH84" s="98"/>
      <c r="BI84" s="98"/>
      <c r="BJ84" s="98"/>
      <c r="BK84" s="98"/>
      <c r="BL84" s="98"/>
      <c r="BM84" s="98"/>
      <c r="BN84" s="98"/>
      <c r="BO84" s="98"/>
      <c r="BP84" s="98"/>
      <c r="BQ84" s="98"/>
      <c r="BR84" s="98"/>
      <c r="BS84" s="98"/>
      <c r="BT84" s="98"/>
      <c r="BU84" s="98"/>
      <c r="BV84" s="98"/>
      <c r="BW84" s="98"/>
      <c r="BX84" s="98"/>
      <c r="BY84" s="98"/>
      <c r="BZ84" s="98"/>
      <c r="CA84" s="98"/>
      <c r="CB84" s="98"/>
      <c r="CC84" s="98"/>
      <c r="CD84" s="98"/>
      <c r="CE84" s="98"/>
      <c r="CF84" s="98"/>
      <c r="CG84" s="98"/>
      <c r="CH84" s="98"/>
      <c r="CI84" s="98"/>
      <c r="CJ84" s="98"/>
      <c r="CK84" s="98"/>
      <c r="CL84" s="98"/>
      <c r="CM84" s="98"/>
      <c r="CN84" s="98"/>
      <c r="CO84" s="98"/>
      <c r="CP84" s="98"/>
      <c r="CQ84" s="98"/>
      <c r="CR84" s="98"/>
      <c r="CS84" s="98"/>
      <c r="CT84" s="98"/>
      <c r="CU84" s="98"/>
      <c r="CV84" s="98"/>
      <c r="CW84" s="98"/>
      <c r="CX84" s="98"/>
      <c r="CY84" s="98"/>
      <c r="CZ84" s="98"/>
    </row>
    <row r="85" spans="2:104" ht="13.3" thickBot="1" x14ac:dyDescent="0.4">
      <c r="B85" s="167"/>
      <c r="C85" s="167"/>
      <c r="D85" s="168"/>
      <c r="E85" s="169"/>
      <c r="F85" s="170"/>
      <c r="G85" s="170"/>
      <c r="H85" s="107"/>
      <c r="I85" s="107"/>
      <c r="J85" s="107"/>
      <c r="K85" s="107"/>
      <c r="L85" s="107"/>
      <c r="M85" s="107"/>
      <c r="N85" s="107"/>
      <c r="O85" s="107"/>
      <c r="P85" s="107" t="s">
        <v>595</v>
      </c>
      <c r="Q85" s="107"/>
      <c r="R85" s="107"/>
      <c r="S85" s="200" t="s">
        <v>597</v>
      </c>
      <c r="W85" s="107" t="s">
        <v>596</v>
      </c>
      <c r="X85" s="107"/>
      <c r="Y85" s="107"/>
      <c r="Z85" s="107"/>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c r="BD85" s="98"/>
      <c r="BE85" s="98"/>
      <c r="BF85" s="98"/>
      <c r="BG85" s="98"/>
      <c r="BH85" s="98"/>
      <c r="BI85" s="98"/>
      <c r="BJ85" s="98"/>
      <c r="BK85" s="98"/>
      <c r="BL85" s="98"/>
      <c r="BM85" s="98"/>
      <c r="BN85" s="98"/>
      <c r="BO85" s="98"/>
      <c r="BP85" s="98"/>
      <c r="BQ85" s="98"/>
      <c r="BR85" s="98"/>
      <c r="BS85" s="98"/>
      <c r="BT85" s="98"/>
      <c r="BU85" s="98"/>
      <c r="BV85" s="98"/>
      <c r="BW85" s="98"/>
      <c r="BX85" s="98"/>
      <c r="BY85" s="98"/>
      <c r="BZ85" s="98"/>
      <c r="CA85" s="98"/>
      <c r="CB85" s="98"/>
      <c r="CC85" s="98"/>
      <c r="CD85" s="98"/>
      <c r="CE85" s="98"/>
      <c r="CF85" s="98"/>
      <c r="CG85" s="98"/>
      <c r="CH85" s="98"/>
      <c r="CI85" s="98"/>
      <c r="CJ85" s="98"/>
      <c r="CK85" s="98"/>
      <c r="CL85" s="98"/>
      <c r="CM85" s="98"/>
      <c r="CN85" s="98"/>
      <c r="CO85" s="98"/>
      <c r="CP85" s="98"/>
      <c r="CQ85" s="98"/>
      <c r="CR85" s="98"/>
      <c r="CS85" s="98"/>
      <c r="CT85" s="98"/>
      <c r="CU85" s="98"/>
      <c r="CV85" s="98"/>
      <c r="CW85" s="98"/>
      <c r="CX85" s="98"/>
      <c r="CY85" s="98"/>
      <c r="CZ85" s="98"/>
    </row>
    <row r="86" spans="2:104" x14ac:dyDescent="0.35">
      <c r="B86" s="106" t="s">
        <v>162</v>
      </c>
      <c r="C86" s="154" t="s">
        <v>520</v>
      </c>
      <c r="D86" s="154" t="s">
        <v>170</v>
      </c>
      <c r="E86" s="142" t="s">
        <v>169</v>
      </c>
      <c r="F86" s="143" t="s">
        <v>185</v>
      </c>
      <c r="G86" s="143" t="s">
        <v>186</v>
      </c>
      <c r="H86" s="436" t="s">
        <v>187</v>
      </c>
      <c r="I86" s="436" t="s">
        <v>188</v>
      </c>
      <c r="J86" s="436" t="s">
        <v>189</v>
      </c>
      <c r="K86" s="437"/>
      <c r="L86" s="107"/>
      <c r="M86" s="107"/>
      <c r="N86" s="107"/>
      <c r="O86" s="107"/>
      <c r="P86" s="143" t="s">
        <v>185</v>
      </c>
      <c r="Q86" s="143" t="s">
        <v>186</v>
      </c>
      <c r="R86" s="107"/>
      <c r="S86" s="143" t="s">
        <v>185</v>
      </c>
      <c r="T86" s="143" t="s">
        <v>186</v>
      </c>
      <c r="U86" s="143" t="s">
        <v>187</v>
      </c>
      <c r="W86" s="143" t="s">
        <v>185</v>
      </c>
      <c r="X86" s="143" t="s">
        <v>186</v>
      </c>
      <c r="Y86" s="143" t="s">
        <v>187</v>
      </c>
      <c r="Z86" s="143" t="s">
        <v>188</v>
      </c>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c r="BD86" s="98"/>
      <c r="BE86" s="98"/>
      <c r="BF86" s="98"/>
      <c r="BG86" s="98"/>
      <c r="BH86" s="98"/>
      <c r="BI86" s="98"/>
      <c r="BJ86" s="98"/>
      <c r="BK86" s="98"/>
      <c r="BL86" s="98"/>
      <c r="BM86" s="98"/>
      <c r="BN86" s="98"/>
      <c r="BO86" s="98"/>
      <c r="BP86" s="98"/>
      <c r="BQ86" s="98"/>
      <c r="BR86" s="98"/>
      <c r="BS86" s="98"/>
      <c r="BT86" s="98"/>
      <c r="BU86" s="98"/>
      <c r="BV86" s="98"/>
      <c r="BW86" s="98"/>
      <c r="BX86" s="98"/>
      <c r="BY86" s="98"/>
      <c r="BZ86" s="98"/>
      <c r="CA86" s="98"/>
      <c r="CB86" s="98"/>
      <c r="CC86" s="98"/>
      <c r="CD86" s="98"/>
      <c r="CE86" s="98"/>
      <c r="CF86" s="98"/>
      <c r="CG86" s="98"/>
      <c r="CH86" s="98"/>
      <c r="CI86" s="98"/>
      <c r="CJ86" s="98"/>
      <c r="CK86" s="98"/>
      <c r="CL86" s="98"/>
      <c r="CM86" s="98"/>
      <c r="CN86" s="98"/>
      <c r="CO86" s="98"/>
      <c r="CP86" s="98"/>
      <c r="CQ86" s="98"/>
      <c r="CR86" s="98"/>
      <c r="CS86" s="98"/>
      <c r="CT86" s="98"/>
      <c r="CU86" s="98"/>
      <c r="CV86" s="98"/>
      <c r="CW86" s="98"/>
      <c r="CX86" s="98"/>
      <c r="CY86" s="98"/>
      <c r="CZ86" s="98"/>
    </row>
    <row r="87" spans="2:104" x14ac:dyDescent="0.35">
      <c r="B87" s="98"/>
      <c r="C87" s="98"/>
      <c r="D87" s="155"/>
      <c r="E87" s="144" t="s">
        <v>408</v>
      </c>
      <c r="F87" s="145"/>
      <c r="G87" s="146"/>
      <c r="H87" s="146"/>
      <c r="I87" s="146"/>
      <c r="J87" s="146"/>
      <c r="K87" s="400" t="s">
        <v>341</v>
      </c>
      <c r="L87" s="107"/>
      <c r="M87" s="107"/>
      <c r="N87" s="107"/>
      <c r="O87" s="107"/>
      <c r="P87" s="145"/>
      <c r="Q87" s="146"/>
      <c r="R87" s="107"/>
      <c r="S87" s="145"/>
      <c r="T87" s="146"/>
      <c r="U87" s="146"/>
      <c r="W87" s="145"/>
      <c r="X87" s="146"/>
      <c r="Y87" s="146"/>
      <c r="Z87" s="146"/>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c r="BD87" s="98"/>
      <c r="BE87" s="98"/>
      <c r="BF87" s="98"/>
      <c r="BG87" s="98"/>
      <c r="BH87" s="98"/>
      <c r="BI87" s="98"/>
      <c r="BJ87" s="98"/>
      <c r="BK87" s="98"/>
      <c r="BL87" s="98"/>
      <c r="BM87" s="98"/>
      <c r="BN87" s="98"/>
      <c r="BO87" s="98"/>
      <c r="BP87" s="98"/>
      <c r="BQ87" s="98"/>
      <c r="BR87" s="98"/>
      <c r="BS87" s="98"/>
      <c r="BT87" s="98"/>
      <c r="BU87" s="98"/>
      <c r="BV87" s="98"/>
      <c r="BW87" s="98"/>
      <c r="BX87" s="98"/>
      <c r="BY87" s="98"/>
      <c r="BZ87" s="98"/>
      <c r="CA87" s="98"/>
      <c r="CB87" s="98"/>
      <c r="CC87" s="98"/>
      <c r="CD87" s="98"/>
      <c r="CE87" s="98"/>
      <c r="CF87" s="98"/>
      <c r="CG87" s="98"/>
      <c r="CH87" s="98"/>
      <c r="CI87" s="98"/>
      <c r="CJ87" s="98"/>
      <c r="CK87" s="98"/>
      <c r="CL87" s="98"/>
      <c r="CM87" s="98"/>
      <c r="CN87" s="98"/>
      <c r="CO87" s="98"/>
      <c r="CP87" s="98"/>
      <c r="CQ87" s="98"/>
      <c r="CR87" s="98"/>
      <c r="CS87" s="98"/>
      <c r="CT87" s="98"/>
      <c r="CU87" s="98"/>
      <c r="CV87" s="98"/>
      <c r="CW87" s="98"/>
      <c r="CX87" s="98"/>
      <c r="CY87" s="98"/>
      <c r="CZ87" s="98"/>
    </row>
    <row r="88" spans="2:104" x14ac:dyDescent="0.35">
      <c r="B88" s="98"/>
      <c r="C88" s="130"/>
      <c r="D88" s="156" t="s">
        <v>16</v>
      </c>
      <c r="E88" s="642">
        <f>'Eng Mod'!G101*l_conv(L_PL,Len_PL_U,"mi")</f>
        <v>13295635.781609198</v>
      </c>
      <c r="F88" s="595">
        <v>0.05</v>
      </c>
      <c r="G88" s="595">
        <v>0.2</v>
      </c>
      <c r="H88" s="595">
        <v>0.35</v>
      </c>
      <c r="I88" s="595">
        <f>1-SUM(F88:H88)</f>
        <v>0.4</v>
      </c>
      <c r="J88" s="595"/>
      <c r="K88" s="563">
        <f>SUM(F88:J88)</f>
        <v>1</v>
      </c>
      <c r="L88" s="107"/>
      <c r="M88" s="107"/>
      <c r="N88" s="107"/>
      <c r="O88" s="107"/>
      <c r="P88" s="175">
        <v>0.2</v>
      </c>
      <c r="Q88" s="175">
        <v>0.8</v>
      </c>
      <c r="R88" s="107"/>
      <c r="S88" s="175">
        <v>0.05</v>
      </c>
      <c r="T88" s="175">
        <v>0.4</v>
      </c>
      <c r="U88" s="175">
        <f>1-SUM(S88:T88)</f>
        <v>0.55000000000000004</v>
      </c>
      <c r="W88" s="175">
        <v>0.05</v>
      </c>
      <c r="X88" s="175">
        <v>0.2</v>
      </c>
      <c r="Y88" s="175">
        <v>0.35</v>
      </c>
      <c r="Z88" s="175">
        <f>1-SUM(W88:Y88)</f>
        <v>0.4</v>
      </c>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c r="BD88" s="98"/>
      <c r="BE88" s="98"/>
      <c r="BF88" s="98"/>
      <c r="BG88" s="98"/>
      <c r="BH88" s="98"/>
      <c r="BI88" s="98"/>
      <c r="BJ88" s="98"/>
      <c r="BK88" s="98"/>
      <c r="BL88" s="98"/>
      <c r="BM88" s="98"/>
      <c r="BN88" s="98"/>
      <c r="BO88" s="98"/>
      <c r="BP88" s="98"/>
      <c r="BQ88" s="98"/>
      <c r="BR88" s="98"/>
      <c r="BS88" s="98"/>
      <c r="BT88" s="98"/>
      <c r="BU88" s="98"/>
      <c r="BV88" s="98"/>
      <c r="BW88" s="98"/>
      <c r="BX88" s="98"/>
      <c r="BY88" s="98"/>
      <c r="BZ88" s="98"/>
      <c r="CA88" s="98"/>
      <c r="CB88" s="98"/>
      <c r="CC88" s="98"/>
      <c r="CD88" s="98"/>
      <c r="CE88" s="98"/>
      <c r="CF88" s="98"/>
      <c r="CG88" s="98"/>
      <c r="CH88" s="98"/>
      <c r="CI88" s="98"/>
      <c r="CJ88" s="98"/>
      <c r="CK88" s="98"/>
      <c r="CL88" s="98"/>
      <c r="CM88" s="98"/>
      <c r="CN88" s="98"/>
      <c r="CO88" s="98"/>
      <c r="CP88" s="98"/>
      <c r="CQ88" s="98"/>
      <c r="CR88" s="98"/>
      <c r="CS88" s="98"/>
      <c r="CT88" s="98"/>
      <c r="CU88" s="98"/>
      <c r="CV88" s="98"/>
      <c r="CW88" s="98"/>
      <c r="CX88" s="98"/>
      <c r="CY88" s="98"/>
      <c r="CZ88" s="98"/>
    </row>
    <row r="89" spans="2:104" x14ac:dyDescent="0.35">
      <c r="B89" s="98"/>
      <c r="C89" s="98"/>
      <c r="D89" s="156" t="s">
        <v>17</v>
      </c>
      <c r="E89" s="643">
        <f>'Eng Mod'!G102*l_conv(L_PL,Len_PL_U,"mi")</f>
        <v>39393721.238505751</v>
      </c>
      <c r="F89" s="594">
        <v>0.05</v>
      </c>
      <c r="G89" s="594">
        <v>0.2</v>
      </c>
      <c r="H89" s="594">
        <v>0.35</v>
      </c>
      <c r="I89" s="594">
        <v>0.4</v>
      </c>
      <c r="J89" s="594"/>
      <c r="K89" s="564">
        <f t="shared" ref="K89:K94" si="0">SUM(F89:J89)</f>
        <v>1</v>
      </c>
      <c r="L89" s="107"/>
      <c r="M89" s="107"/>
      <c r="N89" s="107"/>
      <c r="O89" s="107"/>
      <c r="P89" s="175">
        <v>0.2</v>
      </c>
      <c r="Q89" s="175">
        <v>0.8</v>
      </c>
      <c r="R89" s="107"/>
      <c r="S89" s="175">
        <v>0.05</v>
      </c>
      <c r="T89" s="175">
        <v>0.4</v>
      </c>
      <c r="U89" s="175">
        <f t="shared" ref="U89:U93" si="1">1-SUM(S89:T89)</f>
        <v>0.55000000000000004</v>
      </c>
      <c r="W89" s="175">
        <v>0.05</v>
      </c>
      <c r="X89" s="175">
        <v>0.2</v>
      </c>
      <c r="Y89" s="175">
        <v>0.35</v>
      </c>
      <c r="Z89" s="175">
        <v>0.4</v>
      </c>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c r="BD89" s="98"/>
      <c r="BE89" s="98"/>
      <c r="BF89" s="98"/>
      <c r="BG89" s="98"/>
      <c r="BH89" s="98"/>
      <c r="BI89" s="98"/>
      <c r="BJ89" s="98"/>
      <c r="BK89" s="98"/>
      <c r="BL89" s="98"/>
      <c r="BM89" s="98"/>
      <c r="BN89" s="98"/>
      <c r="BO89" s="98"/>
      <c r="BP89" s="98"/>
      <c r="BQ89" s="98"/>
      <c r="BR89" s="98"/>
      <c r="BS89" s="98"/>
      <c r="BT89" s="98"/>
      <c r="BU89" s="98"/>
      <c r="BV89" s="98"/>
      <c r="BW89" s="98"/>
      <c r="BX89" s="98"/>
      <c r="BY89" s="98"/>
      <c r="BZ89" s="98"/>
      <c r="CA89" s="98"/>
      <c r="CB89" s="98"/>
      <c r="CC89" s="98"/>
      <c r="CD89" s="98"/>
      <c r="CE89" s="98"/>
      <c r="CF89" s="98"/>
      <c r="CG89" s="98"/>
      <c r="CH89" s="98"/>
      <c r="CI89" s="98"/>
      <c r="CJ89" s="98"/>
      <c r="CK89" s="98"/>
      <c r="CL89" s="98"/>
      <c r="CM89" s="98"/>
      <c r="CN89" s="98"/>
      <c r="CO89" s="98"/>
      <c r="CP89" s="98"/>
      <c r="CQ89" s="98"/>
      <c r="CR89" s="98"/>
      <c r="CS89" s="98"/>
      <c r="CT89" s="98"/>
      <c r="CU89" s="98"/>
      <c r="CV89" s="98"/>
      <c r="CW89" s="98"/>
      <c r="CX89" s="98"/>
      <c r="CY89" s="98"/>
      <c r="CZ89" s="98"/>
    </row>
    <row r="90" spans="2:104" x14ac:dyDescent="0.35">
      <c r="B90" s="98"/>
      <c r="C90" s="98"/>
      <c r="D90" s="156" t="s">
        <v>104</v>
      </c>
      <c r="E90" s="643">
        <f>'Eng Mod'!G103*l_conv(L_PL,Len_PL_U,"mi")</f>
        <v>3791579.8297181511</v>
      </c>
      <c r="F90" s="594">
        <v>0.5</v>
      </c>
      <c r="G90" s="594">
        <v>0.3</v>
      </c>
      <c r="H90" s="594">
        <v>0.2</v>
      </c>
      <c r="I90" s="594">
        <f>1-SUM(F90:H90)</f>
        <v>0</v>
      </c>
      <c r="J90" s="594"/>
      <c r="K90" s="564">
        <f>SUM(F90:J90)</f>
        <v>1</v>
      </c>
      <c r="L90" s="107"/>
      <c r="M90" s="107"/>
      <c r="N90" s="107"/>
      <c r="O90" s="107"/>
      <c r="P90" s="175">
        <v>0.65</v>
      </c>
      <c r="Q90" s="175">
        <v>0.35</v>
      </c>
      <c r="R90" s="107"/>
      <c r="S90" s="175">
        <v>0.55000000000000004</v>
      </c>
      <c r="T90" s="175">
        <v>0.3</v>
      </c>
      <c r="U90" s="175">
        <f t="shared" si="1"/>
        <v>0.14999999999999991</v>
      </c>
      <c r="W90" s="175">
        <v>0.5</v>
      </c>
      <c r="X90" s="175">
        <v>0.3</v>
      </c>
      <c r="Y90" s="175">
        <v>0.2</v>
      </c>
      <c r="Z90" s="175">
        <f>1-SUM(W90:Y90)</f>
        <v>0</v>
      </c>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c r="BD90" s="98"/>
      <c r="BE90" s="98"/>
      <c r="BF90" s="98"/>
      <c r="BG90" s="98"/>
      <c r="BH90" s="98"/>
      <c r="BI90" s="98"/>
      <c r="BJ90" s="98"/>
      <c r="BK90" s="98"/>
      <c r="BL90" s="98"/>
      <c r="BM90" s="98"/>
      <c r="BN90" s="98"/>
      <c r="BO90" s="98"/>
      <c r="BP90" s="98"/>
      <c r="BQ90" s="98"/>
      <c r="BR90" s="98"/>
      <c r="BS90" s="98"/>
      <c r="BT90" s="98"/>
      <c r="BU90" s="98"/>
      <c r="BV90" s="98"/>
      <c r="BW90" s="98"/>
      <c r="BX90" s="98"/>
      <c r="BY90" s="98"/>
      <c r="BZ90" s="98"/>
      <c r="CA90" s="98"/>
      <c r="CB90" s="98"/>
      <c r="CC90" s="98"/>
      <c r="CD90" s="98"/>
      <c r="CE90" s="98"/>
      <c r="CF90" s="98"/>
      <c r="CG90" s="98"/>
      <c r="CH90" s="98"/>
      <c r="CI90" s="98"/>
      <c r="CJ90" s="98"/>
      <c r="CK90" s="98"/>
      <c r="CL90" s="98"/>
      <c r="CM90" s="98"/>
      <c r="CN90" s="98"/>
      <c r="CO90" s="98"/>
      <c r="CP90" s="98"/>
      <c r="CQ90" s="98"/>
      <c r="CR90" s="98"/>
      <c r="CS90" s="98"/>
      <c r="CT90" s="98"/>
      <c r="CU90" s="98"/>
      <c r="CV90" s="98"/>
      <c r="CW90" s="98"/>
      <c r="CX90" s="98"/>
      <c r="CY90" s="98"/>
      <c r="CZ90" s="98"/>
    </row>
    <row r="91" spans="2:104" x14ac:dyDescent="0.35">
      <c r="B91" s="98"/>
      <c r="C91" s="98"/>
      <c r="D91" s="156" t="s">
        <v>55</v>
      </c>
      <c r="E91" s="643">
        <f>'Eng Mod'!G104*l_conv(L_PL,Len_PL_U,"mi")</f>
        <v>13575794.153982015</v>
      </c>
      <c r="F91" s="594">
        <v>0.25</v>
      </c>
      <c r="G91" s="594">
        <v>0.25</v>
      </c>
      <c r="H91" s="594">
        <v>0.25</v>
      </c>
      <c r="I91" s="594">
        <f t="shared" ref="I91:I94" si="2">1-SUM(F91:H91)</f>
        <v>0.25</v>
      </c>
      <c r="J91" s="594"/>
      <c r="K91" s="564">
        <f t="shared" si="0"/>
        <v>1</v>
      </c>
      <c r="L91" s="107"/>
      <c r="M91" s="107"/>
      <c r="N91" s="107"/>
      <c r="O91" s="107"/>
      <c r="P91" s="175">
        <v>0.4</v>
      </c>
      <c r="Q91" s="175">
        <v>0.6</v>
      </c>
      <c r="R91" s="107"/>
      <c r="S91" s="175">
        <v>0.3</v>
      </c>
      <c r="T91" s="175">
        <v>0.35</v>
      </c>
      <c r="U91" s="175">
        <f t="shared" si="1"/>
        <v>0.35000000000000009</v>
      </c>
      <c r="W91" s="175">
        <v>0.25</v>
      </c>
      <c r="X91" s="175">
        <v>0.25</v>
      </c>
      <c r="Y91" s="175">
        <v>0.25</v>
      </c>
      <c r="Z91" s="175">
        <f t="shared" ref="Z91:Z94" si="3">1-SUM(W91:Y91)</f>
        <v>0.25</v>
      </c>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c r="BD91" s="98"/>
      <c r="BE91" s="98"/>
      <c r="BF91" s="98"/>
      <c r="BG91" s="98"/>
      <c r="BH91" s="98"/>
      <c r="BI91" s="98"/>
      <c r="BJ91" s="98"/>
      <c r="BK91" s="98"/>
      <c r="BL91" s="98"/>
      <c r="BM91" s="98"/>
      <c r="BN91" s="98"/>
      <c r="BO91" s="98"/>
      <c r="BP91" s="98"/>
      <c r="BQ91" s="98"/>
      <c r="BR91" s="98"/>
      <c r="BS91" s="98"/>
      <c r="BT91" s="98"/>
      <c r="BU91" s="98"/>
      <c r="BV91" s="98"/>
      <c r="BW91" s="98"/>
      <c r="BX91" s="98"/>
      <c r="BY91" s="98"/>
      <c r="BZ91" s="98"/>
      <c r="CA91" s="98"/>
      <c r="CB91" s="98"/>
      <c r="CC91" s="98"/>
      <c r="CD91" s="98"/>
      <c r="CE91" s="98"/>
      <c r="CF91" s="98"/>
      <c r="CG91" s="98"/>
      <c r="CH91" s="98"/>
      <c r="CI91" s="98"/>
      <c r="CJ91" s="98"/>
      <c r="CK91" s="98"/>
      <c r="CL91" s="98"/>
      <c r="CM91" s="98"/>
      <c r="CN91" s="98"/>
      <c r="CO91" s="98"/>
      <c r="CP91" s="98"/>
      <c r="CQ91" s="98"/>
      <c r="CR91" s="98"/>
      <c r="CS91" s="98"/>
      <c r="CT91" s="98"/>
      <c r="CU91" s="98"/>
      <c r="CV91" s="98"/>
      <c r="CW91" s="98"/>
      <c r="CX91" s="98"/>
      <c r="CY91" s="98"/>
      <c r="CZ91" s="98"/>
    </row>
    <row r="92" spans="2:104" x14ac:dyDescent="0.35">
      <c r="B92" s="98"/>
      <c r="C92" s="98"/>
      <c r="D92" s="156" t="s">
        <v>244</v>
      </c>
      <c r="E92" s="643">
        <f>'Eng Mod'!G109</f>
        <v>1244743.6589314623</v>
      </c>
      <c r="F92" s="594">
        <v>0</v>
      </c>
      <c r="G92" s="594">
        <v>0.1</v>
      </c>
      <c r="H92" s="594">
        <v>0.2</v>
      </c>
      <c r="I92" s="594">
        <f t="shared" si="2"/>
        <v>0.7</v>
      </c>
      <c r="J92" s="594"/>
      <c r="K92" s="564">
        <f t="shared" si="0"/>
        <v>1</v>
      </c>
      <c r="L92" s="107"/>
      <c r="M92" s="107"/>
      <c r="N92" s="107"/>
      <c r="O92" s="107"/>
      <c r="P92" s="175">
        <v>0.1</v>
      </c>
      <c r="Q92" s="175">
        <v>0.9</v>
      </c>
      <c r="R92" s="107"/>
      <c r="S92" s="175">
        <v>0</v>
      </c>
      <c r="T92" s="175">
        <v>0.3</v>
      </c>
      <c r="U92" s="175">
        <f t="shared" si="1"/>
        <v>0.7</v>
      </c>
      <c r="W92" s="175">
        <v>0</v>
      </c>
      <c r="X92" s="175">
        <v>0.1</v>
      </c>
      <c r="Y92" s="175">
        <v>0.2</v>
      </c>
      <c r="Z92" s="175">
        <f t="shared" si="3"/>
        <v>0.7</v>
      </c>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c r="BD92" s="98"/>
      <c r="BE92" s="98"/>
      <c r="BF92" s="98"/>
      <c r="BG92" s="98"/>
      <c r="BH92" s="98"/>
      <c r="BI92" s="98"/>
      <c r="BJ92" s="98"/>
      <c r="BK92" s="98"/>
      <c r="BL92" s="98"/>
      <c r="BM92" s="98"/>
      <c r="BN92" s="98"/>
      <c r="BO92" s="98"/>
      <c r="BP92" s="98"/>
      <c r="BQ92" s="98"/>
      <c r="BR92" s="98"/>
      <c r="BS92" s="98"/>
      <c r="BT92" s="98"/>
      <c r="BU92" s="98"/>
      <c r="BV92" s="98"/>
      <c r="BW92" s="98"/>
      <c r="BX92" s="98"/>
      <c r="BY92" s="98"/>
      <c r="BZ92" s="98"/>
      <c r="CA92" s="98"/>
      <c r="CB92" s="98"/>
      <c r="CC92" s="98"/>
      <c r="CD92" s="98"/>
      <c r="CE92" s="98"/>
      <c r="CF92" s="98"/>
      <c r="CG92" s="98"/>
      <c r="CH92" s="98"/>
      <c r="CI92" s="98"/>
      <c r="CJ92" s="98"/>
      <c r="CK92" s="98"/>
      <c r="CL92" s="98"/>
      <c r="CM92" s="98"/>
      <c r="CN92" s="98"/>
      <c r="CO92" s="98"/>
      <c r="CP92" s="98"/>
      <c r="CQ92" s="98"/>
      <c r="CR92" s="98"/>
      <c r="CS92" s="98"/>
      <c r="CT92" s="98"/>
      <c r="CU92" s="98"/>
      <c r="CV92" s="98"/>
      <c r="CW92" s="98"/>
      <c r="CX92" s="98"/>
      <c r="CY92" s="98"/>
      <c r="CZ92" s="98"/>
    </row>
    <row r="93" spans="2:104" x14ac:dyDescent="0.35">
      <c r="B93" s="98"/>
      <c r="C93" s="98"/>
      <c r="D93" s="156" t="s">
        <v>242</v>
      </c>
      <c r="E93" s="643">
        <f>'Eng Mod'!G110</f>
        <v>111907.19131614653</v>
      </c>
      <c r="F93" s="594">
        <v>0</v>
      </c>
      <c r="G93" s="594">
        <v>0.1</v>
      </c>
      <c r="H93" s="594">
        <v>0.2</v>
      </c>
      <c r="I93" s="594">
        <f t="shared" si="2"/>
        <v>0.7</v>
      </c>
      <c r="J93" s="594"/>
      <c r="K93" s="564">
        <f t="shared" si="0"/>
        <v>1</v>
      </c>
      <c r="L93" s="107"/>
      <c r="M93" s="107"/>
      <c r="N93" s="107"/>
      <c r="O93" s="107"/>
      <c r="P93" s="175">
        <v>0.1</v>
      </c>
      <c r="Q93" s="175">
        <v>0.9</v>
      </c>
      <c r="R93" s="107"/>
      <c r="S93" s="175">
        <v>0</v>
      </c>
      <c r="T93" s="175">
        <v>0.3</v>
      </c>
      <c r="U93" s="175">
        <f t="shared" si="1"/>
        <v>0.7</v>
      </c>
      <c r="W93" s="175">
        <v>0</v>
      </c>
      <c r="X93" s="175">
        <v>0.1</v>
      </c>
      <c r="Y93" s="175">
        <v>0.2</v>
      </c>
      <c r="Z93" s="175">
        <f t="shared" si="3"/>
        <v>0.7</v>
      </c>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c r="BD93" s="98"/>
      <c r="BE93" s="98"/>
      <c r="BF93" s="98"/>
      <c r="BG93" s="98"/>
      <c r="BH93" s="98"/>
      <c r="BI93" s="98"/>
      <c r="BJ93" s="98"/>
      <c r="BK93" s="98"/>
      <c r="BL93" s="98"/>
      <c r="BM93" s="98"/>
      <c r="BN93" s="98"/>
      <c r="BO93" s="98"/>
      <c r="BP93" s="98"/>
      <c r="BQ93" s="98"/>
      <c r="BR93" s="98"/>
      <c r="BS93" s="98"/>
      <c r="BT93" s="98"/>
      <c r="BU93" s="98"/>
      <c r="BV93" s="98"/>
      <c r="BW93" s="98"/>
      <c r="BX93" s="98"/>
      <c r="BY93" s="98"/>
      <c r="BZ93" s="98"/>
      <c r="CA93" s="98"/>
      <c r="CB93" s="98"/>
      <c r="CC93" s="98"/>
      <c r="CD93" s="98"/>
      <c r="CE93" s="98"/>
      <c r="CF93" s="98"/>
      <c r="CG93" s="98"/>
      <c r="CH93" s="98"/>
      <c r="CI93" s="98"/>
      <c r="CJ93" s="98"/>
      <c r="CK93" s="98"/>
      <c r="CL93" s="98"/>
      <c r="CM93" s="98"/>
      <c r="CN93" s="98"/>
      <c r="CO93" s="98"/>
      <c r="CP93" s="98"/>
      <c r="CQ93" s="98"/>
      <c r="CR93" s="98"/>
      <c r="CS93" s="98"/>
      <c r="CT93" s="98"/>
      <c r="CU93" s="98"/>
      <c r="CV93" s="98"/>
      <c r="CW93" s="98"/>
      <c r="CX93" s="98"/>
      <c r="CY93" s="98"/>
      <c r="CZ93" s="98"/>
    </row>
    <row r="94" spans="2:104" x14ac:dyDescent="0.35">
      <c r="B94" s="98"/>
      <c r="C94" s="98"/>
      <c r="D94" s="157" t="s">
        <v>171</v>
      </c>
      <c r="E94" s="644">
        <f>'Eng Mod'!G119</f>
        <v>1873261.1602852279</v>
      </c>
      <c r="F94" s="596">
        <v>0</v>
      </c>
      <c r="G94" s="596">
        <v>0.15</v>
      </c>
      <c r="H94" s="596">
        <v>0.25</v>
      </c>
      <c r="I94" s="596">
        <f t="shared" si="2"/>
        <v>0.6</v>
      </c>
      <c r="J94" s="596"/>
      <c r="K94" s="565">
        <f t="shared" si="0"/>
        <v>1</v>
      </c>
      <c r="L94" s="107"/>
      <c r="M94" s="107"/>
      <c r="N94" s="107"/>
      <c r="O94" s="107"/>
      <c r="P94" s="176">
        <v>0.15</v>
      </c>
      <c r="Q94" s="176">
        <v>0.85</v>
      </c>
      <c r="R94" s="107"/>
      <c r="S94" s="176">
        <v>0</v>
      </c>
      <c r="T94" s="176">
        <v>0.4</v>
      </c>
      <c r="U94" s="176">
        <f>1-SUM(S94:T94)</f>
        <v>0.6</v>
      </c>
      <c r="W94" s="176">
        <v>0</v>
      </c>
      <c r="X94" s="176">
        <v>0.15</v>
      </c>
      <c r="Y94" s="176">
        <v>0.25</v>
      </c>
      <c r="Z94" s="480">
        <f t="shared" si="3"/>
        <v>0.6</v>
      </c>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c r="BD94" s="98"/>
      <c r="BE94" s="98"/>
      <c r="BF94" s="98"/>
      <c r="BG94" s="98"/>
      <c r="BH94" s="98"/>
      <c r="BI94" s="98"/>
      <c r="BJ94" s="98"/>
      <c r="BK94" s="98"/>
      <c r="BL94" s="98"/>
      <c r="BM94" s="98"/>
      <c r="BN94" s="98"/>
      <c r="BO94" s="98"/>
      <c r="BP94" s="98"/>
      <c r="BQ94" s="98"/>
      <c r="BR94" s="98"/>
      <c r="BS94" s="98"/>
      <c r="BT94" s="98"/>
      <c r="BU94" s="98"/>
      <c r="BV94" s="98"/>
      <c r="BW94" s="98"/>
      <c r="BX94" s="98"/>
      <c r="BY94" s="98"/>
      <c r="BZ94" s="98"/>
      <c r="CA94" s="98"/>
      <c r="CB94" s="98"/>
      <c r="CC94" s="98"/>
      <c r="CD94" s="98"/>
      <c r="CE94" s="98"/>
      <c r="CF94" s="98"/>
      <c r="CG94" s="98"/>
      <c r="CH94" s="98"/>
      <c r="CI94" s="98"/>
      <c r="CJ94" s="98"/>
      <c r="CK94" s="98"/>
      <c r="CL94" s="98"/>
      <c r="CM94" s="98"/>
      <c r="CN94" s="98"/>
      <c r="CO94" s="98"/>
      <c r="CP94" s="98"/>
      <c r="CQ94" s="98"/>
      <c r="CR94" s="98"/>
      <c r="CS94" s="98"/>
      <c r="CT94" s="98"/>
      <c r="CU94" s="98"/>
      <c r="CV94" s="98"/>
      <c r="CW94" s="98"/>
      <c r="CX94" s="98"/>
      <c r="CY94" s="98"/>
      <c r="CZ94" s="98"/>
    </row>
    <row r="95" spans="2:104" x14ac:dyDescent="0.35">
      <c r="B95" s="98"/>
      <c r="C95" s="98"/>
      <c r="D95" s="110" t="s">
        <v>652</v>
      </c>
      <c r="E95" s="126">
        <f>SUM(E88:E94)</f>
        <v>73286643.014347956</v>
      </c>
      <c r="F95" s="129"/>
      <c r="G95" s="129"/>
      <c r="H95" s="129"/>
      <c r="I95" s="129"/>
      <c r="J95" s="129"/>
      <c r="K95" s="129"/>
      <c r="L95" s="107"/>
      <c r="M95" s="107"/>
      <c r="N95" s="107"/>
      <c r="O95" s="107"/>
      <c r="P95" s="107"/>
      <c r="Q95" s="107"/>
      <c r="R95" s="107"/>
      <c r="S95" s="107"/>
      <c r="T95" s="107"/>
      <c r="U95" s="107"/>
      <c r="V95" s="107"/>
      <c r="W95" s="107"/>
      <c r="X95" s="107"/>
      <c r="Y95" s="107"/>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c r="BD95" s="98"/>
      <c r="BE95" s="98"/>
      <c r="BF95" s="98"/>
      <c r="BG95" s="98"/>
      <c r="BH95" s="98"/>
      <c r="BI95" s="98"/>
      <c r="BJ95" s="98"/>
      <c r="BK95" s="98"/>
      <c r="BL95" s="98"/>
      <c r="BM95" s="98"/>
      <c r="BN95" s="98"/>
      <c r="BO95" s="98"/>
      <c r="BP95" s="98"/>
      <c r="BQ95" s="98"/>
      <c r="BR95" s="98"/>
      <c r="BS95" s="98"/>
      <c r="BT95" s="98"/>
      <c r="BU95" s="98"/>
      <c r="BV95" s="98"/>
      <c r="BW95" s="98"/>
      <c r="BX95" s="98"/>
      <c r="BY95" s="98"/>
      <c r="BZ95" s="98"/>
      <c r="CA95" s="98"/>
      <c r="CB95" s="98"/>
      <c r="CC95" s="98"/>
      <c r="CD95" s="98"/>
      <c r="CE95" s="98"/>
      <c r="CF95" s="98"/>
      <c r="CG95" s="98"/>
      <c r="CH95" s="98"/>
      <c r="CI95" s="98"/>
      <c r="CJ95" s="98"/>
      <c r="CK95" s="98"/>
      <c r="CL95" s="98"/>
      <c r="CM95" s="98"/>
      <c r="CN95" s="98"/>
      <c r="CO95" s="98"/>
      <c r="CP95" s="98"/>
      <c r="CQ95" s="98"/>
      <c r="CR95" s="98"/>
      <c r="CS95" s="98"/>
      <c r="CT95" s="98"/>
      <c r="CU95" s="98"/>
      <c r="CV95" s="98"/>
      <c r="CW95" s="98"/>
      <c r="CX95" s="98"/>
      <c r="CY95" s="98"/>
      <c r="CZ95" s="98"/>
    </row>
    <row r="96" spans="2:104" x14ac:dyDescent="0.35">
      <c r="B96" s="98"/>
      <c r="C96" s="98"/>
      <c r="D96" s="154" t="s">
        <v>176</v>
      </c>
      <c r="E96" s="566" t="s">
        <v>173</v>
      </c>
      <c r="F96" s="131"/>
      <c r="G96" s="129"/>
      <c r="H96" s="129"/>
      <c r="I96" s="107"/>
      <c r="J96" s="107"/>
      <c r="L96" s="107"/>
      <c r="M96" s="107"/>
      <c r="N96" s="107"/>
      <c r="O96" s="107"/>
      <c r="P96" s="107"/>
      <c r="Q96" s="107"/>
      <c r="R96" s="107"/>
      <c r="S96" s="107"/>
      <c r="T96" s="107"/>
      <c r="U96" s="107"/>
      <c r="V96" s="107"/>
      <c r="W96" s="107"/>
      <c r="X96" s="107"/>
      <c r="Y96" s="107"/>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c r="BD96" s="98"/>
      <c r="BE96" s="98"/>
      <c r="BF96" s="98"/>
      <c r="BG96" s="98"/>
      <c r="BH96" s="98"/>
      <c r="BI96" s="98"/>
      <c r="BJ96" s="98"/>
      <c r="BK96" s="98"/>
      <c r="BL96" s="98"/>
      <c r="BM96" s="98"/>
      <c r="BN96" s="98"/>
      <c r="BO96" s="98"/>
      <c r="BP96" s="98"/>
      <c r="BQ96" s="98"/>
      <c r="BR96" s="98"/>
      <c r="BS96" s="98"/>
      <c r="BT96" s="98"/>
      <c r="BU96" s="98"/>
      <c r="BV96" s="98"/>
      <c r="BW96" s="98"/>
      <c r="BX96" s="98"/>
      <c r="BY96" s="98"/>
      <c r="BZ96" s="98"/>
      <c r="CA96" s="98"/>
      <c r="CB96" s="98"/>
      <c r="CC96" s="98"/>
      <c r="CD96" s="98"/>
      <c r="CE96" s="98"/>
      <c r="CF96" s="98"/>
      <c r="CG96" s="98"/>
      <c r="CH96" s="98"/>
      <c r="CI96" s="98"/>
      <c r="CJ96" s="98"/>
      <c r="CK96" s="98"/>
      <c r="CL96" s="98"/>
      <c r="CM96" s="98"/>
      <c r="CN96" s="98"/>
      <c r="CO96" s="98"/>
      <c r="CP96" s="98"/>
      <c r="CQ96" s="98"/>
      <c r="CR96" s="98"/>
      <c r="CS96" s="98"/>
      <c r="CT96" s="98"/>
      <c r="CU96" s="98"/>
      <c r="CV96" s="98"/>
      <c r="CW96" s="98"/>
      <c r="CX96" s="98"/>
      <c r="CY96" s="98"/>
      <c r="CZ96" s="98"/>
    </row>
    <row r="97" spans="1:104" x14ac:dyDescent="0.35">
      <c r="B97" s="98"/>
      <c r="C97" s="98"/>
      <c r="D97" s="158"/>
      <c r="E97" s="567" t="s">
        <v>406</v>
      </c>
      <c r="F97" s="129"/>
      <c r="G97" s="129"/>
      <c r="H97" s="129"/>
      <c r="I97" s="107"/>
      <c r="J97" s="107"/>
      <c r="L97" s="107"/>
      <c r="M97" s="107"/>
      <c r="N97" s="107"/>
      <c r="O97" s="107"/>
      <c r="P97" s="107"/>
      <c r="Q97" s="107"/>
      <c r="R97" s="107"/>
      <c r="S97" s="107"/>
      <c r="T97" s="107"/>
      <c r="U97" s="107"/>
      <c r="V97" s="107"/>
      <c r="W97" s="107"/>
      <c r="X97" s="107"/>
      <c r="Y97" s="107"/>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c r="BD97" s="98"/>
      <c r="BE97" s="98"/>
      <c r="BF97" s="98"/>
      <c r="BG97" s="98"/>
      <c r="BH97" s="98"/>
      <c r="BI97" s="98"/>
      <c r="BJ97" s="98"/>
      <c r="BK97" s="98"/>
      <c r="BL97" s="98"/>
      <c r="BM97" s="98"/>
      <c r="BN97" s="98"/>
      <c r="BO97" s="98"/>
      <c r="BP97" s="98"/>
      <c r="BQ97" s="98"/>
      <c r="BR97" s="98"/>
      <c r="BS97" s="98"/>
      <c r="BT97" s="98"/>
      <c r="BU97" s="98"/>
      <c r="BV97" s="98"/>
      <c r="BW97" s="98"/>
      <c r="BX97" s="98"/>
      <c r="BY97" s="98"/>
      <c r="BZ97" s="98"/>
      <c r="CA97" s="98"/>
      <c r="CB97" s="98"/>
      <c r="CC97" s="98"/>
      <c r="CD97" s="98"/>
      <c r="CE97" s="98"/>
      <c r="CF97" s="98"/>
      <c r="CG97" s="98"/>
      <c r="CH97" s="98"/>
      <c r="CI97" s="98"/>
      <c r="CJ97" s="98"/>
      <c r="CK97" s="98"/>
      <c r="CL97" s="98"/>
      <c r="CM97" s="98"/>
      <c r="CN97" s="98"/>
      <c r="CO97" s="98"/>
      <c r="CP97" s="98"/>
      <c r="CQ97" s="98"/>
      <c r="CR97" s="98"/>
      <c r="CS97" s="98"/>
      <c r="CT97" s="98"/>
      <c r="CU97" s="98"/>
      <c r="CV97" s="98"/>
      <c r="CW97" s="98"/>
      <c r="CX97" s="98"/>
      <c r="CY97" s="98"/>
      <c r="CZ97" s="98"/>
    </row>
    <row r="98" spans="1:104" x14ac:dyDescent="0.35">
      <c r="B98" s="98"/>
      <c r="C98" s="98"/>
      <c r="D98" s="110" t="s">
        <v>324</v>
      </c>
      <c r="E98" s="642">
        <f>'Eng Mod'!G127</f>
        <v>673151.37655417412</v>
      </c>
      <c r="F98" s="107"/>
      <c r="G98" s="131"/>
      <c r="H98" s="107"/>
      <c r="I98" s="107"/>
      <c r="J98" s="107"/>
      <c r="K98" s="107"/>
      <c r="L98" s="107"/>
      <c r="M98" s="107"/>
      <c r="N98" s="107"/>
      <c r="O98" s="107"/>
      <c r="P98" s="107"/>
      <c r="Q98" s="107"/>
      <c r="R98" s="107"/>
      <c r="S98" s="107"/>
      <c r="T98" s="107"/>
      <c r="U98" s="107"/>
      <c r="V98" s="107"/>
      <c r="W98" s="107"/>
      <c r="X98" s="107"/>
      <c r="Y98" s="107"/>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c r="BD98" s="98"/>
      <c r="BE98" s="98"/>
      <c r="BF98" s="98"/>
      <c r="BG98" s="98"/>
      <c r="BH98" s="98"/>
      <c r="BI98" s="98"/>
      <c r="BJ98" s="98"/>
      <c r="BK98" s="98"/>
      <c r="BL98" s="98"/>
      <c r="BM98" s="98"/>
      <c r="BN98" s="98"/>
      <c r="BO98" s="98"/>
      <c r="BP98" s="98"/>
      <c r="BQ98" s="98"/>
      <c r="BR98" s="98"/>
      <c r="BS98" s="98"/>
      <c r="BT98" s="98"/>
      <c r="BU98" s="98"/>
      <c r="BV98" s="98"/>
      <c r="BW98" s="98"/>
      <c r="BX98" s="98"/>
      <c r="BY98" s="98"/>
      <c r="BZ98" s="98"/>
      <c r="CA98" s="98"/>
      <c r="CB98" s="98"/>
      <c r="CC98" s="98"/>
      <c r="CD98" s="98"/>
      <c r="CE98" s="98"/>
      <c r="CF98" s="98"/>
      <c r="CG98" s="98"/>
      <c r="CH98" s="98"/>
      <c r="CI98" s="98"/>
      <c r="CJ98" s="98"/>
      <c r="CK98" s="98"/>
      <c r="CL98" s="98"/>
      <c r="CM98" s="98"/>
      <c r="CN98" s="98"/>
      <c r="CO98" s="98"/>
      <c r="CP98" s="98"/>
      <c r="CQ98" s="98"/>
      <c r="CR98" s="98"/>
      <c r="CS98" s="98"/>
      <c r="CT98" s="98"/>
      <c r="CU98" s="98"/>
      <c r="CV98" s="98"/>
      <c r="CW98" s="98"/>
      <c r="CX98" s="98"/>
      <c r="CY98" s="98"/>
      <c r="CZ98" s="98"/>
    </row>
    <row r="99" spans="1:104" x14ac:dyDescent="0.35">
      <c r="B99" s="98"/>
      <c r="C99" s="98"/>
      <c r="D99" s="110" t="s">
        <v>653</v>
      </c>
      <c r="E99" s="643">
        <f>'Eng Mod'!G132</f>
        <v>129196.48042131348</v>
      </c>
      <c r="F99" s="107"/>
      <c r="G99" s="107"/>
      <c r="H99" s="107"/>
      <c r="I99" s="107"/>
      <c r="J99" s="107"/>
      <c r="K99" s="107"/>
      <c r="L99" s="107"/>
      <c r="M99" s="107"/>
      <c r="N99" s="107"/>
      <c r="O99" s="107"/>
      <c r="P99" s="107"/>
      <c r="Q99" s="107"/>
      <c r="R99" s="107"/>
      <c r="S99" s="107"/>
      <c r="T99" s="107"/>
      <c r="U99" s="107"/>
      <c r="V99" s="107"/>
      <c r="W99" s="107"/>
      <c r="X99" s="107"/>
      <c r="Y99" s="107"/>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c r="BD99" s="98"/>
      <c r="BE99" s="98"/>
      <c r="BF99" s="98"/>
      <c r="BG99" s="98"/>
      <c r="BH99" s="98"/>
      <c r="BI99" s="98"/>
      <c r="BJ99" s="98"/>
      <c r="BK99" s="98"/>
      <c r="BL99" s="98"/>
      <c r="BM99" s="98"/>
      <c r="BN99" s="98"/>
      <c r="BO99" s="98"/>
      <c r="BP99" s="98"/>
      <c r="BQ99" s="98"/>
      <c r="BR99" s="98"/>
      <c r="BS99" s="98"/>
      <c r="BT99" s="98"/>
      <c r="BU99" s="98"/>
      <c r="BV99" s="98"/>
      <c r="BW99" s="98"/>
      <c r="BX99" s="98"/>
      <c r="BY99" s="98"/>
      <c r="BZ99" s="98"/>
      <c r="CA99" s="98"/>
      <c r="CB99" s="98"/>
      <c r="CC99" s="98"/>
      <c r="CD99" s="98"/>
      <c r="CE99" s="98"/>
      <c r="CF99" s="98"/>
      <c r="CG99" s="98"/>
      <c r="CH99" s="98"/>
      <c r="CI99" s="98"/>
      <c r="CJ99" s="98"/>
      <c r="CK99" s="98"/>
      <c r="CL99" s="98"/>
      <c r="CM99" s="98"/>
      <c r="CN99" s="98"/>
      <c r="CO99" s="98"/>
      <c r="CP99" s="98"/>
      <c r="CQ99" s="98"/>
      <c r="CR99" s="98"/>
      <c r="CS99" s="98"/>
      <c r="CT99" s="98"/>
      <c r="CU99" s="98"/>
      <c r="CV99" s="98"/>
      <c r="CW99" s="98"/>
      <c r="CX99" s="98"/>
      <c r="CY99" s="98"/>
      <c r="CZ99" s="98"/>
    </row>
    <row r="100" spans="1:104" x14ac:dyDescent="0.35">
      <c r="B100" s="98"/>
      <c r="C100" s="98"/>
      <c r="D100" s="439" t="s">
        <v>654</v>
      </c>
      <c r="E100" s="645">
        <f>'Eng Mod'!G137</f>
        <v>984042.56093101413</v>
      </c>
      <c r="F100" s="107"/>
      <c r="G100" s="107"/>
      <c r="H100" s="107"/>
      <c r="I100" s="107"/>
      <c r="J100" s="107"/>
      <c r="K100" s="107"/>
      <c r="L100" s="107"/>
      <c r="M100" s="107"/>
      <c r="N100" s="107"/>
      <c r="O100" s="107"/>
      <c r="P100" s="107"/>
      <c r="Q100" s="107"/>
      <c r="R100" s="107"/>
      <c r="S100" s="107"/>
      <c r="T100" s="107"/>
      <c r="U100" s="107"/>
      <c r="V100" s="107"/>
      <c r="W100" s="107"/>
      <c r="X100" s="107"/>
      <c r="Y100" s="107"/>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c r="BD100" s="98"/>
      <c r="BE100" s="98"/>
      <c r="BF100" s="98"/>
      <c r="BG100" s="98"/>
      <c r="BH100" s="98"/>
      <c r="BI100" s="98"/>
      <c r="BJ100" s="98"/>
      <c r="BK100" s="98"/>
      <c r="BL100" s="98"/>
      <c r="BM100" s="98"/>
      <c r="BN100" s="98"/>
      <c r="BO100" s="98"/>
      <c r="BP100" s="98"/>
      <c r="BQ100" s="98"/>
      <c r="BR100" s="98"/>
      <c r="BS100" s="98"/>
      <c r="BT100" s="98"/>
      <c r="BU100" s="98"/>
      <c r="BV100" s="98"/>
      <c r="BW100" s="98"/>
      <c r="BX100" s="98"/>
      <c r="BY100" s="98"/>
      <c r="BZ100" s="98"/>
      <c r="CA100" s="98"/>
      <c r="CB100" s="98"/>
      <c r="CC100" s="98"/>
      <c r="CD100" s="98"/>
      <c r="CE100" s="98"/>
      <c r="CF100" s="98"/>
      <c r="CG100" s="98"/>
      <c r="CH100" s="98"/>
      <c r="CI100" s="98"/>
      <c r="CJ100" s="98"/>
      <c r="CK100" s="98"/>
      <c r="CL100" s="98"/>
      <c r="CM100" s="98"/>
      <c r="CN100" s="98"/>
      <c r="CO100" s="98"/>
      <c r="CP100" s="98"/>
      <c r="CQ100" s="98"/>
      <c r="CR100" s="98"/>
      <c r="CS100" s="98"/>
      <c r="CT100" s="98"/>
      <c r="CU100" s="98"/>
      <c r="CV100" s="98"/>
      <c r="CW100" s="98"/>
      <c r="CX100" s="98"/>
      <c r="CY100" s="98"/>
      <c r="CZ100" s="98"/>
    </row>
    <row r="101" spans="1:104" ht="13.3" thickBot="1" x14ac:dyDescent="0.4">
      <c r="B101" s="421"/>
      <c r="C101" s="421"/>
      <c r="D101" s="440" t="s">
        <v>655</v>
      </c>
      <c r="E101" s="568">
        <f>SUM(E98:E100)</f>
        <v>1786390.4179065018</v>
      </c>
      <c r="F101" s="435"/>
      <c r="G101" s="435"/>
      <c r="H101" s="435"/>
      <c r="I101" s="435"/>
      <c r="J101" s="435"/>
      <c r="K101" s="441"/>
      <c r="L101" s="442"/>
      <c r="M101" s="107"/>
      <c r="N101" s="107"/>
      <c r="O101" s="107"/>
      <c r="P101" s="107"/>
      <c r="Q101" s="107"/>
      <c r="R101" s="107"/>
      <c r="S101" s="107"/>
      <c r="T101" s="107"/>
      <c r="U101" s="107"/>
      <c r="V101" s="107"/>
      <c r="W101" s="107"/>
      <c r="X101" s="107"/>
      <c r="Y101" s="107"/>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c r="BD101" s="98"/>
      <c r="BE101" s="98"/>
      <c r="BF101" s="98"/>
      <c r="BG101" s="98"/>
      <c r="BH101" s="98"/>
      <c r="BI101" s="98"/>
      <c r="BJ101" s="98"/>
      <c r="BK101" s="98"/>
      <c r="BL101" s="98"/>
      <c r="BM101" s="98"/>
      <c r="BN101" s="98"/>
      <c r="BO101" s="98"/>
      <c r="BP101" s="98"/>
      <c r="BQ101" s="98"/>
      <c r="BR101" s="98"/>
      <c r="BS101" s="98"/>
      <c r="BT101" s="98"/>
      <c r="BU101" s="98"/>
      <c r="BV101" s="98"/>
      <c r="BW101" s="98"/>
      <c r="BX101" s="98"/>
      <c r="BY101" s="98"/>
      <c r="BZ101" s="98"/>
      <c r="CA101" s="98"/>
      <c r="CB101" s="98"/>
      <c r="CC101" s="98"/>
      <c r="CD101" s="98"/>
      <c r="CE101" s="98"/>
      <c r="CF101" s="98"/>
      <c r="CG101" s="98"/>
      <c r="CH101" s="98"/>
      <c r="CI101" s="98"/>
      <c r="CJ101" s="98"/>
      <c r="CK101" s="98"/>
      <c r="CL101" s="98"/>
      <c r="CM101" s="98"/>
      <c r="CN101" s="98"/>
      <c r="CO101" s="98"/>
      <c r="CP101" s="98"/>
      <c r="CQ101" s="98"/>
      <c r="CR101" s="98"/>
      <c r="CS101" s="98"/>
      <c r="CT101" s="98"/>
      <c r="CU101" s="98"/>
      <c r="CV101" s="98"/>
      <c r="CW101" s="98"/>
      <c r="CX101" s="98"/>
      <c r="CY101" s="98"/>
      <c r="CZ101" s="98"/>
    </row>
    <row r="102" spans="1:104" ht="13.3" thickBot="1" x14ac:dyDescent="0.4">
      <c r="B102" s="98"/>
      <c r="C102" s="98"/>
      <c r="D102" s="110"/>
      <c r="E102" s="132"/>
      <c r="F102" s="107"/>
      <c r="G102" s="107"/>
      <c r="H102" s="107"/>
      <c r="I102" s="107"/>
      <c r="J102" s="107"/>
      <c r="K102" s="107"/>
      <c r="L102" s="107"/>
      <c r="M102" s="107"/>
      <c r="N102" s="107"/>
      <c r="O102" s="107"/>
      <c r="P102" s="107"/>
      <c r="Q102" s="107"/>
      <c r="R102" s="107"/>
      <c r="S102" s="107"/>
      <c r="T102" s="107"/>
      <c r="U102" s="107"/>
      <c r="V102" s="107"/>
      <c r="W102" s="107"/>
      <c r="X102" s="107"/>
      <c r="Y102" s="107"/>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c r="BD102" s="98"/>
      <c r="BE102" s="98"/>
      <c r="BF102" s="98"/>
      <c r="BG102" s="98"/>
      <c r="BH102" s="98"/>
      <c r="BI102" s="98"/>
      <c r="BJ102" s="98"/>
      <c r="BK102" s="98"/>
      <c r="BL102" s="98"/>
      <c r="BM102" s="98"/>
      <c r="BN102" s="98"/>
      <c r="BO102" s="98"/>
      <c r="BP102" s="98"/>
      <c r="BQ102" s="98"/>
      <c r="BR102" s="98"/>
      <c r="BS102" s="98"/>
      <c r="BT102" s="98"/>
      <c r="BU102" s="98"/>
      <c r="BV102" s="98"/>
      <c r="BW102" s="98"/>
      <c r="BX102" s="98"/>
      <c r="BY102" s="98"/>
      <c r="BZ102" s="98"/>
      <c r="CA102" s="98"/>
      <c r="CB102" s="98"/>
      <c r="CC102" s="98"/>
      <c r="CD102" s="98"/>
      <c r="CE102" s="98"/>
      <c r="CF102" s="98"/>
      <c r="CG102" s="98"/>
      <c r="CH102" s="98"/>
      <c r="CI102" s="98"/>
      <c r="CJ102" s="98"/>
      <c r="CK102" s="98"/>
      <c r="CL102" s="98"/>
      <c r="CM102" s="98"/>
      <c r="CN102" s="98"/>
      <c r="CO102" s="98"/>
      <c r="CP102" s="98"/>
      <c r="CQ102" s="98"/>
      <c r="CR102" s="98"/>
      <c r="CS102" s="98"/>
      <c r="CT102" s="98"/>
      <c r="CU102" s="98"/>
      <c r="CV102" s="98"/>
      <c r="CW102" s="98"/>
      <c r="CX102" s="98"/>
      <c r="CY102" s="98"/>
      <c r="CZ102" s="98"/>
    </row>
    <row r="103" spans="1:104" x14ac:dyDescent="0.35">
      <c r="B103" s="231" t="s">
        <v>164</v>
      </c>
      <c r="C103" s="136" t="s">
        <v>163</v>
      </c>
      <c r="D103" s="136"/>
      <c r="E103" s="133"/>
      <c r="F103" s="133"/>
      <c r="G103" s="133"/>
      <c r="H103" s="133"/>
      <c r="I103" s="133"/>
      <c r="J103" s="133"/>
      <c r="K103" s="133"/>
      <c r="L103" s="133"/>
      <c r="M103" s="133"/>
      <c r="N103" s="133"/>
      <c r="O103" s="133"/>
      <c r="P103" s="133"/>
      <c r="Q103" s="133"/>
      <c r="R103" s="133"/>
      <c r="S103" s="133"/>
      <c r="T103" s="133"/>
      <c r="U103" s="133"/>
      <c r="V103" s="133"/>
      <c r="W103" s="133"/>
      <c r="X103" s="133"/>
      <c r="Y103" s="133"/>
      <c r="Z103" s="133"/>
      <c r="AA103" s="133"/>
      <c r="AB103" s="133"/>
      <c r="AC103" s="133"/>
      <c r="AD103" s="133"/>
      <c r="AE103" s="133"/>
      <c r="AF103" s="133"/>
      <c r="AG103" s="133"/>
      <c r="AH103" s="133"/>
      <c r="AI103" s="133"/>
      <c r="AJ103" s="133"/>
      <c r="AK103" s="133"/>
      <c r="AL103" s="133"/>
      <c r="AM103" s="133"/>
      <c r="AN103" s="133"/>
      <c r="AO103" s="133"/>
      <c r="AP103" s="133"/>
      <c r="AQ103" s="133"/>
      <c r="AR103" s="133"/>
      <c r="AS103" s="133"/>
      <c r="AT103" s="133"/>
      <c r="AU103" s="133"/>
      <c r="AV103" s="133"/>
      <c r="AW103" s="133"/>
      <c r="AX103" s="133"/>
      <c r="AY103" s="133"/>
      <c r="AZ103" s="133"/>
      <c r="BA103" s="133"/>
      <c r="BB103" s="133"/>
      <c r="BC103" s="133"/>
      <c r="BD103" s="133"/>
      <c r="BE103" s="133"/>
      <c r="BF103" s="133"/>
      <c r="BG103" s="133"/>
      <c r="BH103" s="133"/>
      <c r="BI103" s="133"/>
      <c r="BJ103" s="133"/>
      <c r="BK103" s="133"/>
      <c r="BL103" s="133"/>
      <c r="BM103" s="133"/>
      <c r="BN103" s="133"/>
      <c r="BO103" s="133"/>
      <c r="BP103" s="133"/>
      <c r="BQ103" s="133"/>
      <c r="BR103" s="133"/>
      <c r="BS103" s="133"/>
      <c r="BT103" s="133"/>
      <c r="BU103" s="133"/>
      <c r="BV103" s="133"/>
      <c r="BW103" s="133"/>
      <c r="BX103" s="133"/>
      <c r="BY103" s="133"/>
      <c r="BZ103" s="133"/>
      <c r="CA103" s="133"/>
      <c r="CB103" s="133"/>
      <c r="CC103" s="133"/>
      <c r="CD103" s="133"/>
      <c r="CE103" s="133"/>
      <c r="CF103" s="133"/>
      <c r="CG103" s="133"/>
      <c r="CH103" s="133"/>
      <c r="CI103" s="133"/>
      <c r="CJ103" s="133"/>
      <c r="CK103" s="133"/>
      <c r="CL103" s="133"/>
      <c r="CM103" s="133"/>
      <c r="CN103" s="133"/>
      <c r="CO103" s="133"/>
      <c r="CP103" s="133"/>
      <c r="CQ103" s="133"/>
      <c r="CR103" s="133"/>
      <c r="CS103" s="133"/>
      <c r="CT103" s="133"/>
      <c r="CU103" s="133"/>
      <c r="CV103" s="133"/>
      <c r="CW103" s="133"/>
      <c r="CX103" s="133"/>
      <c r="CY103" s="133"/>
      <c r="CZ103" s="133"/>
    </row>
    <row r="104" spans="1:104" x14ac:dyDescent="0.35">
      <c r="B104" s="98"/>
      <c r="C104" s="112"/>
      <c r="D104" s="107"/>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c r="BC104" s="107"/>
      <c r="BD104" s="107"/>
      <c r="BE104" s="107"/>
      <c r="BF104" s="107"/>
      <c r="BG104" s="107"/>
      <c r="BH104" s="107"/>
      <c r="BI104" s="107"/>
      <c r="BJ104" s="107"/>
      <c r="BK104" s="107"/>
      <c r="BL104" s="107"/>
      <c r="BM104" s="107"/>
      <c r="BN104" s="107"/>
      <c r="BO104" s="107"/>
      <c r="BP104" s="107"/>
      <c r="BQ104" s="107"/>
      <c r="BR104" s="107"/>
      <c r="BS104" s="107"/>
      <c r="BT104" s="107"/>
      <c r="BU104" s="107"/>
      <c r="BV104" s="107"/>
      <c r="BW104" s="107"/>
      <c r="BX104" s="107"/>
      <c r="BY104" s="107"/>
      <c r="BZ104" s="107"/>
      <c r="CA104" s="107"/>
      <c r="CB104" s="107"/>
      <c r="CC104" s="107"/>
      <c r="CD104" s="107"/>
      <c r="CE104" s="107"/>
      <c r="CF104" s="107"/>
      <c r="CG104" s="107"/>
      <c r="CH104" s="107"/>
      <c r="CI104" s="107"/>
      <c r="CJ104" s="107"/>
      <c r="CK104" s="107"/>
      <c r="CL104" s="107"/>
      <c r="CM104" s="107"/>
      <c r="CN104" s="107"/>
      <c r="CO104" s="107"/>
      <c r="CP104" s="107"/>
      <c r="CQ104" s="107"/>
      <c r="CR104" s="107"/>
      <c r="CS104" s="107"/>
      <c r="CT104" s="107"/>
      <c r="CU104" s="107"/>
      <c r="CV104" s="107"/>
      <c r="CW104" s="107"/>
      <c r="CX104" s="107"/>
      <c r="CY104" s="107"/>
      <c r="CZ104" s="107"/>
    </row>
    <row r="105" spans="1:104" x14ac:dyDescent="0.35">
      <c r="B105" s="98"/>
      <c r="C105" s="722" t="s">
        <v>157</v>
      </c>
      <c r="D105" s="140" t="s">
        <v>158</v>
      </c>
      <c r="E105" s="569">
        <f>$E$60</f>
        <v>2056</v>
      </c>
      <c r="F105" s="569">
        <f>E105+1</f>
        <v>2057</v>
      </c>
      <c r="G105" s="569">
        <f t="shared" ref="G105:V106" si="4">F105+1</f>
        <v>2058</v>
      </c>
      <c r="H105" s="569">
        <f t="shared" si="4"/>
        <v>2059</v>
      </c>
      <c r="I105" s="569">
        <f t="shared" si="4"/>
        <v>2060</v>
      </c>
      <c r="J105" s="569">
        <f t="shared" si="4"/>
        <v>2061</v>
      </c>
      <c r="K105" s="569">
        <f t="shared" si="4"/>
        <v>2062</v>
      </c>
      <c r="L105" s="569">
        <f t="shared" si="4"/>
        <v>2063</v>
      </c>
      <c r="M105" s="569">
        <f t="shared" si="4"/>
        <v>2064</v>
      </c>
      <c r="N105" s="569">
        <f t="shared" si="4"/>
        <v>2065</v>
      </c>
      <c r="O105" s="569">
        <f t="shared" si="4"/>
        <v>2066</v>
      </c>
      <c r="P105" s="139">
        <f t="shared" si="4"/>
        <v>2067</v>
      </c>
      <c r="Q105" s="139">
        <f t="shared" si="4"/>
        <v>2068</v>
      </c>
      <c r="R105" s="139">
        <f t="shared" si="4"/>
        <v>2069</v>
      </c>
      <c r="S105" s="139">
        <f t="shared" si="4"/>
        <v>2070</v>
      </c>
      <c r="T105" s="139">
        <f t="shared" si="4"/>
        <v>2071</v>
      </c>
      <c r="U105" s="139">
        <f t="shared" si="4"/>
        <v>2072</v>
      </c>
      <c r="V105" s="139">
        <f t="shared" si="4"/>
        <v>2073</v>
      </c>
      <c r="W105" s="139">
        <f t="shared" ref="W105:AL106" si="5">V105+1</f>
        <v>2074</v>
      </c>
      <c r="X105" s="139">
        <f t="shared" si="5"/>
        <v>2075</v>
      </c>
      <c r="Y105" s="139">
        <f t="shared" si="5"/>
        <v>2076</v>
      </c>
      <c r="Z105" s="139">
        <f t="shared" si="5"/>
        <v>2077</v>
      </c>
      <c r="AA105" s="139">
        <f t="shared" si="5"/>
        <v>2078</v>
      </c>
      <c r="AB105" s="139">
        <f t="shared" si="5"/>
        <v>2079</v>
      </c>
      <c r="AC105" s="139">
        <f t="shared" si="5"/>
        <v>2080</v>
      </c>
      <c r="AD105" s="139">
        <f t="shared" si="5"/>
        <v>2081</v>
      </c>
      <c r="AE105" s="139">
        <f t="shared" si="5"/>
        <v>2082</v>
      </c>
      <c r="AF105" s="139">
        <f t="shared" si="5"/>
        <v>2083</v>
      </c>
      <c r="AG105" s="139">
        <f t="shared" si="5"/>
        <v>2084</v>
      </c>
      <c r="AH105" s="139">
        <f t="shared" si="5"/>
        <v>2085</v>
      </c>
      <c r="AI105" s="139">
        <f t="shared" si="5"/>
        <v>2086</v>
      </c>
      <c r="AJ105" s="139">
        <f t="shared" si="5"/>
        <v>2087</v>
      </c>
      <c r="AK105" s="139">
        <f t="shared" si="5"/>
        <v>2088</v>
      </c>
      <c r="AL105" s="139">
        <f t="shared" si="5"/>
        <v>2089</v>
      </c>
      <c r="AM105" s="139">
        <f t="shared" ref="AM105:BB106" si="6">AL105+1</f>
        <v>2090</v>
      </c>
      <c r="AN105" s="139">
        <f t="shared" si="6"/>
        <v>2091</v>
      </c>
      <c r="AO105" s="139">
        <f t="shared" si="6"/>
        <v>2092</v>
      </c>
      <c r="AP105" s="139">
        <f t="shared" si="6"/>
        <v>2093</v>
      </c>
      <c r="AQ105" s="139">
        <f t="shared" si="6"/>
        <v>2094</v>
      </c>
      <c r="AR105" s="139">
        <f t="shared" si="6"/>
        <v>2095</v>
      </c>
      <c r="AS105" s="139">
        <f t="shared" si="6"/>
        <v>2096</v>
      </c>
      <c r="AT105" s="139">
        <f t="shared" si="6"/>
        <v>2097</v>
      </c>
      <c r="AU105" s="139">
        <f t="shared" si="6"/>
        <v>2098</v>
      </c>
      <c r="AV105" s="139">
        <f t="shared" si="6"/>
        <v>2099</v>
      </c>
      <c r="AW105" s="139">
        <f t="shared" si="6"/>
        <v>2100</v>
      </c>
      <c r="AX105" s="139">
        <f t="shared" si="6"/>
        <v>2101</v>
      </c>
      <c r="AY105" s="139">
        <f t="shared" si="6"/>
        <v>2102</v>
      </c>
      <c r="AZ105" s="139">
        <f t="shared" si="6"/>
        <v>2103</v>
      </c>
      <c r="BA105" s="139">
        <f t="shared" si="6"/>
        <v>2104</v>
      </c>
      <c r="BB105" s="139">
        <f t="shared" si="6"/>
        <v>2105</v>
      </c>
      <c r="BC105" s="139">
        <f t="shared" ref="BC105:BR106" si="7">BB105+1</f>
        <v>2106</v>
      </c>
      <c r="BD105" s="139">
        <f t="shared" si="7"/>
        <v>2107</v>
      </c>
      <c r="BE105" s="139">
        <f t="shared" si="7"/>
        <v>2108</v>
      </c>
      <c r="BF105" s="139">
        <f t="shared" si="7"/>
        <v>2109</v>
      </c>
      <c r="BG105" s="139">
        <f t="shared" si="7"/>
        <v>2110</v>
      </c>
      <c r="BH105" s="139">
        <f t="shared" si="7"/>
        <v>2111</v>
      </c>
      <c r="BI105" s="139">
        <f t="shared" si="7"/>
        <v>2112</v>
      </c>
      <c r="BJ105" s="139">
        <f t="shared" si="7"/>
        <v>2113</v>
      </c>
      <c r="BK105" s="139">
        <f t="shared" si="7"/>
        <v>2114</v>
      </c>
      <c r="BL105" s="139">
        <f t="shared" si="7"/>
        <v>2115</v>
      </c>
      <c r="BM105" s="139">
        <f t="shared" si="7"/>
        <v>2116</v>
      </c>
      <c r="BN105" s="139">
        <f t="shared" si="7"/>
        <v>2117</v>
      </c>
      <c r="BO105" s="139">
        <f t="shared" si="7"/>
        <v>2118</v>
      </c>
      <c r="BP105" s="139">
        <f t="shared" si="7"/>
        <v>2119</v>
      </c>
      <c r="BQ105" s="139">
        <f t="shared" si="7"/>
        <v>2120</v>
      </c>
      <c r="BR105" s="139">
        <f t="shared" si="7"/>
        <v>2121</v>
      </c>
      <c r="BS105" s="139">
        <f t="shared" ref="BS105:CH106" si="8">BR105+1</f>
        <v>2122</v>
      </c>
      <c r="BT105" s="139">
        <f t="shared" si="8"/>
        <v>2123</v>
      </c>
      <c r="BU105" s="139">
        <f t="shared" si="8"/>
        <v>2124</v>
      </c>
      <c r="BV105" s="139">
        <f t="shared" si="8"/>
        <v>2125</v>
      </c>
      <c r="BW105" s="139">
        <f t="shared" si="8"/>
        <v>2126</v>
      </c>
      <c r="BX105" s="139">
        <f t="shared" si="8"/>
        <v>2127</v>
      </c>
      <c r="BY105" s="139">
        <f t="shared" si="8"/>
        <v>2128</v>
      </c>
      <c r="BZ105" s="139">
        <f t="shared" si="8"/>
        <v>2129</v>
      </c>
      <c r="CA105" s="139">
        <f t="shared" si="8"/>
        <v>2130</v>
      </c>
      <c r="CB105" s="139">
        <f t="shared" si="8"/>
        <v>2131</v>
      </c>
      <c r="CC105" s="139">
        <f t="shared" si="8"/>
        <v>2132</v>
      </c>
      <c r="CD105" s="139">
        <f t="shared" si="8"/>
        <v>2133</v>
      </c>
      <c r="CE105" s="139">
        <f t="shared" si="8"/>
        <v>2134</v>
      </c>
      <c r="CF105" s="139">
        <f t="shared" si="8"/>
        <v>2135</v>
      </c>
      <c r="CG105" s="139">
        <f t="shared" si="8"/>
        <v>2136</v>
      </c>
      <c r="CH105" s="139">
        <f t="shared" si="8"/>
        <v>2137</v>
      </c>
      <c r="CI105" s="139">
        <f t="shared" ref="CI105:CX106" si="9">CH105+1</f>
        <v>2138</v>
      </c>
      <c r="CJ105" s="139">
        <f t="shared" si="9"/>
        <v>2139</v>
      </c>
      <c r="CK105" s="139">
        <f t="shared" si="9"/>
        <v>2140</v>
      </c>
      <c r="CL105" s="139">
        <f t="shared" si="9"/>
        <v>2141</v>
      </c>
      <c r="CM105" s="139">
        <f t="shared" si="9"/>
        <v>2142</v>
      </c>
      <c r="CN105" s="139">
        <f t="shared" si="9"/>
        <v>2143</v>
      </c>
      <c r="CO105" s="139">
        <f t="shared" si="9"/>
        <v>2144</v>
      </c>
      <c r="CP105" s="139">
        <f t="shared" si="9"/>
        <v>2145</v>
      </c>
      <c r="CQ105" s="139">
        <f t="shared" si="9"/>
        <v>2146</v>
      </c>
      <c r="CR105" s="139">
        <f t="shared" si="9"/>
        <v>2147</v>
      </c>
      <c r="CS105" s="139">
        <f t="shared" si="9"/>
        <v>2148</v>
      </c>
      <c r="CT105" s="139">
        <f t="shared" si="9"/>
        <v>2149</v>
      </c>
      <c r="CU105" s="139">
        <f t="shared" si="9"/>
        <v>2150</v>
      </c>
      <c r="CV105" s="139">
        <f t="shared" si="9"/>
        <v>2151</v>
      </c>
      <c r="CW105" s="139">
        <f t="shared" si="9"/>
        <v>2152</v>
      </c>
      <c r="CX105" s="139">
        <f t="shared" si="9"/>
        <v>2153</v>
      </c>
      <c r="CY105" s="139">
        <f t="shared" ref="CY105:CZ106" si="10">CX105+1</f>
        <v>2154</v>
      </c>
      <c r="CZ105" s="139">
        <f t="shared" si="10"/>
        <v>2155</v>
      </c>
    </row>
    <row r="106" spans="1:104" x14ac:dyDescent="0.35">
      <c r="A106" s="113"/>
      <c r="B106" s="98"/>
      <c r="C106" s="722"/>
      <c r="D106" s="141" t="s">
        <v>159</v>
      </c>
      <c r="E106" s="570">
        <v>1</v>
      </c>
      <c r="F106" s="570">
        <f>E106+1</f>
        <v>2</v>
      </c>
      <c r="G106" s="570">
        <f t="shared" si="4"/>
        <v>3</v>
      </c>
      <c r="H106" s="570">
        <f t="shared" si="4"/>
        <v>4</v>
      </c>
      <c r="I106" s="570">
        <f t="shared" si="4"/>
        <v>5</v>
      </c>
      <c r="J106" s="570">
        <f t="shared" si="4"/>
        <v>6</v>
      </c>
      <c r="K106" s="570">
        <f t="shared" si="4"/>
        <v>7</v>
      </c>
      <c r="L106" s="570">
        <f t="shared" si="4"/>
        <v>8</v>
      </c>
      <c r="M106" s="570">
        <f t="shared" si="4"/>
        <v>9</v>
      </c>
      <c r="N106" s="570">
        <f t="shared" si="4"/>
        <v>10</v>
      </c>
      <c r="O106" s="570">
        <f t="shared" si="4"/>
        <v>11</v>
      </c>
      <c r="P106" s="138">
        <f t="shared" si="4"/>
        <v>12</v>
      </c>
      <c r="Q106" s="138">
        <f t="shared" si="4"/>
        <v>13</v>
      </c>
      <c r="R106" s="138">
        <f t="shared" si="4"/>
        <v>14</v>
      </c>
      <c r="S106" s="138">
        <f t="shared" si="4"/>
        <v>15</v>
      </c>
      <c r="T106" s="138">
        <f t="shared" si="4"/>
        <v>16</v>
      </c>
      <c r="U106" s="138">
        <f t="shared" si="4"/>
        <v>17</v>
      </c>
      <c r="V106" s="138">
        <f t="shared" si="4"/>
        <v>18</v>
      </c>
      <c r="W106" s="138">
        <f t="shared" si="5"/>
        <v>19</v>
      </c>
      <c r="X106" s="138">
        <f t="shared" si="5"/>
        <v>20</v>
      </c>
      <c r="Y106" s="138">
        <f t="shared" si="5"/>
        <v>21</v>
      </c>
      <c r="Z106" s="138">
        <f t="shared" si="5"/>
        <v>22</v>
      </c>
      <c r="AA106" s="138">
        <f t="shared" si="5"/>
        <v>23</v>
      </c>
      <c r="AB106" s="138">
        <f t="shared" si="5"/>
        <v>24</v>
      </c>
      <c r="AC106" s="138">
        <f t="shared" si="5"/>
        <v>25</v>
      </c>
      <c r="AD106" s="138">
        <f t="shared" si="5"/>
        <v>26</v>
      </c>
      <c r="AE106" s="138">
        <f t="shared" si="5"/>
        <v>27</v>
      </c>
      <c r="AF106" s="138">
        <f t="shared" si="5"/>
        <v>28</v>
      </c>
      <c r="AG106" s="138">
        <f t="shared" si="5"/>
        <v>29</v>
      </c>
      <c r="AH106" s="138">
        <f t="shared" si="5"/>
        <v>30</v>
      </c>
      <c r="AI106" s="138">
        <f t="shared" si="5"/>
        <v>31</v>
      </c>
      <c r="AJ106" s="138">
        <f t="shared" si="5"/>
        <v>32</v>
      </c>
      <c r="AK106" s="138">
        <f t="shared" si="5"/>
        <v>33</v>
      </c>
      <c r="AL106" s="138">
        <f t="shared" si="5"/>
        <v>34</v>
      </c>
      <c r="AM106" s="138">
        <f t="shared" si="6"/>
        <v>35</v>
      </c>
      <c r="AN106" s="138">
        <f t="shared" si="6"/>
        <v>36</v>
      </c>
      <c r="AO106" s="138">
        <f t="shared" si="6"/>
        <v>37</v>
      </c>
      <c r="AP106" s="138">
        <f t="shared" si="6"/>
        <v>38</v>
      </c>
      <c r="AQ106" s="138">
        <f t="shared" si="6"/>
        <v>39</v>
      </c>
      <c r="AR106" s="138">
        <f t="shared" si="6"/>
        <v>40</v>
      </c>
      <c r="AS106" s="138">
        <f t="shared" si="6"/>
        <v>41</v>
      </c>
      <c r="AT106" s="138">
        <f t="shared" si="6"/>
        <v>42</v>
      </c>
      <c r="AU106" s="138">
        <f t="shared" si="6"/>
        <v>43</v>
      </c>
      <c r="AV106" s="138">
        <f t="shared" si="6"/>
        <v>44</v>
      </c>
      <c r="AW106" s="138">
        <f t="shared" si="6"/>
        <v>45</v>
      </c>
      <c r="AX106" s="138">
        <f t="shared" si="6"/>
        <v>46</v>
      </c>
      <c r="AY106" s="138">
        <f t="shared" si="6"/>
        <v>47</v>
      </c>
      <c r="AZ106" s="138">
        <f t="shared" si="6"/>
        <v>48</v>
      </c>
      <c r="BA106" s="138">
        <f t="shared" si="6"/>
        <v>49</v>
      </c>
      <c r="BB106" s="138">
        <f t="shared" si="6"/>
        <v>50</v>
      </c>
      <c r="BC106" s="138">
        <f t="shared" si="7"/>
        <v>51</v>
      </c>
      <c r="BD106" s="138">
        <f t="shared" si="7"/>
        <v>52</v>
      </c>
      <c r="BE106" s="138">
        <f t="shared" si="7"/>
        <v>53</v>
      </c>
      <c r="BF106" s="138">
        <f t="shared" si="7"/>
        <v>54</v>
      </c>
      <c r="BG106" s="138">
        <f t="shared" si="7"/>
        <v>55</v>
      </c>
      <c r="BH106" s="138">
        <f t="shared" si="7"/>
        <v>56</v>
      </c>
      <c r="BI106" s="138">
        <f t="shared" si="7"/>
        <v>57</v>
      </c>
      <c r="BJ106" s="138">
        <f t="shared" si="7"/>
        <v>58</v>
      </c>
      <c r="BK106" s="138">
        <f t="shared" si="7"/>
        <v>59</v>
      </c>
      <c r="BL106" s="138">
        <f t="shared" si="7"/>
        <v>60</v>
      </c>
      <c r="BM106" s="138">
        <f t="shared" si="7"/>
        <v>61</v>
      </c>
      <c r="BN106" s="138">
        <f t="shared" si="7"/>
        <v>62</v>
      </c>
      <c r="BO106" s="138">
        <f t="shared" si="7"/>
        <v>63</v>
      </c>
      <c r="BP106" s="138">
        <f t="shared" si="7"/>
        <v>64</v>
      </c>
      <c r="BQ106" s="138">
        <f t="shared" si="7"/>
        <v>65</v>
      </c>
      <c r="BR106" s="138">
        <f t="shared" si="7"/>
        <v>66</v>
      </c>
      <c r="BS106" s="138">
        <f t="shared" si="8"/>
        <v>67</v>
      </c>
      <c r="BT106" s="138">
        <f t="shared" si="8"/>
        <v>68</v>
      </c>
      <c r="BU106" s="138">
        <f t="shared" si="8"/>
        <v>69</v>
      </c>
      <c r="BV106" s="138">
        <f t="shared" si="8"/>
        <v>70</v>
      </c>
      <c r="BW106" s="138">
        <f t="shared" si="8"/>
        <v>71</v>
      </c>
      <c r="BX106" s="138">
        <f t="shared" si="8"/>
        <v>72</v>
      </c>
      <c r="BY106" s="138">
        <f t="shared" si="8"/>
        <v>73</v>
      </c>
      <c r="BZ106" s="138">
        <f t="shared" si="8"/>
        <v>74</v>
      </c>
      <c r="CA106" s="138">
        <f t="shared" si="8"/>
        <v>75</v>
      </c>
      <c r="CB106" s="138">
        <f t="shared" si="8"/>
        <v>76</v>
      </c>
      <c r="CC106" s="138">
        <f t="shared" si="8"/>
        <v>77</v>
      </c>
      <c r="CD106" s="138">
        <f t="shared" si="8"/>
        <v>78</v>
      </c>
      <c r="CE106" s="138">
        <f t="shared" si="8"/>
        <v>79</v>
      </c>
      <c r="CF106" s="138">
        <f t="shared" si="8"/>
        <v>80</v>
      </c>
      <c r="CG106" s="138">
        <f t="shared" si="8"/>
        <v>81</v>
      </c>
      <c r="CH106" s="138">
        <f t="shared" si="8"/>
        <v>82</v>
      </c>
      <c r="CI106" s="138">
        <f t="shared" si="9"/>
        <v>83</v>
      </c>
      <c r="CJ106" s="138">
        <f t="shared" si="9"/>
        <v>84</v>
      </c>
      <c r="CK106" s="138">
        <f t="shared" si="9"/>
        <v>85</v>
      </c>
      <c r="CL106" s="138">
        <f t="shared" si="9"/>
        <v>86</v>
      </c>
      <c r="CM106" s="138">
        <f t="shared" si="9"/>
        <v>87</v>
      </c>
      <c r="CN106" s="138">
        <f t="shared" si="9"/>
        <v>88</v>
      </c>
      <c r="CO106" s="138">
        <f t="shared" si="9"/>
        <v>89</v>
      </c>
      <c r="CP106" s="138">
        <f t="shared" si="9"/>
        <v>90</v>
      </c>
      <c r="CQ106" s="138">
        <f t="shared" si="9"/>
        <v>91</v>
      </c>
      <c r="CR106" s="138">
        <f t="shared" si="9"/>
        <v>92</v>
      </c>
      <c r="CS106" s="138">
        <f t="shared" si="9"/>
        <v>93</v>
      </c>
      <c r="CT106" s="138">
        <f t="shared" si="9"/>
        <v>94</v>
      </c>
      <c r="CU106" s="138">
        <f t="shared" si="9"/>
        <v>95</v>
      </c>
      <c r="CV106" s="138">
        <f t="shared" si="9"/>
        <v>96</v>
      </c>
      <c r="CW106" s="138">
        <f t="shared" si="9"/>
        <v>97</v>
      </c>
      <c r="CX106" s="138">
        <f t="shared" si="9"/>
        <v>98</v>
      </c>
      <c r="CY106" s="138">
        <f t="shared" si="10"/>
        <v>99</v>
      </c>
      <c r="CZ106" s="138">
        <f t="shared" si="10"/>
        <v>100</v>
      </c>
    </row>
    <row r="107" spans="1:104" x14ac:dyDescent="0.35">
      <c r="A107" s="113"/>
      <c r="B107" s="98"/>
      <c r="C107" s="722"/>
      <c r="D107" s="98"/>
      <c r="E107" s="98"/>
      <c r="F107" s="98"/>
      <c r="G107" s="98"/>
      <c r="H107" s="98"/>
      <c r="I107" s="98"/>
      <c r="J107" s="98"/>
      <c r="K107" s="98"/>
      <c r="L107" s="98"/>
      <c r="M107" s="98"/>
      <c r="N107" s="98"/>
      <c r="O107" s="98"/>
      <c r="P107" s="107"/>
      <c r="Q107" s="107"/>
      <c r="R107" s="107"/>
      <c r="S107" s="107"/>
      <c r="T107" s="107"/>
      <c r="U107" s="107"/>
      <c r="V107" s="107"/>
      <c r="W107" s="107"/>
      <c r="X107" s="107"/>
      <c r="Y107" s="107"/>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c r="BD107" s="98"/>
      <c r="BE107" s="98"/>
      <c r="BF107" s="98"/>
      <c r="BG107" s="98"/>
      <c r="BH107" s="98"/>
      <c r="BI107" s="98"/>
      <c r="BJ107" s="98"/>
      <c r="BK107" s="98"/>
      <c r="BL107" s="98"/>
      <c r="BM107" s="98"/>
      <c r="BN107" s="98"/>
      <c r="BO107" s="98"/>
      <c r="BP107" s="98"/>
      <c r="BQ107" s="98"/>
      <c r="BR107" s="98"/>
      <c r="BS107" s="98"/>
      <c r="BT107" s="98"/>
      <c r="BU107" s="98"/>
      <c r="BV107" s="98"/>
      <c r="BW107" s="98"/>
      <c r="BX107" s="98"/>
      <c r="BY107" s="98"/>
      <c r="BZ107" s="98"/>
      <c r="CA107" s="98"/>
      <c r="CB107" s="98"/>
      <c r="CC107" s="98"/>
      <c r="CD107" s="98"/>
      <c r="CE107" s="98"/>
      <c r="CF107" s="98"/>
      <c r="CG107" s="98"/>
      <c r="CH107" s="98"/>
      <c r="CI107" s="98"/>
      <c r="CJ107" s="98"/>
      <c r="CK107" s="98"/>
      <c r="CL107" s="98"/>
      <c r="CM107" s="98"/>
      <c r="CN107" s="98"/>
      <c r="CO107" s="98"/>
      <c r="CP107" s="98"/>
      <c r="CQ107" s="98"/>
      <c r="CR107" s="98"/>
      <c r="CS107" s="98"/>
      <c r="CT107" s="98"/>
      <c r="CU107" s="98"/>
      <c r="CV107" s="98"/>
      <c r="CW107" s="98"/>
      <c r="CX107" s="98"/>
      <c r="CY107" s="98"/>
      <c r="CZ107" s="98"/>
    </row>
    <row r="108" spans="1:104" x14ac:dyDescent="0.35">
      <c r="A108" s="113"/>
      <c r="B108" s="98"/>
      <c r="C108" s="114"/>
      <c r="D108" s="98" t="s">
        <v>656</v>
      </c>
      <c r="E108" s="128">
        <f>(1+$E$52)^(E105-2011)</f>
        <v>2.4378542053013432</v>
      </c>
      <c r="F108" s="128">
        <f>(1+$E$52)^(F105-2011)</f>
        <v>2.4866112894073704</v>
      </c>
      <c r="G108" s="128">
        <f>(1+$E$52)^(G105-2011)</f>
        <v>2.5363435151955169</v>
      </c>
      <c r="H108" s="128">
        <f t="shared" ref="H108:BR108" si="11">(1+$E$52)^(H105-2011)</f>
        <v>2.5870703854994277</v>
      </c>
      <c r="I108" s="128">
        <f t="shared" si="11"/>
        <v>2.6388117932094164</v>
      </c>
      <c r="J108" s="128">
        <f t="shared" si="11"/>
        <v>2.6915880290736047</v>
      </c>
      <c r="K108" s="128">
        <f t="shared" si="11"/>
        <v>2.7454197896550765</v>
      </c>
      <c r="L108" s="128">
        <f t="shared" si="11"/>
        <v>2.8003281854481785</v>
      </c>
      <c r="M108" s="128">
        <f t="shared" si="11"/>
        <v>2.8563347491571416</v>
      </c>
      <c r="N108" s="128">
        <f t="shared" si="11"/>
        <v>2.9134614441402849</v>
      </c>
      <c r="O108" s="128">
        <f t="shared" si="11"/>
        <v>2.9717306730230897</v>
      </c>
      <c r="P108" s="128">
        <f t="shared" si="11"/>
        <v>3.0311652864835517</v>
      </c>
      <c r="Q108" s="128">
        <f t="shared" si="11"/>
        <v>3.0917885922132227</v>
      </c>
      <c r="R108" s="128">
        <f t="shared" si="11"/>
        <v>3.1536243640574875</v>
      </c>
      <c r="S108" s="128">
        <f t="shared" si="11"/>
        <v>3.2166968513386367</v>
      </c>
      <c r="T108" s="128">
        <f t="shared" si="11"/>
        <v>3.2810307883654102</v>
      </c>
      <c r="U108" s="128">
        <f t="shared" si="11"/>
        <v>3.346651404132718</v>
      </c>
      <c r="V108" s="128">
        <f t="shared" si="11"/>
        <v>3.4135844322153726</v>
      </c>
      <c r="W108" s="128">
        <f t="shared" si="11"/>
        <v>3.4818561208596792</v>
      </c>
      <c r="X108" s="128">
        <f t="shared" si="11"/>
        <v>3.5514932432768735</v>
      </c>
      <c r="Y108" s="128">
        <f t="shared" si="11"/>
        <v>3.6225231081424112</v>
      </c>
      <c r="Z108" s="128">
        <f t="shared" si="11"/>
        <v>3.6949735703052591</v>
      </c>
      <c r="AA108" s="128">
        <f t="shared" si="11"/>
        <v>3.7688730417113643</v>
      </c>
      <c r="AB108" s="128">
        <f t="shared" si="11"/>
        <v>3.8442505025455915</v>
      </c>
      <c r="AC108" s="128">
        <f t="shared" si="11"/>
        <v>3.9211355125965035</v>
      </c>
      <c r="AD108" s="128">
        <f t="shared" si="11"/>
        <v>3.9995582228484339</v>
      </c>
      <c r="AE108" s="128">
        <f t="shared" si="11"/>
        <v>4.0795493873054021</v>
      </c>
      <c r="AF108" s="128">
        <f t="shared" si="11"/>
        <v>4.1611403750515104</v>
      </c>
      <c r="AG108" s="128">
        <f t="shared" si="11"/>
        <v>4.2443631825525401</v>
      </c>
      <c r="AH108" s="128">
        <f t="shared" si="11"/>
        <v>4.3292504462035915</v>
      </c>
      <c r="AI108" s="128">
        <f t="shared" si="11"/>
        <v>4.4158354551276622</v>
      </c>
      <c r="AJ108" s="128">
        <f t="shared" si="11"/>
        <v>4.5041521642302165</v>
      </c>
      <c r="AK108" s="128">
        <f t="shared" si="11"/>
        <v>4.5942352075148207</v>
      </c>
      <c r="AL108" s="128">
        <f t="shared" si="11"/>
        <v>4.6861199116651173</v>
      </c>
      <c r="AM108" s="128">
        <f t="shared" si="11"/>
        <v>4.7798423098984184</v>
      </c>
      <c r="AN108" s="128">
        <f t="shared" si="11"/>
        <v>4.8754391560963874</v>
      </c>
      <c r="AO108" s="128">
        <f t="shared" si="11"/>
        <v>4.9729479392183151</v>
      </c>
      <c r="AP108" s="128">
        <f t="shared" si="11"/>
        <v>5.0724068980026811</v>
      </c>
      <c r="AQ108" s="128">
        <f t="shared" si="11"/>
        <v>5.1738550359627347</v>
      </c>
      <c r="AR108" s="128">
        <f t="shared" si="11"/>
        <v>5.2773321366819896</v>
      </c>
      <c r="AS108" s="128">
        <f t="shared" si="11"/>
        <v>5.3828787794156296</v>
      </c>
      <c r="AT108" s="128">
        <f t="shared" si="11"/>
        <v>5.4905363550039423</v>
      </c>
      <c r="AU108" s="128">
        <f t="shared" si="11"/>
        <v>5.6003470821040198</v>
      </c>
      <c r="AV108" s="128">
        <f t="shared" si="11"/>
        <v>5.7123540237461006</v>
      </c>
      <c r="AW108" s="128">
        <f t="shared" si="11"/>
        <v>5.8266011042210231</v>
      </c>
      <c r="AX108" s="128">
        <f t="shared" si="11"/>
        <v>5.9431331263054439</v>
      </c>
      <c r="AY108" s="128">
        <f t="shared" si="11"/>
        <v>6.0619957888315517</v>
      </c>
      <c r="AZ108" s="128">
        <f t="shared" si="11"/>
        <v>6.1832357046081841</v>
      </c>
      <c r="BA108" s="128">
        <f t="shared" si="11"/>
        <v>6.306900418700347</v>
      </c>
      <c r="BB108" s="128">
        <f t="shared" si="11"/>
        <v>6.4330384270743544</v>
      </c>
      <c r="BC108" s="128">
        <f t="shared" si="11"/>
        <v>6.5616991956158399</v>
      </c>
      <c r="BD108" s="128">
        <f t="shared" si="11"/>
        <v>6.6929331795281577</v>
      </c>
      <c r="BE108" s="128">
        <f t="shared" si="11"/>
        <v>6.8267918431187216</v>
      </c>
      <c r="BF108" s="128">
        <f t="shared" si="11"/>
        <v>6.963327679981095</v>
      </c>
      <c r="BG108" s="128">
        <f t="shared" si="11"/>
        <v>7.1025942335807173</v>
      </c>
      <c r="BH108" s="128">
        <f t="shared" si="11"/>
        <v>7.244646118252331</v>
      </c>
      <c r="BI108" s="128">
        <f t="shared" si="11"/>
        <v>7.3895390406173789</v>
      </c>
      <c r="BJ108" s="128">
        <f t="shared" si="11"/>
        <v>7.5373298214297266</v>
      </c>
      <c r="BK108" s="128">
        <f t="shared" si="11"/>
        <v>7.6880764178583183</v>
      </c>
      <c r="BL108" s="128">
        <f t="shared" si="11"/>
        <v>7.8418379462154872</v>
      </c>
      <c r="BM108" s="128">
        <f t="shared" si="11"/>
        <v>7.9986747051397966</v>
      </c>
      <c r="BN108" s="128">
        <f t="shared" si="11"/>
        <v>8.1586481992425917</v>
      </c>
      <c r="BO108" s="128">
        <f t="shared" si="11"/>
        <v>8.3218211632274439</v>
      </c>
      <c r="BP108" s="128">
        <f t="shared" si="11"/>
        <v>8.4882575864919936</v>
      </c>
      <c r="BQ108" s="128">
        <f t="shared" si="11"/>
        <v>8.6580227382218329</v>
      </c>
      <c r="BR108" s="128">
        <f t="shared" si="11"/>
        <v>8.8311831929862699</v>
      </c>
      <c r="BS108" s="128">
        <f t="shared" ref="BS108:CZ108" si="12">(1+$E$52)^(BS105-2011)</f>
        <v>9.0078068568459919</v>
      </c>
      <c r="BT108" s="128">
        <f t="shared" si="12"/>
        <v>9.1879629939829144</v>
      </c>
      <c r="BU108" s="128">
        <f t="shared" si="12"/>
        <v>9.371722253862572</v>
      </c>
      <c r="BV108" s="128">
        <f t="shared" si="12"/>
        <v>9.5591566989398249</v>
      </c>
      <c r="BW108" s="128">
        <f t="shared" si="12"/>
        <v>9.7503398329186197</v>
      </c>
      <c r="BX108" s="128">
        <f t="shared" si="12"/>
        <v>9.9453466295769939</v>
      </c>
      <c r="BY108" s="128">
        <f t="shared" si="12"/>
        <v>10.144253562168531</v>
      </c>
      <c r="BZ108" s="128">
        <f t="shared" si="12"/>
        <v>10.347138633411904</v>
      </c>
      <c r="CA108" s="128">
        <f t="shared" si="12"/>
        <v>10.554081406080138</v>
      </c>
      <c r="CB108" s="128">
        <f t="shared" si="12"/>
        <v>10.765163034201743</v>
      </c>
      <c r="CC108" s="128">
        <f t="shared" si="12"/>
        <v>10.980466294885778</v>
      </c>
      <c r="CD108" s="128">
        <f t="shared" si="12"/>
        <v>11.200075620783494</v>
      </c>
      <c r="CE108" s="128">
        <f t="shared" si="12"/>
        <v>11.424077133199162</v>
      </c>
      <c r="CF108" s="128">
        <f t="shared" si="12"/>
        <v>11.652558675863148</v>
      </c>
      <c r="CG108" s="128">
        <f t="shared" si="12"/>
        <v>11.88560984938041</v>
      </c>
      <c r="CH108" s="128">
        <f t="shared" si="12"/>
        <v>12.123322046368019</v>
      </c>
      <c r="CI108" s="128">
        <f t="shared" si="12"/>
        <v>12.365788487295376</v>
      </c>
      <c r="CJ108" s="128">
        <f t="shared" si="12"/>
        <v>12.613104257041286</v>
      </c>
      <c r="CK108" s="128">
        <f t="shared" si="12"/>
        <v>12.865366342182112</v>
      </c>
      <c r="CL108" s="128">
        <f t="shared" si="12"/>
        <v>13.122673669025755</v>
      </c>
      <c r="CM108" s="128">
        <f t="shared" si="12"/>
        <v>13.385127142406269</v>
      </c>
      <c r="CN108" s="128">
        <f t="shared" si="12"/>
        <v>13.652829685254394</v>
      </c>
      <c r="CO108" s="128">
        <f t="shared" si="12"/>
        <v>13.925886278959483</v>
      </c>
      <c r="CP108" s="128">
        <f t="shared" si="12"/>
        <v>14.204404004538672</v>
      </c>
      <c r="CQ108" s="128">
        <f t="shared" si="12"/>
        <v>14.488492084629444</v>
      </c>
      <c r="CR108" s="128">
        <f t="shared" si="12"/>
        <v>14.778261926322033</v>
      </c>
      <c r="CS108" s="128">
        <f t="shared" si="12"/>
        <v>15.073827164848474</v>
      </c>
      <c r="CT108" s="128">
        <f t="shared" si="12"/>
        <v>15.375303708145443</v>
      </c>
      <c r="CU108" s="128">
        <f t="shared" si="12"/>
        <v>15.68280978230835</v>
      </c>
      <c r="CV108" s="128">
        <f t="shared" si="12"/>
        <v>15.99646597795452</v>
      </c>
      <c r="CW108" s="128">
        <f t="shared" si="12"/>
        <v>16.316395297513608</v>
      </c>
      <c r="CX108" s="128">
        <f t="shared" si="12"/>
        <v>16.642723203463884</v>
      </c>
      <c r="CY108" s="128">
        <f t="shared" si="12"/>
        <v>16.975577667533155</v>
      </c>
      <c r="CZ108" s="128">
        <f t="shared" si="12"/>
        <v>17.315089220883824</v>
      </c>
    </row>
    <row r="109" spans="1:104" ht="13.3" thickBot="1" x14ac:dyDescent="0.4">
      <c r="A109" s="113"/>
      <c r="B109" s="494"/>
      <c r="C109" s="233"/>
      <c r="D109" s="167" t="s">
        <v>657</v>
      </c>
      <c r="E109" s="295">
        <f>(1+$E$50)^(E106-1)</f>
        <v>1</v>
      </c>
      <c r="F109" s="295">
        <f t="shared" ref="F109:BQ109" si="13">(1+$E$50)^(F106-1)</f>
        <v>1.1200000000000001</v>
      </c>
      <c r="G109" s="295">
        <f t="shared" si="13"/>
        <v>1.2544000000000002</v>
      </c>
      <c r="H109" s="295">
        <f t="shared" si="13"/>
        <v>1.4049280000000004</v>
      </c>
      <c r="I109" s="295">
        <f t="shared" si="13"/>
        <v>1.5735193600000004</v>
      </c>
      <c r="J109" s="295">
        <f t="shared" si="13"/>
        <v>1.7623416832000005</v>
      </c>
      <c r="K109" s="295">
        <f t="shared" si="13"/>
        <v>1.9738226851840008</v>
      </c>
      <c r="L109" s="295">
        <f t="shared" si="13"/>
        <v>2.210681407406081</v>
      </c>
      <c r="M109" s="295">
        <f t="shared" si="13"/>
        <v>2.4759631762948109</v>
      </c>
      <c r="N109" s="295">
        <f t="shared" si="13"/>
        <v>2.7730787574501883</v>
      </c>
      <c r="O109" s="295">
        <f t="shared" si="13"/>
        <v>3.1058482083442112</v>
      </c>
      <c r="P109" s="295">
        <f t="shared" si="13"/>
        <v>3.4785499933455171</v>
      </c>
      <c r="Q109" s="295">
        <f t="shared" si="13"/>
        <v>3.8959759925469788</v>
      </c>
      <c r="R109" s="295">
        <f t="shared" si="13"/>
        <v>4.363493111652617</v>
      </c>
      <c r="S109" s="295">
        <f t="shared" si="13"/>
        <v>4.8871122850509314</v>
      </c>
      <c r="T109" s="295">
        <f t="shared" si="13"/>
        <v>5.4735657592570428</v>
      </c>
      <c r="U109" s="295">
        <f t="shared" si="13"/>
        <v>6.1303936503678891</v>
      </c>
      <c r="V109" s="295">
        <f t="shared" si="13"/>
        <v>6.8660408884120363</v>
      </c>
      <c r="W109" s="295">
        <f t="shared" si="13"/>
        <v>7.6899657950214815</v>
      </c>
      <c r="X109" s="295">
        <f t="shared" si="13"/>
        <v>8.61276169042406</v>
      </c>
      <c r="Y109" s="295">
        <f t="shared" si="13"/>
        <v>9.6462930932749469</v>
      </c>
      <c r="Z109" s="295">
        <f t="shared" si="13"/>
        <v>10.803848264467941</v>
      </c>
      <c r="AA109" s="295">
        <f t="shared" si="13"/>
        <v>12.100310056204096</v>
      </c>
      <c r="AB109" s="295">
        <f t="shared" si="13"/>
        <v>13.552347262948587</v>
      </c>
      <c r="AC109" s="295">
        <f t="shared" si="13"/>
        <v>15.178628934502418</v>
      </c>
      <c r="AD109" s="295">
        <f t="shared" si="13"/>
        <v>17.000064406642711</v>
      </c>
      <c r="AE109" s="295">
        <f t="shared" si="13"/>
        <v>19.040072135439836</v>
      </c>
      <c r="AF109" s="295">
        <f t="shared" si="13"/>
        <v>21.324880791692621</v>
      </c>
      <c r="AG109" s="295">
        <f t="shared" si="13"/>
        <v>23.883866486695734</v>
      </c>
      <c r="AH109" s="295">
        <f t="shared" si="13"/>
        <v>26.749930465099226</v>
      </c>
      <c r="AI109" s="295">
        <f t="shared" si="13"/>
        <v>29.959922120911134</v>
      </c>
      <c r="AJ109" s="295">
        <f t="shared" si="13"/>
        <v>33.555112775420469</v>
      </c>
      <c r="AK109" s="295">
        <f t="shared" si="13"/>
        <v>37.581726308470934</v>
      </c>
      <c r="AL109" s="295">
        <f t="shared" si="13"/>
        <v>42.091533465487451</v>
      </c>
      <c r="AM109" s="295">
        <f t="shared" si="13"/>
        <v>47.142517481345948</v>
      </c>
      <c r="AN109" s="295">
        <f t="shared" si="13"/>
        <v>52.799619579107464</v>
      </c>
      <c r="AO109" s="295">
        <f t="shared" si="13"/>
        <v>59.135573928600358</v>
      </c>
      <c r="AP109" s="295">
        <f t="shared" si="13"/>
        <v>66.23184280003241</v>
      </c>
      <c r="AQ109" s="295">
        <f t="shared" si="13"/>
        <v>74.179663936036306</v>
      </c>
      <c r="AR109" s="295">
        <f t="shared" si="13"/>
        <v>83.081223608360659</v>
      </c>
      <c r="AS109" s="295">
        <f t="shared" si="13"/>
        <v>93.050970441363958</v>
      </c>
      <c r="AT109" s="295">
        <f t="shared" si="13"/>
        <v>104.21708689432762</v>
      </c>
      <c r="AU109" s="295">
        <f t="shared" si="13"/>
        <v>116.72313732164696</v>
      </c>
      <c r="AV109" s="295">
        <f t="shared" si="13"/>
        <v>130.72991380024462</v>
      </c>
      <c r="AW109" s="295">
        <f t="shared" si="13"/>
        <v>146.41750345627395</v>
      </c>
      <c r="AX109" s="295">
        <f t="shared" si="13"/>
        <v>163.98760387102686</v>
      </c>
      <c r="AY109" s="295">
        <f t="shared" si="13"/>
        <v>183.6661163355501</v>
      </c>
      <c r="AZ109" s="295">
        <f t="shared" si="13"/>
        <v>205.70605029581608</v>
      </c>
      <c r="BA109" s="295">
        <f t="shared" si="13"/>
        <v>230.39077633131407</v>
      </c>
      <c r="BB109" s="295">
        <f t="shared" si="13"/>
        <v>258.03766949107177</v>
      </c>
      <c r="BC109" s="295">
        <f t="shared" si="13"/>
        <v>289.00218983000042</v>
      </c>
      <c r="BD109" s="295">
        <f t="shared" si="13"/>
        <v>323.68245260960049</v>
      </c>
      <c r="BE109" s="295">
        <f t="shared" si="13"/>
        <v>362.52434692275256</v>
      </c>
      <c r="BF109" s="295">
        <f t="shared" si="13"/>
        <v>406.02726855348288</v>
      </c>
      <c r="BG109" s="295">
        <f t="shared" si="13"/>
        <v>454.75054077990086</v>
      </c>
      <c r="BH109" s="295">
        <f t="shared" si="13"/>
        <v>509.32060567348896</v>
      </c>
      <c r="BI109" s="295">
        <f t="shared" si="13"/>
        <v>570.43907835430764</v>
      </c>
      <c r="BJ109" s="295">
        <f t="shared" si="13"/>
        <v>638.89176775682472</v>
      </c>
      <c r="BK109" s="295">
        <f t="shared" si="13"/>
        <v>715.5587798876436</v>
      </c>
      <c r="BL109" s="295">
        <f t="shared" si="13"/>
        <v>801.4258334741611</v>
      </c>
      <c r="BM109" s="295">
        <f t="shared" si="13"/>
        <v>897.59693349106033</v>
      </c>
      <c r="BN109" s="295">
        <f t="shared" si="13"/>
        <v>1005.3085655099877</v>
      </c>
      <c r="BO109" s="295">
        <f t="shared" si="13"/>
        <v>1125.9455933711863</v>
      </c>
      <c r="BP109" s="295">
        <f t="shared" si="13"/>
        <v>1261.0590645757286</v>
      </c>
      <c r="BQ109" s="295">
        <f t="shared" si="13"/>
        <v>1412.3861523248163</v>
      </c>
      <c r="BR109" s="295">
        <f t="shared" ref="BR109:CZ109" si="14">(1+$E$50)^(BR106-1)</f>
        <v>1581.8724906037944</v>
      </c>
      <c r="BS109" s="295">
        <f t="shared" si="14"/>
        <v>1771.6971894762498</v>
      </c>
      <c r="BT109" s="295">
        <f t="shared" si="14"/>
        <v>1984.3008522134</v>
      </c>
      <c r="BU109" s="295">
        <f t="shared" si="14"/>
        <v>2222.4169544790079</v>
      </c>
      <c r="BV109" s="295">
        <f t="shared" si="14"/>
        <v>2489.106989016489</v>
      </c>
      <c r="BW109" s="295">
        <f t="shared" si="14"/>
        <v>2787.7998276984681</v>
      </c>
      <c r="BX109" s="295">
        <f t="shared" si="14"/>
        <v>3122.3358070222844</v>
      </c>
      <c r="BY109" s="295">
        <f t="shared" si="14"/>
        <v>3497.0161038649589</v>
      </c>
      <c r="BZ109" s="295">
        <f t="shared" si="14"/>
        <v>3916.658036328754</v>
      </c>
      <c r="CA109" s="295">
        <f t="shared" si="14"/>
        <v>4386.6570006882048</v>
      </c>
      <c r="CB109" s="295">
        <f t="shared" si="14"/>
        <v>4913.0558407707904</v>
      </c>
      <c r="CC109" s="295">
        <f t="shared" si="14"/>
        <v>5502.6225416632842</v>
      </c>
      <c r="CD109" s="295">
        <f t="shared" si="14"/>
        <v>6162.9372466628802</v>
      </c>
      <c r="CE109" s="295">
        <f t="shared" si="14"/>
        <v>6902.4897162624256</v>
      </c>
      <c r="CF109" s="295">
        <f t="shared" si="14"/>
        <v>7730.7884822139167</v>
      </c>
      <c r="CG109" s="295">
        <f t="shared" si="14"/>
        <v>8658.4831000795875</v>
      </c>
      <c r="CH109" s="295">
        <f t="shared" si="14"/>
        <v>9697.5010720891387</v>
      </c>
      <c r="CI109" s="295">
        <f t="shared" si="14"/>
        <v>10861.201200739837</v>
      </c>
      <c r="CJ109" s="295">
        <f t="shared" si="14"/>
        <v>12164.545344828619</v>
      </c>
      <c r="CK109" s="295">
        <f t="shared" si="14"/>
        <v>13624.290786208052</v>
      </c>
      <c r="CL109" s="295">
        <f t="shared" si="14"/>
        <v>15259.205680553019</v>
      </c>
      <c r="CM109" s="295">
        <f t="shared" si="14"/>
        <v>17090.310362219385</v>
      </c>
      <c r="CN109" s="295">
        <f t="shared" si="14"/>
        <v>19141.14760568571</v>
      </c>
      <c r="CO109" s="295">
        <f t="shared" si="14"/>
        <v>21438.085318367997</v>
      </c>
      <c r="CP109" s="295">
        <f t="shared" si="14"/>
        <v>24010.655556572161</v>
      </c>
      <c r="CQ109" s="295">
        <f t="shared" si="14"/>
        <v>26891.934223360819</v>
      </c>
      <c r="CR109" s="295">
        <f t="shared" si="14"/>
        <v>30118.966330164123</v>
      </c>
      <c r="CS109" s="295">
        <f t="shared" si="14"/>
        <v>33733.242289783819</v>
      </c>
      <c r="CT109" s="295">
        <f t="shared" si="14"/>
        <v>37781.231364557876</v>
      </c>
      <c r="CU109" s="295">
        <f t="shared" si="14"/>
        <v>42314.979128304825</v>
      </c>
      <c r="CV109" s="295">
        <f t="shared" si="14"/>
        <v>47392.7766237014</v>
      </c>
      <c r="CW109" s="295">
        <f t="shared" si="14"/>
        <v>53079.909818545588</v>
      </c>
      <c r="CX109" s="295">
        <f t="shared" si="14"/>
        <v>59449.498996771064</v>
      </c>
      <c r="CY109" s="295">
        <f t="shared" si="14"/>
        <v>66583.438876383589</v>
      </c>
      <c r="CZ109" s="295">
        <f t="shared" si="14"/>
        <v>74573.451541549628</v>
      </c>
    </row>
    <row r="110" spans="1:104" s="98" customFormat="1" ht="13.3" thickBot="1" x14ac:dyDescent="0.4">
      <c r="A110" s="106"/>
      <c r="C110" s="114"/>
      <c r="E110" s="115"/>
      <c r="F110" s="115"/>
      <c r="G110" s="115"/>
      <c r="H110" s="202"/>
      <c r="I110" s="202"/>
      <c r="J110" s="202"/>
      <c r="K110" s="202"/>
      <c r="L110" s="202"/>
      <c r="M110" s="202"/>
      <c r="N110" s="202"/>
      <c r="O110" s="202"/>
      <c r="P110" s="202"/>
      <c r="Q110" s="202"/>
      <c r="R110" s="202"/>
      <c r="S110" s="202"/>
      <c r="T110" s="202"/>
      <c r="U110" s="202"/>
      <c r="V110" s="202"/>
      <c r="W110" s="202"/>
      <c r="X110" s="202"/>
      <c r="Y110" s="202"/>
      <c r="Z110" s="115"/>
      <c r="AA110" s="115"/>
      <c r="AB110" s="115"/>
      <c r="AC110" s="115"/>
      <c r="AD110" s="115"/>
      <c r="AE110" s="115"/>
      <c r="AF110" s="115"/>
      <c r="AG110" s="115"/>
      <c r="AH110" s="115"/>
      <c r="AI110" s="115"/>
      <c r="AJ110" s="115"/>
      <c r="AK110" s="115"/>
      <c r="AL110" s="115"/>
      <c r="AM110" s="115"/>
      <c r="AN110" s="115"/>
      <c r="AO110" s="115"/>
      <c r="AP110" s="115"/>
      <c r="AQ110" s="115"/>
      <c r="AR110" s="115"/>
      <c r="AS110" s="115"/>
      <c r="AT110" s="115"/>
      <c r="AU110" s="115"/>
      <c r="AV110" s="115"/>
      <c r="AW110" s="115"/>
      <c r="AX110" s="115"/>
      <c r="AY110" s="115"/>
      <c r="AZ110" s="115"/>
      <c r="BA110" s="115"/>
      <c r="BB110" s="115"/>
      <c r="BC110" s="115"/>
      <c r="BD110" s="115"/>
      <c r="BE110" s="115"/>
      <c r="BF110" s="115"/>
      <c r="BG110" s="115"/>
      <c r="BH110" s="115"/>
      <c r="BI110" s="115"/>
      <c r="BJ110" s="115"/>
      <c r="BK110" s="115"/>
      <c r="BL110" s="115"/>
      <c r="BM110" s="115"/>
      <c r="BN110" s="115"/>
      <c r="BO110" s="115"/>
      <c r="BP110" s="115"/>
      <c r="BQ110" s="115"/>
      <c r="BR110" s="115"/>
      <c r="BS110" s="115"/>
      <c r="BT110" s="115"/>
      <c r="BU110" s="115"/>
      <c r="BV110" s="115"/>
      <c r="BW110" s="115"/>
      <c r="BX110" s="115"/>
      <c r="BY110" s="115"/>
      <c r="BZ110" s="115"/>
      <c r="CA110" s="115"/>
      <c r="CB110" s="115"/>
      <c r="CC110" s="115"/>
      <c r="CD110" s="115"/>
      <c r="CE110" s="115"/>
      <c r="CF110" s="115"/>
      <c r="CG110" s="115"/>
      <c r="CH110" s="115"/>
      <c r="CI110" s="115"/>
      <c r="CJ110" s="115"/>
      <c r="CK110" s="115"/>
      <c r="CL110" s="115"/>
      <c r="CM110" s="115"/>
      <c r="CN110" s="115"/>
      <c r="CO110" s="115"/>
      <c r="CP110" s="115"/>
      <c r="CQ110" s="115"/>
      <c r="CR110" s="115"/>
      <c r="CS110" s="115"/>
      <c r="CT110" s="115"/>
      <c r="CU110" s="115"/>
      <c r="CV110" s="115"/>
      <c r="CW110" s="115"/>
      <c r="CX110" s="115"/>
      <c r="CY110" s="115"/>
      <c r="CZ110" s="115"/>
    </row>
    <row r="111" spans="1:104" x14ac:dyDescent="0.35">
      <c r="B111" s="231" t="s">
        <v>165</v>
      </c>
      <c r="C111" s="136" t="s">
        <v>190</v>
      </c>
      <c r="D111" s="136"/>
      <c r="E111" s="135"/>
      <c r="F111" s="135"/>
      <c r="G111" s="135"/>
      <c r="H111" s="133"/>
      <c r="I111" s="133"/>
      <c r="J111" s="133"/>
      <c r="K111" s="133"/>
      <c r="L111" s="133"/>
      <c r="M111" s="133"/>
      <c r="N111" s="133"/>
      <c r="O111" s="133"/>
      <c r="P111" s="133"/>
      <c r="Q111" s="133"/>
      <c r="R111" s="133"/>
      <c r="S111" s="133"/>
      <c r="T111" s="133"/>
      <c r="U111" s="133"/>
      <c r="V111" s="133"/>
      <c r="W111" s="133"/>
      <c r="X111" s="133"/>
      <c r="Y111" s="133"/>
      <c r="Z111" s="135"/>
      <c r="AA111" s="135"/>
      <c r="AB111" s="135"/>
      <c r="AC111" s="135"/>
      <c r="AD111" s="135"/>
      <c r="AE111" s="135"/>
      <c r="AF111" s="135"/>
      <c r="AG111" s="135"/>
      <c r="AH111" s="135"/>
      <c r="AI111" s="135"/>
      <c r="AJ111" s="135"/>
      <c r="AK111" s="135"/>
      <c r="AL111" s="135"/>
      <c r="AM111" s="135"/>
      <c r="AN111" s="135"/>
      <c r="AO111" s="135"/>
      <c r="AP111" s="135"/>
      <c r="AQ111" s="135"/>
      <c r="AR111" s="135"/>
      <c r="AS111" s="135"/>
      <c r="AT111" s="135"/>
      <c r="AU111" s="135"/>
      <c r="AV111" s="135"/>
      <c r="AW111" s="135"/>
      <c r="AX111" s="135"/>
      <c r="AY111" s="135"/>
      <c r="AZ111" s="135"/>
      <c r="BA111" s="135"/>
      <c r="BB111" s="135"/>
      <c r="BC111" s="135"/>
      <c r="BD111" s="135"/>
      <c r="BE111" s="135"/>
      <c r="BF111" s="135"/>
      <c r="BG111" s="135"/>
      <c r="BH111" s="135"/>
      <c r="BI111" s="135"/>
      <c r="BJ111" s="135"/>
      <c r="BK111" s="135"/>
      <c r="BL111" s="135"/>
      <c r="BM111" s="135"/>
      <c r="BN111" s="135"/>
      <c r="BO111" s="135"/>
      <c r="BP111" s="135"/>
      <c r="BQ111" s="135"/>
      <c r="BR111" s="135"/>
      <c r="BS111" s="135"/>
      <c r="BT111" s="135"/>
      <c r="BU111" s="135"/>
      <c r="BV111" s="135"/>
      <c r="BW111" s="135"/>
      <c r="BX111" s="135"/>
      <c r="BY111" s="135"/>
      <c r="BZ111" s="135"/>
      <c r="CA111" s="135"/>
      <c r="CB111" s="135"/>
      <c r="CC111" s="135"/>
      <c r="CD111" s="135"/>
      <c r="CE111" s="135"/>
      <c r="CF111" s="135"/>
      <c r="CG111" s="135"/>
      <c r="CH111" s="135"/>
      <c r="CI111" s="135"/>
      <c r="CJ111" s="135"/>
      <c r="CK111" s="135"/>
      <c r="CL111" s="135"/>
      <c r="CM111" s="135"/>
      <c r="CN111" s="135"/>
      <c r="CO111" s="135"/>
      <c r="CP111" s="135"/>
      <c r="CQ111" s="135"/>
      <c r="CR111" s="135"/>
      <c r="CS111" s="135"/>
      <c r="CT111" s="135"/>
      <c r="CU111" s="135"/>
      <c r="CV111" s="135"/>
      <c r="CW111" s="135"/>
      <c r="CX111" s="135"/>
      <c r="CY111" s="135"/>
      <c r="CZ111" s="135"/>
    </row>
    <row r="112" spans="1:104" x14ac:dyDescent="0.35">
      <c r="B112" s="98"/>
      <c r="C112" s="112"/>
      <c r="D112" s="98"/>
      <c r="E112" s="98"/>
      <c r="F112" s="98"/>
      <c r="G112" s="98"/>
      <c r="H112" s="107"/>
      <c r="I112" s="107"/>
      <c r="J112" s="107"/>
      <c r="K112" s="107"/>
      <c r="L112" s="107"/>
      <c r="M112" s="107"/>
      <c r="N112" s="107"/>
      <c r="O112" s="107"/>
      <c r="P112" s="107"/>
      <c r="Q112" s="107"/>
      <c r="R112" s="107"/>
      <c r="S112" s="107"/>
      <c r="T112" s="107"/>
      <c r="U112" s="107"/>
      <c r="V112" s="107"/>
      <c r="W112" s="107"/>
      <c r="X112" s="107"/>
      <c r="Y112" s="107"/>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c r="BD112" s="98"/>
      <c r="BE112" s="98"/>
      <c r="BF112" s="98"/>
      <c r="BG112" s="98"/>
      <c r="BH112" s="98"/>
      <c r="BI112" s="98"/>
      <c r="BJ112" s="98"/>
      <c r="BK112" s="98"/>
      <c r="BL112" s="98"/>
      <c r="BM112" s="98"/>
      <c r="BN112" s="98"/>
      <c r="BO112" s="98"/>
      <c r="BP112" s="98"/>
      <c r="BQ112" s="98"/>
      <c r="BR112" s="98"/>
      <c r="BS112" s="98"/>
      <c r="BT112" s="98"/>
      <c r="BU112" s="98"/>
      <c r="BV112" s="98"/>
      <c r="BW112" s="98"/>
      <c r="BX112" s="98"/>
      <c r="BY112" s="98"/>
      <c r="BZ112" s="98"/>
      <c r="CA112" s="98"/>
      <c r="CB112" s="98"/>
      <c r="CC112" s="98"/>
      <c r="CD112" s="98"/>
      <c r="CE112" s="98"/>
      <c r="CF112" s="98"/>
      <c r="CG112" s="98"/>
      <c r="CH112" s="98"/>
      <c r="CI112" s="98"/>
      <c r="CJ112" s="98"/>
      <c r="CK112" s="98"/>
      <c r="CL112" s="98"/>
      <c r="CM112" s="98"/>
      <c r="CN112" s="98"/>
      <c r="CO112" s="98"/>
      <c r="CP112" s="98"/>
      <c r="CQ112" s="98"/>
      <c r="CR112" s="98"/>
      <c r="CS112" s="98"/>
      <c r="CT112" s="98"/>
      <c r="CU112" s="98"/>
      <c r="CV112" s="98"/>
      <c r="CW112" s="98"/>
      <c r="CX112" s="98"/>
      <c r="CY112" s="98"/>
      <c r="CZ112" s="98"/>
    </row>
    <row r="113" spans="1:104" x14ac:dyDescent="0.35">
      <c r="B113" s="98"/>
      <c r="C113" s="722" t="s">
        <v>157</v>
      </c>
      <c r="D113" s="571" t="s">
        <v>158</v>
      </c>
      <c r="E113" s="569">
        <f>$E$60</f>
        <v>2056</v>
      </c>
      <c r="F113" s="569">
        <f>E113+1</f>
        <v>2057</v>
      </c>
      <c r="G113" s="569">
        <f t="shared" ref="G113:G114" si="15">F113+1</f>
        <v>2058</v>
      </c>
      <c r="H113" s="569">
        <f t="shared" ref="H113:H114" si="16">G113+1</f>
        <v>2059</v>
      </c>
      <c r="I113" s="569">
        <f t="shared" ref="I113:I114" si="17">H113+1</f>
        <v>2060</v>
      </c>
      <c r="J113" s="569">
        <f t="shared" ref="J113:J114" si="18">I113+1</f>
        <v>2061</v>
      </c>
      <c r="K113" s="569">
        <f t="shared" ref="K113:K114" si="19">J113+1</f>
        <v>2062</v>
      </c>
      <c r="L113" s="569">
        <f t="shared" ref="L113:L114" si="20">K113+1</f>
        <v>2063</v>
      </c>
      <c r="M113" s="569">
        <f t="shared" ref="M113:M114" si="21">L113+1</f>
        <v>2064</v>
      </c>
      <c r="N113" s="569">
        <f t="shared" ref="N113:N114" si="22">M113+1</f>
        <v>2065</v>
      </c>
      <c r="O113" s="569">
        <f t="shared" ref="O113:O114" si="23">N113+1</f>
        <v>2066</v>
      </c>
      <c r="P113" s="569">
        <f t="shared" ref="P113:P114" si="24">O113+1</f>
        <v>2067</v>
      </c>
      <c r="Q113" s="569">
        <f t="shared" ref="Q113:Q114" si="25">P113+1</f>
        <v>2068</v>
      </c>
      <c r="R113" s="569">
        <f t="shared" ref="R113:R114" si="26">Q113+1</f>
        <v>2069</v>
      </c>
      <c r="S113" s="139">
        <f t="shared" ref="S113:S114" si="27">R113+1</f>
        <v>2070</v>
      </c>
      <c r="T113" s="139">
        <f t="shared" ref="T113:T114" si="28">S113+1</f>
        <v>2071</v>
      </c>
      <c r="U113" s="139">
        <f t="shared" ref="U113:U114" si="29">T113+1</f>
        <v>2072</v>
      </c>
      <c r="V113" s="139">
        <f t="shared" ref="V113:V114" si="30">U113+1</f>
        <v>2073</v>
      </c>
      <c r="W113" s="139">
        <f t="shared" ref="W113:W114" si="31">V113+1</f>
        <v>2074</v>
      </c>
      <c r="X113" s="139">
        <f t="shared" ref="X113:X114" si="32">W113+1</f>
        <v>2075</v>
      </c>
      <c r="Y113" s="139">
        <f t="shared" ref="Y113:Y114" si="33">X113+1</f>
        <v>2076</v>
      </c>
      <c r="Z113" s="139">
        <f t="shared" ref="Z113:Z114" si="34">Y113+1</f>
        <v>2077</v>
      </c>
      <c r="AA113" s="139">
        <f t="shared" ref="AA113:AA114" si="35">Z113+1</f>
        <v>2078</v>
      </c>
      <c r="AB113" s="139">
        <f t="shared" ref="AB113:AB114" si="36">AA113+1</f>
        <v>2079</v>
      </c>
      <c r="AC113" s="139">
        <f t="shared" ref="AC113:AC114" si="37">AB113+1</f>
        <v>2080</v>
      </c>
      <c r="AD113" s="139">
        <f t="shared" ref="AD113:AD114" si="38">AC113+1</f>
        <v>2081</v>
      </c>
      <c r="AE113" s="139">
        <f t="shared" ref="AE113:AE114" si="39">AD113+1</f>
        <v>2082</v>
      </c>
      <c r="AF113" s="139">
        <f t="shared" ref="AF113:AF114" si="40">AE113+1</f>
        <v>2083</v>
      </c>
      <c r="AG113" s="139">
        <f t="shared" ref="AG113:AG114" si="41">AF113+1</f>
        <v>2084</v>
      </c>
      <c r="AH113" s="139">
        <f t="shared" ref="AH113:AH114" si="42">AG113+1</f>
        <v>2085</v>
      </c>
      <c r="AI113" s="139">
        <f t="shared" ref="AI113:AI114" si="43">AH113+1</f>
        <v>2086</v>
      </c>
      <c r="AJ113" s="139">
        <f t="shared" ref="AJ113:AJ114" si="44">AI113+1</f>
        <v>2087</v>
      </c>
      <c r="AK113" s="139">
        <f t="shared" ref="AK113:AK114" si="45">AJ113+1</f>
        <v>2088</v>
      </c>
      <c r="AL113" s="139">
        <f t="shared" ref="AL113:AL114" si="46">AK113+1</f>
        <v>2089</v>
      </c>
      <c r="AM113" s="139">
        <f t="shared" ref="AM113:AM114" si="47">AL113+1</f>
        <v>2090</v>
      </c>
      <c r="AN113" s="139">
        <f t="shared" ref="AN113:AN114" si="48">AM113+1</f>
        <v>2091</v>
      </c>
      <c r="AO113" s="139">
        <f t="shared" ref="AO113:AO114" si="49">AN113+1</f>
        <v>2092</v>
      </c>
      <c r="AP113" s="139">
        <f t="shared" ref="AP113:AP114" si="50">AO113+1</f>
        <v>2093</v>
      </c>
      <c r="AQ113" s="139">
        <f t="shared" ref="AQ113:AQ114" si="51">AP113+1</f>
        <v>2094</v>
      </c>
      <c r="AR113" s="139">
        <f t="shared" ref="AR113:AR114" si="52">AQ113+1</f>
        <v>2095</v>
      </c>
      <c r="AS113" s="139">
        <f t="shared" ref="AS113:AS114" si="53">AR113+1</f>
        <v>2096</v>
      </c>
      <c r="AT113" s="139">
        <f t="shared" ref="AT113:AT114" si="54">AS113+1</f>
        <v>2097</v>
      </c>
      <c r="AU113" s="139">
        <f t="shared" ref="AU113:AU114" si="55">AT113+1</f>
        <v>2098</v>
      </c>
      <c r="AV113" s="139">
        <f t="shared" ref="AV113:AV114" si="56">AU113+1</f>
        <v>2099</v>
      </c>
      <c r="AW113" s="139">
        <f t="shared" ref="AW113:AW114" si="57">AV113+1</f>
        <v>2100</v>
      </c>
      <c r="AX113" s="139">
        <f t="shared" ref="AX113:AX114" si="58">AW113+1</f>
        <v>2101</v>
      </c>
      <c r="AY113" s="139">
        <f t="shared" ref="AY113:AY114" si="59">AX113+1</f>
        <v>2102</v>
      </c>
      <c r="AZ113" s="139">
        <f t="shared" ref="AZ113:AZ114" si="60">AY113+1</f>
        <v>2103</v>
      </c>
      <c r="BA113" s="139">
        <f t="shared" ref="BA113:BA114" si="61">AZ113+1</f>
        <v>2104</v>
      </c>
      <c r="BB113" s="139">
        <f t="shared" ref="BB113:BB114" si="62">BA113+1</f>
        <v>2105</v>
      </c>
      <c r="BC113" s="139">
        <f t="shared" ref="BC113:BC114" si="63">BB113+1</f>
        <v>2106</v>
      </c>
      <c r="BD113" s="139">
        <f t="shared" ref="BD113:BD114" si="64">BC113+1</f>
        <v>2107</v>
      </c>
      <c r="BE113" s="139">
        <f t="shared" ref="BE113:BE114" si="65">BD113+1</f>
        <v>2108</v>
      </c>
      <c r="BF113" s="139">
        <f t="shared" ref="BF113:BF114" si="66">BE113+1</f>
        <v>2109</v>
      </c>
      <c r="BG113" s="139">
        <f t="shared" ref="BG113:BG114" si="67">BF113+1</f>
        <v>2110</v>
      </c>
      <c r="BH113" s="139">
        <f t="shared" ref="BH113:BH114" si="68">BG113+1</f>
        <v>2111</v>
      </c>
      <c r="BI113" s="139">
        <f t="shared" ref="BI113:BI114" si="69">BH113+1</f>
        <v>2112</v>
      </c>
      <c r="BJ113" s="139">
        <f t="shared" ref="BJ113:BJ114" si="70">BI113+1</f>
        <v>2113</v>
      </c>
      <c r="BK113" s="139">
        <f t="shared" ref="BK113:BK114" si="71">BJ113+1</f>
        <v>2114</v>
      </c>
      <c r="BL113" s="139">
        <f t="shared" ref="BL113:BL114" si="72">BK113+1</f>
        <v>2115</v>
      </c>
      <c r="BM113" s="139">
        <f t="shared" ref="BM113:BM114" si="73">BL113+1</f>
        <v>2116</v>
      </c>
      <c r="BN113" s="139">
        <f t="shared" ref="BN113:BN114" si="74">BM113+1</f>
        <v>2117</v>
      </c>
      <c r="BO113" s="139">
        <f t="shared" ref="BO113:BO114" si="75">BN113+1</f>
        <v>2118</v>
      </c>
      <c r="BP113" s="139">
        <f t="shared" ref="BP113:BP114" si="76">BO113+1</f>
        <v>2119</v>
      </c>
      <c r="BQ113" s="139">
        <f t="shared" ref="BQ113:BQ114" si="77">BP113+1</f>
        <v>2120</v>
      </c>
      <c r="BR113" s="139">
        <f t="shared" ref="BR113:BR114" si="78">BQ113+1</f>
        <v>2121</v>
      </c>
      <c r="BS113" s="139">
        <f t="shared" ref="BS113:BS114" si="79">BR113+1</f>
        <v>2122</v>
      </c>
      <c r="BT113" s="139">
        <f t="shared" ref="BT113:BT114" si="80">BS113+1</f>
        <v>2123</v>
      </c>
      <c r="BU113" s="139">
        <f t="shared" ref="BU113:BU114" si="81">BT113+1</f>
        <v>2124</v>
      </c>
      <c r="BV113" s="139">
        <f t="shared" ref="BV113:BV114" si="82">BU113+1</f>
        <v>2125</v>
      </c>
      <c r="BW113" s="139">
        <f t="shared" ref="BW113:BW114" si="83">BV113+1</f>
        <v>2126</v>
      </c>
      <c r="BX113" s="139">
        <f t="shared" ref="BX113:BX114" si="84">BW113+1</f>
        <v>2127</v>
      </c>
      <c r="BY113" s="139">
        <f t="shared" ref="BY113:BY114" si="85">BX113+1</f>
        <v>2128</v>
      </c>
      <c r="BZ113" s="139">
        <f t="shared" ref="BZ113:BZ114" si="86">BY113+1</f>
        <v>2129</v>
      </c>
      <c r="CA113" s="139">
        <f t="shared" ref="CA113:CA114" si="87">BZ113+1</f>
        <v>2130</v>
      </c>
      <c r="CB113" s="139">
        <f t="shared" ref="CB113:CB114" si="88">CA113+1</f>
        <v>2131</v>
      </c>
      <c r="CC113" s="139">
        <f t="shared" ref="CC113:CC114" si="89">CB113+1</f>
        <v>2132</v>
      </c>
      <c r="CD113" s="139">
        <f t="shared" ref="CD113:CD114" si="90">CC113+1</f>
        <v>2133</v>
      </c>
      <c r="CE113" s="139">
        <f t="shared" ref="CE113:CE114" si="91">CD113+1</f>
        <v>2134</v>
      </c>
      <c r="CF113" s="139">
        <f t="shared" ref="CF113:CF114" si="92">CE113+1</f>
        <v>2135</v>
      </c>
      <c r="CG113" s="139">
        <f t="shared" ref="CG113:CG114" si="93">CF113+1</f>
        <v>2136</v>
      </c>
      <c r="CH113" s="139">
        <f t="shared" ref="CH113:CH114" si="94">CG113+1</f>
        <v>2137</v>
      </c>
      <c r="CI113" s="139">
        <f t="shared" ref="CI113:CI114" si="95">CH113+1</f>
        <v>2138</v>
      </c>
      <c r="CJ113" s="139">
        <f t="shared" ref="CJ113:CJ114" si="96">CI113+1</f>
        <v>2139</v>
      </c>
      <c r="CK113" s="139">
        <f t="shared" ref="CK113:CK114" si="97">CJ113+1</f>
        <v>2140</v>
      </c>
      <c r="CL113" s="139">
        <f t="shared" ref="CL113:CL114" si="98">CK113+1</f>
        <v>2141</v>
      </c>
      <c r="CM113" s="139">
        <f t="shared" ref="CM113:CM114" si="99">CL113+1</f>
        <v>2142</v>
      </c>
      <c r="CN113" s="139">
        <f t="shared" ref="CN113:CN114" si="100">CM113+1</f>
        <v>2143</v>
      </c>
      <c r="CO113" s="139">
        <f t="shared" ref="CO113:CO114" si="101">CN113+1</f>
        <v>2144</v>
      </c>
      <c r="CP113" s="139">
        <f t="shared" ref="CP113:CP114" si="102">CO113+1</f>
        <v>2145</v>
      </c>
      <c r="CQ113" s="139">
        <f t="shared" ref="CQ113:CQ114" si="103">CP113+1</f>
        <v>2146</v>
      </c>
      <c r="CR113" s="139">
        <f t="shared" ref="CR113:CR114" si="104">CQ113+1</f>
        <v>2147</v>
      </c>
      <c r="CS113" s="139">
        <f t="shared" ref="CS113:CS114" si="105">CR113+1</f>
        <v>2148</v>
      </c>
      <c r="CT113" s="139">
        <f t="shared" ref="CT113:CT114" si="106">CS113+1</f>
        <v>2149</v>
      </c>
      <c r="CU113" s="139">
        <f t="shared" ref="CU113:CU114" si="107">CT113+1</f>
        <v>2150</v>
      </c>
      <c r="CV113" s="139">
        <f t="shared" ref="CV113:CV114" si="108">CU113+1</f>
        <v>2151</v>
      </c>
      <c r="CW113" s="139">
        <f t="shared" ref="CW113:CW114" si="109">CV113+1</f>
        <v>2152</v>
      </c>
      <c r="CX113" s="139">
        <f t="shared" ref="CX113:CX114" si="110">CW113+1</f>
        <v>2153</v>
      </c>
      <c r="CY113" s="139">
        <f t="shared" ref="CY113:CY114" si="111">CX113+1</f>
        <v>2154</v>
      </c>
      <c r="CZ113" s="139">
        <f t="shared" ref="CZ113:CZ114" si="112">CY113+1</f>
        <v>2155</v>
      </c>
    </row>
    <row r="114" spans="1:104" x14ac:dyDescent="0.35">
      <c r="A114" s="113"/>
      <c r="B114" s="98"/>
      <c r="C114" s="722"/>
      <c r="D114" s="572" t="s">
        <v>159</v>
      </c>
      <c r="E114" s="570">
        <v>1</v>
      </c>
      <c r="F114" s="570">
        <f>E114+1</f>
        <v>2</v>
      </c>
      <c r="G114" s="570">
        <f t="shared" si="15"/>
        <v>3</v>
      </c>
      <c r="H114" s="570">
        <f t="shared" si="16"/>
        <v>4</v>
      </c>
      <c r="I114" s="570">
        <f t="shared" si="17"/>
        <v>5</v>
      </c>
      <c r="J114" s="570">
        <f t="shared" si="18"/>
        <v>6</v>
      </c>
      <c r="K114" s="570">
        <f t="shared" si="19"/>
        <v>7</v>
      </c>
      <c r="L114" s="570">
        <f t="shared" si="20"/>
        <v>8</v>
      </c>
      <c r="M114" s="570">
        <f t="shared" si="21"/>
        <v>9</v>
      </c>
      <c r="N114" s="570">
        <f t="shared" si="22"/>
        <v>10</v>
      </c>
      <c r="O114" s="570">
        <f t="shared" si="23"/>
        <v>11</v>
      </c>
      <c r="P114" s="570">
        <f t="shared" si="24"/>
        <v>12</v>
      </c>
      <c r="Q114" s="570">
        <f t="shared" si="25"/>
        <v>13</v>
      </c>
      <c r="R114" s="570">
        <f t="shared" si="26"/>
        <v>14</v>
      </c>
      <c r="S114" s="138">
        <f t="shared" si="27"/>
        <v>15</v>
      </c>
      <c r="T114" s="138">
        <f t="shared" si="28"/>
        <v>16</v>
      </c>
      <c r="U114" s="138">
        <f t="shared" si="29"/>
        <v>17</v>
      </c>
      <c r="V114" s="138">
        <f t="shared" si="30"/>
        <v>18</v>
      </c>
      <c r="W114" s="138">
        <f t="shared" si="31"/>
        <v>19</v>
      </c>
      <c r="X114" s="138">
        <f t="shared" si="32"/>
        <v>20</v>
      </c>
      <c r="Y114" s="138">
        <f t="shared" si="33"/>
        <v>21</v>
      </c>
      <c r="Z114" s="138">
        <f t="shared" si="34"/>
        <v>22</v>
      </c>
      <c r="AA114" s="138">
        <f t="shared" si="35"/>
        <v>23</v>
      </c>
      <c r="AB114" s="138">
        <f t="shared" si="36"/>
        <v>24</v>
      </c>
      <c r="AC114" s="138">
        <f t="shared" si="37"/>
        <v>25</v>
      </c>
      <c r="AD114" s="138">
        <f t="shared" si="38"/>
        <v>26</v>
      </c>
      <c r="AE114" s="138">
        <f t="shared" si="39"/>
        <v>27</v>
      </c>
      <c r="AF114" s="138">
        <f t="shared" si="40"/>
        <v>28</v>
      </c>
      <c r="AG114" s="138">
        <f t="shared" si="41"/>
        <v>29</v>
      </c>
      <c r="AH114" s="138">
        <f t="shared" si="42"/>
        <v>30</v>
      </c>
      <c r="AI114" s="138">
        <f t="shared" si="43"/>
        <v>31</v>
      </c>
      <c r="AJ114" s="138">
        <f t="shared" si="44"/>
        <v>32</v>
      </c>
      <c r="AK114" s="138">
        <f t="shared" si="45"/>
        <v>33</v>
      </c>
      <c r="AL114" s="138">
        <f t="shared" si="46"/>
        <v>34</v>
      </c>
      <c r="AM114" s="138">
        <f t="shared" si="47"/>
        <v>35</v>
      </c>
      <c r="AN114" s="138">
        <f t="shared" si="48"/>
        <v>36</v>
      </c>
      <c r="AO114" s="138">
        <f t="shared" si="49"/>
        <v>37</v>
      </c>
      <c r="AP114" s="138">
        <f t="shared" si="50"/>
        <v>38</v>
      </c>
      <c r="AQ114" s="138">
        <f t="shared" si="51"/>
        <v>39</v>
      </c>
      <c r="AR114" s="138">
        <f t="shared" si="52"/>
        <v>40</v>
      </c>
      <c r="AS114" s="138">
        <f t="shared" si="53"/>
        <v>41</v>
      </c>
      <c r="AT114" s="138">
        <f t="shared" si="54"/>
        <v>42</v>
      </c>
      <c r="AU114" s="138">
        <f t="shared" si="55"/>
        <v>43</v>
      </c>
      <c r="AV114" s="138">
        <f t="shared" si="56"/>
        <v>44</v>
      </c>
      <c r="AW114" s="138">
        <f t="shared" si="57"/>
        <v>45</v>
      </c>
      <c r="AX114" s="138">
        <f t="shared" si="58"/>
        <v>46</v>
      </c>
      <c r="AY114" s="138">
        <f t="shared" si="59"/>
        <v>47</v>
      </c>
      <c r="AZ114" s="138">
        <f t="shared" si="60"/>
        <v>48</v>
      </c>
      <c r="BA114" s="138">
        <f t="shared" si="61"/>
        <v>49</v>
      </c>
      <c r="BB114" s="138">
        <f t="shared" si="62"/>
        <v>50</v>
      </c>
      <c r="BC114" s="138">
        <f t="shared" si="63"/>
        <v>51</v>
      </c>
      <c r="BD114" s="138">
        <f t="shared" si="64"/>
        <v>52</v>
      </c>
      <c r="BE114" s="138">
        <f t="shared" si="65"/>
        <v>53</v>
      </c>
      <c r="BF114" s="138">
        <f t="shared" si="66"/>
        <v>54</v>
      </c>
      <c r="BG114" s="138">
        <f t="shared" si="67"/>
        <v>55</v>
      </c>
      <c r="BH114" s="138">
        <f t="shared" si="68"/>
        <v>56</v>
      </c>
      <c r="BI114" s="138">
        <f t="shared" si="69"/>
        <v>57</v>
      </c>
      <c r="BJ114" s="138">
        <f t="shared" si="70"/>
        <v>58</v>
      </c>
      <c r="BK114" s="138">
        <f t="shared" si="71"/>
        <v>59</v>
      </c>
      <c r="BL114" s="138">
        <f t="shared" si="72"/>
        <v>60</v>
      </c>
      <c r="BM114" s="138">
        <f t="shared" si="73"/>
        <v>61</v>
      </c>
      <c r="BN114" s="138">
        <f t="shared" si="74"/>
        <v>62</v>
      </c>
      <c r="BO114" s="138">
        <f t="shared" si="75"/>
        <v>63</v>
      </c>
      <c r="BP114" s="138">
        <f t="shared" si="76"/>
        <v>64</v>
      </c>
      <c r="BQ114" s="138">
        <f t="shared" si="77"/>
        <v>65</v>
      </c>
      <c r="BR114" s="138">
        <f t="shared" si="78"/>
        <v>66</v>
      </c>
      <c r="BS114" s="138">
        <f t="shared" si="79"/>
        <v>67</v>
      </c>
      <c r="BT114" s="138">
        <f t="shared" si="80"/>
        <v>68</v>
      </c>
      <c r="BU114" s="138">
        <f t="shared" si="81"/>
        <v>69</v>
      </c>
      <c r="BV114" s="138">
        <f t="shared" si="82"/>
        <v>70</v>
      </c>
      <c r="BW114" s="138">
        <f t="shared" si="83"/>
        <v>71</v>
      </c>
      <c r="BX114" s="138">
        <f t="shared" si="84"/>
        <v>72</v>
      </c>
      <c r="BY114" s="138">
        <f t="shared" si="85"/>
        <v>73</v>
      </c>
      <c r="BZ114" s="138">
        <f t="shared" si="86"/>
        <v>74</v>
      </c>
      <c r="CA114" s="138">
        <f t="shared" si="87"/>
        <v>75</v>
      </c>
      <c r="CB114" s="138">
        <f t="shared" si="88"/>
        <v>76</v>
      </c>
      <c r="CC114" s="138">
        <f t="shared" si="89"/>
        <v>77</v>
      </c>
      <c r="CD114" s="138">
        <f t="shared" si="90"/>
        <v>78</v>
      </c>
      <c r="CE114" s="138">
        <f t="shared" si="91"/>
        <v>79</v>
      </c>
      <c r="CF114" s="138">
        <f t="shared" si="92"/>
        <v>80</v>
      </c>
      <c r="CG114" s="138">
        <f t="shared" si="93"/>
        <v>81</v>
      </c>
      <c r="CH114" s="138">
        <f t="shared" si="94"/>
        <v>82</v>
      </c>
      <c r="CI114" s="138">
        <f t="shared" si="95"/>
        <v>83</v>
      </c>
      <c r="CJ114" s="138">
        <f t="shared" si="96"/>
        <v>84</v>
      </c>
      <c r="CK114" s="138">
        <f t="shared" si="97"/>
        <v>85</v>
      </c>
      <c r="CL114" s="138">
        <f t="shared" si="98"/>
        <v>86</v>
      </c>
      <c r="CM114" s="138">
        <f t="shared" si="99"/>
        <v>87</v>
      </c>
      <c r="CN114" s="138">
        <f t="shared" si="100"/>
        <v>88</v>
      </c>
      <c r="CO114" s="138">
        <f t="shared" si="101"/>
        <v>89</v>
      </c>
      <c r="CP114" s="138">
        <f t="shared" si="102"/>
        <v>90</v>
      </c>
      <c r="CQ114" s="138">
        <f t="shared" si="103"/>
        <v>91</v>
      </c>
      <c r="CR114" s="138">
        <f t="shared" si="104"/>
        <v>92</v>
      </c>
      <c r="CS114" s="138">
        <f t="shared" si="105"/>
        <v>93</v>
      </c>
      <c r="CT114" s="138">
        <f t="shared" si="106"/>
        <v>94</v>
      </c>
      <c r="CU114" s="138">
        <f t="shared" si="107"/>
        <v>95</v>
      </c>
      <c r="CV114" s="138">
        <f t="shared" si="108"/>
        <v>96</v>
      </c>
      <c r="CW114" s="138">
        <f t="shared" si="109"/>
        <v>97</v>
      </c>
      <c r="CX114" s="138">
        <f t="shared" si="110"/>
        <v>98</v>
      </c>
      <c r="CY114" s="138">
        <f t="shared" si="111"/>
        <v>99</v>
      </c>
      <c r="CZ114" s="138">
        <f t="shared" si="112"/>
        <v>100</v>
      </c>
    </row>
    <row r="115" spans="1:104" x14ac:dyDescent="0.35">
      <c r="A115" s="113"/>
      <c r="B115" s="98"/>
      <c r="C115" s="722"/>
      <c r="D115" s="98"/>
      <c r="E115" s="98"/>
      <c r="F115" s="98"/>
      <c r="G115" s="98"/>
      <c r="H115" s="107"/>
      <c r="I115" s="107"/>
      <c r="J115" s="107"/>
      <c r="K115" s="107"/>
      <c r="L115" s="107"/>
      <c r="M115" s="107"/>
      <c r="N115" s="107"/>
      <c r="O115" s="107"/>
      <c r="P115" s="107"/>
      <c r="Q115" s="107"/>
      <c r="R115" s="107"/>
      <c r="S115" s="107"/>
      <c r="T115" s="107"/>
      <c r="U115" s="107"/>
      <c r="V115" s="107"/>
      <c r="W115" s="107"/>
      <c r="X115" s="107"/>
      <c r="Y115" s="107"/>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c r="BD115" s="98"/>
      <c r="BE115" s="98"/>
      <c r="BF115" s="98"/>
      <c r="BG115" s="98"/>
      <c r="BH115" s="98"/>
      <c r="BI115" s="98"/>
      <c r="BJ115" s="98"/>
      <c r="BK115" s="98"/>
      <c r="BL115" s="98"/>
      <c r="BM115" s="98"/>
      <c r="BN115" s="98"/>
      <c r="BO115" s="98"/>
      <c r="BP115" s="98"/>
      <c r="BQ115" s="98"/>
      <c r="BR115" s="98"/>
      <c r="BS115" s="98"/>
      <c r="BT115" s="98"/>
      <c r="BU115" s="98"/>
      <c r="BV115" s="98"/>
      <c r="BW115" s="98"/>
      <c r="BX115" s="98"/>
      <c r="BY115" s="98"/>
      <c r="BZ115" s="98"/>
      <c r="CA115" s="98"/>
      <c r="CB115" s="98"/>
      <c r="CC115" s="98"/>
      <c r="CD115" s="98"/>
      <c r="CE115" s="98"/>
      <c r="CF115" s="98"/>
      <c r="CG115" s="98"/>
      <c r="CH115" s="98"/>
      <c r="CI115" s="98"/>
      <c r="CJ115" s="98"/>
      <c r="CK115" s="98"/>
      <c r="CL115" s="98"/>
      <c r="CM115" s="98"/>
      <c r="CN115" s="98"/>
      <c r="CO115" s="98"/>
      <c r="CP115" s="98"/>
      <c r="CQ115" s="98"/>
      <c r="CR115" s="98"/>
      <c r="CS115" s="98"/>
      <c r="CT115" s="98"/>
      <c r="CU115" s="98"/>
      <c r="CV115" s="98"/>
      <c r="CW115" s="98"/>
      <c r="CX115" s="98"/>
      <c r="CY115" s="98"/>
      <c r="CZ115" s="98"/>
    </row>
    <row r="116" spans="1:104" x14ac:dyDescent="0.35">
      <c r="A116" s="113"/>
      <c r="B116" s="98"/>
      <c r="C116" s="98"/>
      <c r="D116" s="106" t="s">
        <v>160</v>
      </c>
      <c r="E116" s="98"/>
      <c r="F116" s="403"/>
      <c r="G116" s="98"/>
      <c r="H116" s="107"/>
      <c r="I116" s="107"/>
      <c r="J116" s="107"/>
      <c r="K116" s="107"/>
      <c r="L116" s="107"/>
      <c r="M116" s="107"/>
      <c r="N116" s="107"/>
      <c r="O116" s="107"/>
      <c r="P116" s="107"/>
      <c r="Q116" s="107"/>
      <c r="R116" s="107"/>
      <c r="S116" s="107"/>
      <c r="T116" s="107"/>
      <c r="U116" s="107"/>
      <c r="V116" s="107"/>
      <c r="W116" s="107"/>
      <c r="X116" s="107"/>
      <c r="Y116" s="107"/>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c r="BD116" s="98"/>
      <c r="BE116" s="98"/>
      <c r="BF116" s="98"/>
      <c r="BG116" s="98"/>
      <c r="BH116" s="98"/>
      <c r="BI116" s="98"/>
      <c r="BJ116" s="98"/>
      <c r="BK116" s="98"/>
      <c r="BL116" s="98"/>
      <c r="BM116" s="98"/>
      <c r="BN116" s="98"/>
      <c r="BO116" s="98"/>
      <c r="BP116" s="98"/>
      <c r="BQ116" s="98"/>
      <c r="BR116" s="98"/>
      <c r="BS116" s="98"/>
      <c r="BT116" s="98"/>
      <c r="BU116" s="98"/>
      <c r="BV116" s="98"/>
      <c r="BW116" s="98"/>
      <c r="BX116" s="98"/>
      <c r="BY116" s="98"/>
      <c r="BZ116" s="98"/>
      <c r="CA116" s="98"/>
      <c r="CB116" s="98"/>
      <c r="CC116" s="98"/>
      <c r="CD116" s="98"/>
      <c r="CE116" s="98"/>
      <c r="CF116" s="98"/>
      <c r="CG116" s="98"/>
      <c r="CH116" s="98"/>
      <c r="CI116" s="98"/>
      <c r="CJ116" s="98"/>
      <c r="CK116" s="98"/>
      <c r="CL116" s="98"/>
      <c r="CM116" s="98"/>
      <c r="CN116" s="98"/>
      <c r="CO116" s="98"/>
      <c r="CP116" s="98"/>
      <c r="CQ116" s="98"/>
      <c r="CR116" s="98"/>
      <c r="CS116" s="98"/>
      <c r="CT116" s="98"/>
      <c r="CU116" s="98"/>
      <c r="CV116" s="98"/>
      <c r="CW116" s="98"/>
      <c r="CX116" s="98"/>
      <c r="CY116" s="98"/>
      <c r="CZ116" s="98"/>
    </row>
    <row r="117" spans="1:104" x14ac:dyDescent="0.35">
      <c r="A117" s="113"/>
      <c r="B117" s="98"/>
      <c r="C117" s="98"/>
      <c r="D117" s="147" t="s">
        <v>178</v>
      </c>
      <c r="E117" s="402"/>
      <c r="F117" s="404"/>
      <c r="G117" s="404"/>
      <c r="H117" s="219"/>
      <c r="I117" s="219"/>
      <c r="J117" s="219"/>
      <c r="K117" s="219"/>
      <c r="L117" s="219"/>
      <c r="M117" s="219"/>
      <c r="N117" s="219"/>
      <c r="O117" s="219"/>
      <c r="P117" s="219"/>
      <c r="Q117" s="219"/>
      <c r="R117" s="219"/>
      <c r="S117" s="219"/>
      <c r="T117" s="219"/>
      <c r="U117" s="219"/>
      <c r="V117" s="219"/>
      <c r="W117" s="219"/>
      <c r="X117" s="219"/>
      <c r="Y117" s="219"/>
      <c r="Z117" s="219"/>
      <c r="AA117" s="219"/>
      <c r="AB117" s="219"/>
      <c r="AC117" s="219"/>
      <c r="AD117" s="219"/>
      <c r="AE117" s="219"/>
      <c r="AF117" s="219"/>
      <c r="AG117" s="219"/>
      <c r="AH117" s="219"/>
      <c r="AI117" s="219"/>
      <c r="AJ117" s="219"/>
      <c r="AK117" s="219"/>
      <c r="AL117" s="219"/>
      <c r="AM117" s="219"/>
      <c r="AN117" s="219"/>
      <c r="AO117" s="219"/>
      <c r="AP117" s="219"/>
      <c r="AQ117" s="219"/>
      <c r="AR117" s="219"/>
      <c r="AS117" s="219"/>
      <c r="AT117" s="219"/>
      <c r="AU117" s="219"/>
      <c r="AV117" s="219"/>
      <c r="AW117" s="219"/>
      <c r="AX117" s="219"/>
      <c r="AY117" s="219"/>
      <c r="AZ117" s="219"/>
      <c r="BA117" s="219"/>
      <c r="BB117" s="219"/>
      <c r="BC117" s="219"/>
      <c r="BD117" s="219"/>
      <c r="BE117" s="219"/>
      <c r="BF117" s="219"/>
      <c r="BG117" s="219"/>
      <c r="BH117" s="219"/>
      <c r="BI117" s="219"/>
      <c r="BJ117" s="219"/>
      <c r="BK117" s="219"/>
      <c r="BL117" s="219"/>
      <c r="BM117" s="219"/>
      <c r="BN117" s="219"/>
      <c r="BO117" s="219"/>
      <c r="BP117" s="219"/>
      <c r="BQ117" s="219"/>
      <c r="BR117" s="219"/>
      <c r="BS117" s="219"/>
      <c r="BT117" s="219"/>
      <c r="BU117" s="219"/>
      <c r="BV117" s="219"/>
      <c r="BW117" s="219"/>
      <c r="BX117" s="219"/>
      <c r="BY117" s="219"/>
      <c r="BZ117" s="219"/>
      <c r="CA117" s="219"/>
      <c r="CB117" s="219"/>
      <c r="CC117" s="219"/>
      <c r="CD117" s="219"/>
      <c r="CE117" s="219"/>
      <c r="CF117" s="219"/>
      <c r="CG117" s="219"/>
      <c r="CH117" s="219"/>
      <c r="CI117" s="219"/>
      <c r="CJ117" s="219"/>
      <c r="CK117" s="219"/>
      <c r="CL117" s="219"/>
      <c r="CM117" s="219"/>
      <c r="CN117" s="219"/>
      <c r="CO117" s="219"/>
      <c r="CP117" s="219"/>
      <c r="CQ117" s="219"/>
      <c r="CR117" s="219"/>
      <c r="CS117" s="219"/>
      <c r="CT117" s="219"/>
      <c r="CU117" s="219"/>
      <c r="CV117" s="219"/>
      <c r="CW117" s="219"/>
      <c r="CX117" s="219"/>
      <c r="CY117" s="219"/>
      <c r="CZ117" s="219"/>
    </row>
    <row r="118" spans="1:104" x14ac:dyDescent="0.35">
      <c r="A118" s="113"/>
      <c r="B118" s="98"/>
      <c r="C118" s="126">
        <f t="shared" ref="C118:C128" si="113">SUM(E118:CZ118)</f>
        <v>13295635.7816092</v>
      </c>
      <c r="D118" s="40" t="s">
        <v>16</v>
      </c>
      <c r="E118" s="130">
        <f t="shared" ref="E118:I123" si="114">IF(E$114&lt;=$E$61,$E88*F88,0)</f>
        <v>664781.78908045997</v>
      </c>
      <c r="F118" s="130">
        <f t="shared" si="114"/>
        <v>2659127.1563218399</v>
      </c>
      <c r="G118" s="130">
        <f t="shared" si="114"/>
        <v>4653472.5235632192</v>
      </c>
      <c r="H118" s="130">
        <f t="shared" si="114"/>
        <v>5318254.3126436798</v>
      </c>
      <c r="I118" s="130">
        <f t="shared" si="114"/>
        <v>0</v>
      </c>
      <c r="J118" s="130">
        <f t="shared" ref="J118:K123" si="115">IF(J$114&lt;=$E$61,$E88*L88,0)</f>
        <v>0</v>
      </c>
      <c r="K118" s="130">
        <f t="shared" si="115"/>
        <v>0</v>
      </c>
      <c r="L118" s="130">
        <f>IF(L$114&lt;=$E$61,$E88*#REF!,0)</f>
        <v>0</v>
      </c>
      <c r="M118" s="130">
        <f t="shared" ref="M118:AR118" si="116">IF(M$114&lt;=$E$61,$E88*N88,0)</f>
        <v>0</v>
      </c>
      <c r="N118" s="130">
        <f t="shared" si="116"/>
        <v>0</v>
      </c>
      <c r="O118" s="130">
        <f t="shared" si="116"/>
        <v>0</v>
      </c>
      <c r="P118" s="130">
        <f t="shared" si="116"/>
        <v>0</v>
      </c>
      <c r="Q118" s="130">
        <f t="shared" si="116"/>
        <v>0</v>
      </c>
      <c r="R118" s="130">
        <f t="shared" ref="R118:U123" si="117">IF(R$114&lt;=$E$61,$E88*W88,0)</f>
        <v>0</v>
      </c>
      <c r="S118" s="130">
        <f t="shared" si="117"/>
        <v>0</v>
      </c>
      <c r="T118" s="130">
        <f t="shared" si="117"/>
        <v>0</v>
      </c>
      <c r="U118" s="130">
        <f t="shared" si="117"/>
        <v>0</v>
      </c>
      <c r="V118" s="130">
        <f>IF(V$114&lt;=$E$61,$E88*#REF!,0)</f>
        <v>0</v>
      </c>
      <c r="W118" s="130">
        <f>IF(W$114&lt;=$E$61,$E88*#REF!,0)</f>
        <v>0</v>
      </c>
      <c r="X118" s="130">
        <f>IF(X$114&lt;=$E$61,$E88*#REF!,0)</f>
        <v>0</v>
      </c>
      <c r="Y118" s="130">
        <f>IF(Y$114&lt;=$E$61,$E88*#REF!,0)</f>
        <v>0</v>
      </c>
      <c r="Z118" s="130">
        <f t="shared" si="116"/>
        <v>0</v>
      </c>
      <c r="AA118" s="130">
        <f t="shared" si="116"/>
        <v>0</v>
      </c>
      <c r="AB118" s="130">
        <f t="shared" si="116"/>
        <v>0</v>
      </c>
      <c r="AC118" s="130">
        <f t="shared" si="116"/>
        <v>0</v>
      </c>
      <c r="AD118" s="130">
        <f t="shared" si="116"/>
        <v>0</v>
      </c>
      <c r="AE118" s="130">
        <f t="shared" si="116"/>
        <v>0</v>
      </c>
      <c r="AF118" s="130">
        <f t="shared" si="116"/>
        <v>0</v>
      </c>
      <c r="AG118" s="130">
        <f t="shared" si="116"/>
        <v>0</v>
      </c>
      <c r="AH118" s="130">
        <f t="shared" si="116"/>
        <v>0</v>
      </c>
      <c r="AI118" s="130">
        <f t="shared" si="116"/>
        <v>0</v>
      </c>
      <c r="AJ118" s="130">
        <f t="shared" si="116"/>
        <v>0</v>
      </c>
      <c r="AK118" s="130">
        <f t="shared" si="116"/>
        <v>0</v>
      </c>
      <c r="AL118" s="130">
        <f t="shared" si="116"/>
        <v>0</v>
      </c>
      <c r="AM118" s="130">
        <f t="shared" si="116"/>
        <v>0</v>
      </c>
      <c r="AN118" s="130">
        <f t="shared" si="116"/>
        <v>0</v>
      </c>
      <c r="AO118" s="130">
        <f t="shared" si="116"/>
        <v>0</v>
      </c>
      <c r="AP118" s="130">
        <f t="shared" si="116"/>
        <v>0</v>
      </c>
      <c r="AQ118" s="130">
        <f t="shared" si="116"/>
        <v>0</v>
      </c>
      <c r="AR118" s="130">
        <f t="shared" si="116"/>
        <v>0</v>
      </c>
      <c r="AS118" s="130">
        <f t="shared" ref="AS118:BX118" si="118">IF(AS$114&lt;=$E$61,$E88*AT88,0)</f>
        <v>0</v>
      </c>
      <c r="AT118" s="130">
        <f t="shared" si="118"/>
        <v>0</v>
      </c>
      <c r="AU118" s="130">
        <f t="shared" si="118"/>
        <v>0</v>
      </c>
      <c r="AV118" s="130">
        <f t="shared" si="118"/>
        <v>0</v>
      </c>
      <c r="AW118" s="130">
        <f t="shared" si="118"/>
        <v>0</v>
      </c>
      <c r="AX118" s="130">
        <f t="shared" si="118"/>
        <v>0</v>
      </c>
      <c r="AY118" s="130">
        <f t="shared" si="118"/>
        <v>0</v>
      </c>
      <c r="AZ118" s="130">
        <f t="shared" si="118"/>
        <v>0</v>
      </c>
      <c r="BA118" s="130">
        <f t="shared" si="118"/>
        <v>0</v>
      </c>
      <c r="BB118" s="130">
        <f t="shared" si="118"/>
        <v>0</v>
      </c>
      <c r="BC118" s="130">
        <f t="shared" si="118"/>
        <v>0</v>
      </c>
      <c r="BD118" s="130">
        <f t="shared" si="118"/>
        <v>0</v>
      </c>
      <c r="BE118" s="130">
        <f t="shared" si="118"/>
        <v>0</v>
      </c>
      <c r="BF118" s="130">
        <f t="shared" si="118"/>
        <v>0</v>
      </c>
      <c r="BG118" s="130">
        <f t="shared" si="118"/>
        <v>0</v>
      </c>
      <c r="BH118" s="130">
        <f t="shared" si="118"/>
        <v>0</v>
      </c>
      <c r="BI118" s="130">
        <f t="shared" si="118"/>
        <v>0</v>
      </c>
      <c r="BJ118" s="130">
        <f t="shared" si="118"/>
        <v>0</v>
      </c>
      <c r="BK118" s="130">
        <f t="shared" si="118"/>
        <v>0</v>
      </c>
      <c r="BL118" s="130">
        <f t="shared" si="118"/>
        <v>0</v>
      </c>
      <c r="BM118" s="130">
        <f t="shared" si="118"/>
        <v>0</v>
      </c>
      <c r="BN118" s="130">
        <f t="shared" si="118"/>
        <v>0</v>
      </c>
      <c r="BO118" s="130">
        <f t="shared" si="118"/>
        <v>0</v>
      </c>
      <c r="BP118" s="130">
        <f t="shared" si="118"/>
        <v>0</v>
      </c>
      <c r="BQ118" s="130">
        <f t="shared" si="118"/>
        <v>0</v>
      </c>
      <c r="BR118" s="130">
        <f t="shared" si="118"/>
        <v>0</v>
      </c>
      <c r="BS118" s="130">
        <f t="shared" si="118"/>
        <v>0</v>
      </c>
      <c r="BT118" s="130">
        <f t="shared" si="118"/>
        <v>0</v>
      </c>
      <c r="BU118" s="130">
        <f t="shared" si="118"/>
        <v>0</v>
      </c>
      <c r="BV118" s="130">
        <f t="shared" si="118"/>
        <v>0</v>
      </c>
      <c r="BW118" s="130">
        <f t="shared" si="118"/>
        <v>0</v>
      </c>
      <c r="BX118" s="130">
        <f t="shared" si="118"/>
        <v>0</v>
      </c>
      <c r="BY118" s="130">
        <f t="shared" ref="BY118:CZ118" si="119">IF(BY$114&lt;=$E$61,$E88*BZ88,0)</f>
        <v>0</v>
      </c>
      <c r="BZ118" s="130">
        <f t="shared" si="119"/>
        <v>0</v>
      </c>
      <c r="CA118" s="130">
        <f t="shared" si="119"/>
        <v>0</v>
      </c>
      <c r="CB118" s="130">
        <f t="shared" si="119"/>
        <v>0</v>
      </c>
      <c r="CC118" s="130">
        <f t="shared" si="119"/>
        <v>0</v>
      </c>
      <c r="CD118" s="130">
        <f t="shared" si="119"/>
        <v>0</v>
      </c>
      <c r="CE118" s="130">
        <f t="shared" si="119"/>
        <v>0</v>
      </c>
      <c r="CF118" s="130">
        <f t="shared" si="119"/>
        <v>0</v>
      </c>
      <c r="CG118" s="130">
        <f t="shared" si="119"/>
        <v>0</v>
      </c>
      <c r="CH118" s="130">
        <f t="shared" si="119"/>
        <v>0</v>
      </c>
      <c r="CI118" s="130">
        <f t="shared" si="119"/>
        <v>0</v>
      </c>
      <c r="CJ118" s="130">
        <f t="shared" si="119"/>
        <v>0</v>
      </c>
      <c r="CK118" s="130">
        <f t="shared" si="119"/>
        <v>0</v>
      </c>
      <c r="CL118" s="130">
        <f t="shared" si="119"/>
        <v>0</v>
      </c>
      <c r="CM118" s="130">
        <f t="shared" si="119"/>
        <v>0</v>
      </c>
      <c r="CN118" s="130">
        <f t="shared" si="119"/>
        <v>0</v>
      </c>
      <c r="CO118" s="130">
        <f t="shared" si="119"/>
        <v>0</v>
      </c>
      <c r="CP118" s="130">
        <f t="shared" si="119"/>
        <v>0</v>
      </c>
      <c r="CQ118" s="130">
        <f t="shared" si="119"/>
        <v>0</v>
      </c>
      <c r="CR118" s="130">
        <f t="shared" si="119"/>
        <v>0</v>
      </c>
      <c r="CS118" s="130">
        <f t="shared" si="119"/>
        <v>0</v>
      </c>
      <c r="CT118" s="130">
        <f t="shared" si="119"/>
        <v>0</v>
      </c>
      <c r="CU118" s="130">
        <f t="shared" si="119"/>
        <v>0</v>
      </c>
      <c r="CV118" s="130">
        <f t="shared" si="119"/>
        <v>0</v>
      </c>
      <c r="CW118" s="130">
        <f t="shared" si="119"/>
        <v>0</v>
      </c>
      <c r="CX118" s="130">
        <f t="shared" si="119"/>
        <v>0</v>
      </c>
      <c r="CY118" s="130">
        <f t="shared" si="119"/>
        <v>0</v>
      </c>
      <c r="CZ118" s="130">
        <f t="shared" si="119"/>
        <v>0</v>
      </c>
    </row>
    <row r="119" spans="1:104" x14ac:dyDescent="0.35">
      <c r="A119" s="113"/>
      <c r="B119" s="98"/>
      <c r="C119" s="126">
        <f t="shared" si="113"/>
        <v>39393721.238505751</v>
      </c>
      <c r="D119" s="40" t="s">
        <v>17</v>
      </c>
      <c r="E119" s="130">
        <f t="shared" si="114"/>
        <v>1969686.0619252876</v>
      </c>
      <c r="F119" s="130">
        <f t="shared" si="114"/>
        <v>7878744.2477011504</v>
      </c>
      <c r="G119" s="130">
        <f t="shared" si="114"/>
        <v>13787802.433477012</v>
      </c>
      <c r="H119" s="130">
        <f t="shared" si="114"/>
        <v>15757488.495402301</v>
      </c>
      <c r="I119" s="130">
        <f t="shared" si="114"/>
        <v>0</v>
      </c>
      <c r="J119" s="130">
        <f t="shared" si="115"/>
        <v>0</v>
      </c>
      <c r="K119" s="130">
        <f t="shared" si="115"/>
        <v>0</v>
      </c>
      <c r="L119" s="130">
        <f>IF(L$114&lt;=$E$61,$E89*#REF!,0)</f>
        <v>0</v>
      </c>
      <c r="M119" s="130">
        <f t="shared" ref="M119:AR119" si="120">IF(M$114&lt;=$E$61,$E89*N89,0)</f>
        <v>0</v>
      </c>
      <c r="N119" s="130">
        <f t="shared" si="120"/>
        <v>0</v>
      </c>
      <c r="O119" s="130">
        <f t="shared" si="120"/>
        <v>0</v>
      </c>
      <c r="P119" s="130">
        <f t="shared" si="120"/>
        <v>0</v>
      </c>
      <c r="Q119" s="130">
        <f t="shared" si="120"/>
        <v>0</v>
      </c>
      <c r="R119" s="130">
        <f t="shared" si="117"/>
        <v>0</v>
      </c>
      <c r="S119" s="130">
        <f t="shared" si="117"/>
        <v>0</v>
      </c>
      <c r="T119" s="130">
        <f t="shared" si="117"/>
        <v>0</v>
      </c>
      <c r="U119" s="130">
        <f t="shared" si="117"/>
        <v>0</v>
      </c>
      <c r="V119" s="130">
        <f>IF(V$114&lt;=$E$61,$E89*#REF!,0)</f>
        <v>0</v>
      </c>
      <c r="W119" s="130">
        <f>IF(W$114&lt;=$E$61,$E89*#REF!,0)</f>
        <v>0</v>
      </c>
      <c r="X119" s="130">
        <f>IF(X$114&lt;=$E$61,$E89*#REF!,0)</f>
        <v>0</v>
      </c>
      <c r="Y119" s="130">
        <f>IF(Y$114&lt;=$E$61,$E89*#REF!,0)</f>
        <v>0</v>
      </c>
      <c r="Z119" s="130">
        <f t="shared" si="120"/>
        <v>0</v>
      </c>
      <c r="AA119" s="130">
        <f t="shared" si="120"/>
        <v>0</v>
      </c>
      <c r="AB119" s="130">
        <f t="shared" si="120"/>
        <v>0</v>
      </c>
      <c r="AC119" s="130">
        <f t="shared" si="120"/>
        <v>0</v>
      </c>
      <c r="AD119" s="130">
        <f t="shared" si="120"/>
        <v>0</v>
      </c>
      <c r="AE119" s="130">
        <f t="shared" si="120"/>
        <v>0</v>
      </c>
      <c r="AF119" s="130">
        <f t="shared" si="120"/>
        <v>0</v>
      </c>
      <c r="AG119" s="130">
        <f t="shared" si="120"/>
        <v>0</v>
      </c>
      <c r="AH119" s="130">
        <f t="shared" si="120"/>
        <v>0</v>
      </c>
      <c r="AI119" s="130">
        <f t="shared" si="120"/>
        <v>0</v>
      </c>
      <c r="AJ119" s="130">
        <f t="shared" si="120"/>
        <v>0</v>
      </c>
      <c r="AK119" s="130">
        <f t="shared" si="120"/>
        <v>0</v>
      </c>
      <c r="AL119" s="130">
        <f t="shared" si="120"/>
        <v>0</v>
      </c>
      <c r="AM119" s="130">
        <f t="shared" si="120"/>
        <v>0</v>
      </c>
      <c r="AN119" s="130">
        <f t="shared" si="120"/>
        <v>0</v>
      </c>
      <c r="AO119" s="130">
        <f t="shared" si="120"/>
        <v>0</v>
      </c>
      <c r="AP119" s="130">
        <f t="shared" si="120"/>
        <v>0</v>
      </c>
      <c r="AQ119" s="130">
        <f t="shared" si="120"/>
        <v>0</v>
      </c>
      <c r="AR119" s="130">
        <f t="shared" si="120"/>
        <v>0</v>
      </c>
      <c r="AS119" s="130">
        <f t="shared" ref="AS119:BX119" si="121">IF(AS$114&lt;=$E$61,$E89*AT89,0)</f>
        <v>0</v>
      </c>
      <c r="AT119" s="130">
        <f t="shared" si="121"/>
        <v>0</v>
      </c>
      <c r="AU119" s="130">
        <f t="shared" si="121"/>
        <v>0</v>
      </c>
      <c r="AV119" s="130">
        <f t="shared" si="121"/>
        <v>0</v>
      </c>
      <c r="AW119" s="130">
        <f t="shared" si="121"/>
        <v>0</v>
      </c>
      <c r="AX119" s="130">
        <f t="shared" si="121"/>
        <v>0</v>
      </c>
      <c r="AY119" s="130">
        <f t="shared" si="121"/>
        <v>0</v>
      </c>
      <c r="AZ119" s="130">
        <f t="shared" si="121"/>
        <v>0</v>
      </c>
      <c r="BA119" s="130">
        <f t="shared" si="121"/>
        <v>0</v>
      </c>
      <c r="BB119" s="130">
        <f t="shared" si="121"/>
        <v>0</v>
      </c>
      <c r="BC119" s="130">
        <f t="shared" si="121"/>
        <v>0</v>
      </c>
      <c r="BD119" s="130">
        <f t="shared" si="121"/>
        <v>0</v>
      </c>
      <c r="BE119" s="130">
        <f t="shared" si="121"/>
        <v>0</v>
      </c>
      <c r="BF119" s="130">
        <f t="shared" si="121"/>
        <v>0</v>
      </c>
      <c r="BG119" s="130">
        <f t="shared" si="121"/>
        <v>0</v>
      </c>
      <c r="BH119" s="130">
        <f t="shared" si="121"/>
        <v>0</v>
      </c>
      <c r="BI119" s="130">
        <f t="shared" si="121"/>
        <v>0</v>
      </c>
      <c r="BJ119" s="130">
        <f t="shared" si="121"/>
        <v>0</v>
      </c>
      <c r="BK119" s="130">
        <f t="shared" si="121"/>
        <v>0</v>
      </c>
      <c r="BL119" s="130">
        <f t="shared" si="121"/>
        <v>0</v>
      </c>
      <c r="BM119" s="130">
        <f t="shared" si="121"/>
        <v>0</v>
      </c>
      <c r="BN119" s="130">
        <f t="shared" si="121"/>
        <v>0</v>
      </c>
      <c r="BO119" s="130">
        <f t="shared" si="121"/>
        <v>0</v>
      </c>
      <c r="BP119" s="130">
        <f t="shared" si="121"/>
        <v>0</v>
      </c>
      <c r="BQ119" s="130">
        <f t="shared" si="121"/>
        <v>0</v>
      </c>
      <c r="BR119" s="130">
        <f t="shared" si="121"/>
        <v>0</v>
      </c>
      <c r="BS119" s="130">
        <f t="shared" si="121"/>
        <v>0</v>
      </c>
      <c r="BT119" s="130">
        <f t="shared" si="121"/>
        <v>0</v>
      </c>
      <c r="BU119" s="130">
        <f t="shared" si="121"/>
        <v>0</v>
      </c>
      <c r="BV119" s="130">
        <f t="shared" si="121"/>
        <v>0</v>
      </c>
      <c r="BW119" s="130">
        <f t="shared" si="121"/>
        <v>0</v>
      </c>
      <c r="BX119" s="130">
        <f t="shared" si="121"/>
        <v>0</v>
      </c>
      <c r="BY119" s="130">
        <f t="shared" ref="BY119:CZ119" si="122">IF(BY$114&lt;=$E$61,$E89*BZ89,0)</f>
        <v>0</v>
      </c>
      <c r="BZ119" s="130">
        <f t="shared" si="122"/>
        <v>0</v>
      </c>
      <c r="CA119" s="130">
        <f t="shared" si="122"/>
        <v>0</v>
      </c>
      <c r="CB119" s="130">
        <f t="shared" si="122"/>
        <v>0</v>
      </c>
      <c r="CC119" s="130">
        <f t="shared" si="122"/>
        <v>0</v>
      </c>
      <c r="CD119" s="130">
        <f t="shared" si="122"/>
        <v>0</v>
      </c>
      <c r="CE119" s="130">
        <f t="shared" si="122"/>
        <v>0</v>
      </c>
      <c r="CF119" s="130">
        <f t="shared" si="122"/>
        <v>0</v>
      </c>
      <c r="CG119" s="130">
        <f t="shared" si="122"/>
        <v>0</v>
      </c>
      <c r="CH119" s="130">
        <f t="shared" si="122"/>
        <v>0</v>
      </c>
      <c r="CI119" s="130">
        <f t="shared" si="122"/>
        <v>0</v>
      </c>
      <c r="CJ119" s="130">
        <f t="shared" si="122"/>
        <v>0</v>
      </c>
      <c r="CK119" s="130">
        <f t="shared" si="122"/>
        <v>0</v>
      </c>
      <c r="CL119" s="130">
        <f t="shared" si="122"/>
        <v>0</v>
      </c>
      <c r="CM119" s="130">
        <f t="shared" si="122"/>
        <v>0</v>
      </c>
      <c r="CN119" s="130">
        <f t="shared" si="122"/>
        <v>0</v>
      </c>
      <c r="CO119" s="130">
        <f t="shared" si="122"/>
        <v>0</v>
      </c>
      <c r="CP119" s="130">
        <f t="shared" si="122"/>
        <v>0</v>
      </c>
      <c r="CQ119" s="130">
        <f t="shared" si="122"/>
        <v>0</v>
      </c>
      <c r="CR119" s="130">
        <f t="shared" si="122"/>
        <v>0</v>
      </c>
      <c r="CS119" s="130">
        <f t="shared" si="122"/>
        <v>0</v>
      </c>
      <c r="CT119" s="130">
        <f t="shared" si="122"/>
        <v>0</v>
      </c>
      <c r="CU119" s="130">
        <f t="shared" si="122"/>
        <v>0</v>
      </c>
      <c r="CV119" s="130">
        <f t="shared" si="122"/>
        <v>0</v>
      </c>
      <c r="CW119" s="130">
        <f t="shared" si="122"/>
        <v>0</v>
      </c>
      <c r="CX119" s="130">
        <f t="shared" si="122"/>
        <v>0</v>
      </c>
      <c r="CY119" s="130">
        <f t="shared" si="122"/>
        <v>0</v>
      </c>
      <c r="CZ119" s="130">
        <f t="shared" si="122"/>
        <v>0</v>
      </c>
    </row>
    <row r="120" spans="1:104" x14ac:dyDescent="0.35">
      <c r="A120" s="113"/>
      <c r="B120" s="98"/>
      <c r="C120" s="126">
        <f t="shared" si="113"/>
        <v>3791579.8297181511</v>
      </c>
      <c r="D120" s="68" t="s">
        <v>104</v>
      </c>
      <c r="E120" s="130">
        <f t="shared" si="114"/>
        <v>1895789.9148590756</v>
      </c>
      <c r="F120" s="130">
        <f t="shared" si="114"/>
        <v>1137473.9489154452</v>
      </c>
      <c r="G120" s="130">
        <f t="shared" si="114"/>
        <v>758315.96594363032</v>
      </c>
      <c r="H120" s="130">
        <f t="shared" si="114"/>
        <v>0</v>
      </c>
      <c r="I120" s="130">
        <f t="shared" si="114"/>
        <v>0</v>
      </c>
      <c r="J120" s="130">
        <f t="shared" si="115"/>
        <v>0</v>
      </c>
      <c r="K120" s="130">
        <f t="shared" si="115"/>
        <v>0</v>
      </c>
      <c r="L120" s="130">
        <f>IF(L$114&lt;=$E$61,$E90*#REF!,0)</f>
        <v>0</v>
      </c>
      <c r="M120" s="130">
        <f t="shared" ref="M120:AR120" si="123">IF(M$114&lt;=$E$61,$E90*N90,0)</f>
        <v>0</v>
      </c>
      <c r="N120" s="130">
        <f t="shared" si="123"/>
        <v>0</v>
      </c>
      <c r="O120" s="130">
        <f t="shared" si="123"/>
        <v>0</v>
      </c>
      <c r="P120" s="130">
        <f t="shared" si="123"/>
        <v>0</v>
      </c>
      <c r="Q120" s="130">
        <f t="shared" si="123"/>
        <v>0</v>
      </c>
      <c r="R120" s="130">
        <f t="shared" si="117"/>
        <v>0</v>
      </c>
      <c r="S120" s="130">
        <f t="shared" si="117"/>
        <v>0</v>
      </c>
      <c r="T120" s="130">
        <f t="shared" si="117"/>
        <v>0</v>
      </c>
      <c r="U120" s="130">
        <f t="shared" si="117"/>
        <v>0</v>
      </c>
      <c r="V120" s="130">
        <f>IF(V$114&lt;=$E$61,$E90*#REF!,0)</f>
        <v>0</v>
      </c>
      <c r="W120" s="130">
        <f>IF(W$114&lt;=$E$61,$E90*#REF!,0)</f>
        <v>0</v>
      </c>
      <c r="X120" s="130">
        <f>IF(X$114&lt;=$E$61,$E90*#REF!,0)</f>
        <v>0</v>
      </c>
      <c r="Y120" s="130">
        <f>IF(Y$114&lt;=$E$61,$E90*#REF!,0)</f>
        <v>0</v>
      </c>
      <c r="Z120" s="130">
        <f t="shared" si="123"/>
        <v>0</v>
      </c>
      <c r="AA120" s="130">
        <f t="shared" si="123"/>
        <v>0</v>
      </c>
      <c r="AB120" s="130">
        <f t="shared" si="123"/>
        <v>0</v>
      </c>
      <c r="AC120" s="130">
        <f t="shared" si="123"/>
        <v>0</v>
      </c>
      <c r="AD120" s="130">
        <f t="shared" si="123"/>
        <v>0</v>
      </c>
      <c r="AE120" s="130">
        <f t="shared" si="123"/>
        <v>0</v>
      </c>
      <c r="AF120" s="130">
        <f t="shared" si="123"/>
        <v>0</v>
      </c>
      <c r="AG120" s="130">
        <f t="shared" si="123"/>
        <v>0</v>
      </c>
      <c r="AH120" s="130">
        <f t="shared" si="123"/>
        <v>0</v>
      </c>
      <c r="AI120" s="130">
        <f t="shared" si="123"/>
        <v>0</v>
      </c>
      <c r="AJ120" s="130">
        <f t="shared" si="123"/>
        <v>0</v>
      </c>
      <c r="AK120" s="130">
        <f t="shared" si="123"/>
        <v>0</v>
      </c>
      <c r="AL120" s="130">
        <f t="shared" si="123"/>
        <v>0</v>
      </c>
      <c r="AM120" s="130">
        <f t="shared" si="123"/>
        <v>0</v>
      </c>
      <c r="AN120" s="130">
        <f t="shared" si="123"/>
        <v>0</v>
      </c>
      <c r="AO120" s="130">
        <f t="shared" si="123"/>
        <v>0</v>
      </c>
      <c r="AP120" s="130">
        <f t="shared" si="123"/>
        <v>0</v>
      </c>
      <c r="AQ120" s="130">
        <f t="shared" si="123"/>
        <v>0</v>
      </c>
      <c r="AR120" s="130">
        <f t="shared" si="123"/>
        <v>0</v>
      </c>
      <c r="AS120" s="130">
        <f t="shared" ref="AS120:BX120" si="124">IF(AS$114&lt;=$E$61,$E90*AT90,0)</f>
        <v>0</v>
      </c>
      <c r="AT120" s="130">
        <f t="shared" si="124"/>
        <v>0</v>
      </c>
      <c r="AU120" s="130">
        <f t="shared" si="124"/>
        <v>0</v>
      </c>
      <c r="AV120" s="130">
        <f t="shared" si="124"/>
        <v>0</v>
      </c>
      <c r="AW120" s="130">
        <f t="shared" si="124"/>
        <v>0</v>
      </c>
      <c r="AX120" s="130">
        <f t="shared" si="124"/>
        <v>0</v>
      </c>
      <c r="AY120" s="130">
        <f t="shared" si="124"/>
        <v>0</v>
      </c>
      <c r="AZ120" s="130">
        <f t="shared" si="124"/>
        <v>0</v>
      </c>
      <c r="BA120" s="130">
        <f t="shared" si="124"/>
        <v>0</v>
      </c>
      <c r="BB120" s="130">
        <f t="shared" si="124"/>
        <v>0</v>
      </c>
      <c r="BC120" s="130">
        <f t="shared" si="124"/>
        <v>0</v>
      </c>
      <c r="BD120" s="130">
        <f t="shared" si="124"/>
        <v>0</v>
      </c>
      <c r="BE120" s="130">
        <f t="shared" si="124"/>
        <v>0</v>
      </c>
      <c r="BF120" s="130">
        <f t="shared" si="124"/>
        <v>0</v>
      </c>
      <c r="BG120" s="130">
        <f t="shared" si="124"/>
        <v>0</v>
      </c>
      <c r="BH120" s="130">
        <f t="shared" si="124"/>
        <v>0</v>
      </c>
      <c r="BI120" s="130">
        <f t="shared" si="124"/>
        <v>0</v>
      </c>
      <c r="BJ120" s="130">
        <f t="shared" si="124"/>
        <v>0</v>
      </c>
      <c r="BK120" s="130">
        <f t="shared" si="124"/>
        <v>0</v>
      </c>
      <c r="BL120" s="130">
        <f t="shared" si="124"/>
        <v>0</v>
      </c>
      <c r="BM120" s="130">
        <f t="shared" si="124"/>
        <v>0</v>
      </c>
      <c r="BN120" s="130">
        <f t="shared" si="124"/>
        <v>0</v>
      </c>
      <c r="BO120" s="130">
        <f t="shared" si="124"/>
        <v>0</v>
      </c>
      <c r="BP120" s="130">
        <f t="shared" si="124"/>
        <v>0</v>
      </c>
      <c r="BQ120" s="130">
        <f t="shared" si="124"/>
        <v>0</v>
      </c>
      <c r="BR120" s="130">
        <f t="shared" si="124"/>
        <v>0</v>
      </c>
      <c r="BS120" s="130">
        <f t="shared" si="124"/>
        <v>0</v>
      </c>
      <c r="BT120" s="130">
        <f t="shared" si="124"/>
        <v>0</v>
      </c>
      <c r="BU120" s="130">
        <f t="shared" si="124"/>
        <v>0</v>
      </c>
      <c r="BV120" s="130">
        <f t="shared" si="124"/>
        <v>0</v>
      </c>
      <c r="BW120" s="130">
        <f t="shared" si="124"/>
        <v>0</v>
      </c>
      <c r="BX120" s="130">
        <f t="shared" si="124"/>
        <v>0</v>
      </c>
      <c r="BY120" s="130">
        <f t="shared" ref="BY120:CZ120" si="125">IF(BY$114&lt;=$E$61,$E90*BZ90,0)</f>
        <v>0</v>
      </c>
      <c r="BZ120" s="130">
        <f t="shared" si="125"/>
        <v>0</v>
      </c>
      <c r="CA120" s="130">
        <f t="shared" si="125"/>
        <v>0</v>
      </c>
      <c r="CB120" s="130">
        <f t="shared" si="125"/>
        <v>0</v>
      </c>
      <c r="CC120" s="130">
        <f t="shared" si="125"/>
        <v>0</v>
      </c>
      <c r="CD120" s="130">
        <f t="shared" si="125"/>
        <v>0</v>
      </c>
      <c r="CE120" s="130">
        <f t="shared" si="125"/>
        <v>0</v>
      </c>
      <c r="CF120" s="130">
        <f t="shared" si="125"/>
        <v>0</v>
      </c>
      <c r="CG120" s="130">
        <f t="shared" si="125"/>
        <v>0</v>
      </c>
      <c r="CH120" s="130">
        <f t="shared" si="125"/>
        <v>0</v>
      </c>
      <c r="CI120" s="130">
        <f t="shared" si="125"/>
        <v>0</v>
      </c>
      <c r="CJ120" s="130">
        <f t="shared" si="125"/>
        <v>0</v>
      </c>
      <c r="CK120" s="130">
        <f t="shared" si="125"/>
        <v>0</v>
      </c>
      <c r="CL120" s="130">
        <f t="shared" si="125"/>
        <v>0</v>
      </c>
      <c r="CM120" s="130">
        <f t="shared" si="125"/>
        <v>0</v>
      </c>
      <c r="CN120" s="130">
        <f t="shared" si="125"/>
        <v>0</v>
      </c>
      <c r="CO120" s="130">
        <f t="shared" si="125"/>
        <v>0</v>
      </c>
      <c r="CP120" s="130">
        <f t="shared" si="125"/>
        <v>0</v>
      </c>
      <c r="CQ120" s="130">
        <f t="shared" si="125"/>
        <v>0</v>
      </c>
      <c r="CR120" s="130">
        <f t="shared" si="125"/>
        <v>0</v>
      </c>
      <c r="CS120" s="130">
        <f t="shared" si="125"/>
        <v>0</v>
      </c>
      <c r="CT120" s="130">
        <f t="shared" si="125"/>
        <v>0</v>
      </c>
      <c r="CU120" s="130">
        <f t="shared" si="125"/>
        <v>0</v>
      </c>
      <c r="CV120" s="130">
        <f t="shared" si="125"/>
        <v>0</v>
      </c>
      <c r="CW120" s="130">
        <f t="shared" si="125"/>
        <v>0</v>
      </c>
      <c r="CX120" s="130">
        <f t="shared" si="125"/>
        <v>0</v>
      </c>
      <c r="CY120" s="130">
        <f t="shared" si="125"/>
        <v>0</v>
      </c>
      <c r="CZ120" s="130">
        <f t="shared" si="125"/>
        <v>0</v>
      </c>
    </row>
    <row r="121" spans="1:104" x14ac:dyDescent="0.35">
      <c r="A121" s="113"/>
      <c r="B121" s="98"/>
      <c r="C121" s="126">
        <f t="shared" si="113"/>
        <v>13575794.153982015</v>
      </c>
      <c r="D121" s="68" t="s">
        <v>55</v>
      </c>
      <c r="E121" s="130">
        <f t="shared" si="114"/>
        <v>3393948.5384955038</v>
      </c>
      <c r="F121" s="130">
        <f t="shared" si="114"/>
        <v>3393948.5384955038</v>
      </c>
      <c r="G121" s="130">
        <f t="shared" si="114"/>
        <v>3393948.5384955038</v>
      </c>
      <c r="H121" s="130">
        <f t="shared" si="114"/>
        <v>3393948.5384955038</v>
      </c>
      <c r="I121" s="130">
        <f t="shared" si="114"/>
        <v>0</v>
      </c>
      <c r="J121" s="130">
        <f t="shared" si="115"/>
        <v>0</v>
      </c>
      <c r="K121" s="130">
        <f t="shared" si="115"/>
        <v>0</v>
      </c>
      <c r="L121" s="130">
        <f>IF(L$114&lt;=$E$61,$E91*#REF!,0)</f>
        <v>0</v>
      </c>
      <c r="M121" s="130">
        <f t="shared" ref="M121:AR121" si="126">IF(M$114&lt;=$E$61,$E91*N91,0)</f>
        <v>0</v>
      </c>
      <c r="N121" s="130">
        <f t="shared" si="126"/>
        <v>0</v>
      </c>
      <c r="O121" s="130">
        <f t="shared" si="126"/>
        <v>0</v>
      </c>
      <c r="P121" s="130">
        <f t="shared" si="126"/>
        <v>0</v>
      </c>
      <c r="Q121" s="130">
        <f t="shared" si="126"/>
        <v>0</v>
      </c>
      <c r="R121" s="130">
        <f t="shared" si="117"/>
        <v>0</v>
      </c>
      <c r="S121" s="130">
        <f t="shared" si="117"/>
        <v>0</v>
      </c>
      <c r="T121" s="130">
        <f t="shared" si="117"/>
        <v>0</v>
      </c>
      <c r="U121" s="130">
        <f t="shared" si="117"/>
        <v>0</v>
      </c>
      <c r="V121" s="130">
        <f>IF(V$114&lt;=$E$61,$E91*#REF!,0)</f>
        <v>0</v>
      </c>
      <c r="W121" s="130">
        <f>IF(W$114&lt;=$E$61,$E91*#REF!,0)</f>
        <v>0</v>
      </c>
      <c r="X121" s="130">
        <f>IF(X$114&lt;=$E$61,$E91*#REF!,0)</f>
        <v>0</v>
      </c>
      <c r="Y121" s="130">
        <f>IF(Y$114&lt;=$E$61,$E91*#REF!,0)</f>
        <v>0</v>
      </c>
      <c r="Z121" s="130">
        <f t="shared" si="126"/>
        <v>0</v>
      </c>
      <c r="AA121" s="130">
        <f t="shared" si="126"/>
        <v>0</v>
      </c>
      <c r="AB121" s="130">
        <f t="shared" si="126"/>
        <v>0</v>
      </c>
      <c r="AC121" s="130">
        <f t="shared" si="126"/>
        <v>0</v>
      </c>
      <c r="AD121" s="130">
        <f t="shared" si="126"/>
        <v>0</v>
      </c>
      <c r="AE121" s="130">
        <f t="shared" si="126"/>
        <v>0</v>
      </c>
      <c r="AF121" s="130">
        <f t="shared" si="126"/>
        <v>0</v>
      </c>
      <c r="AG121" s="130">
        <f t="shared" si="126"/>
        <v>0</v>
      </c>
      <c r="AH121" s="130">
        <f t="shared" si="126"/>
        <v>0</v>
      </c>
      <c r="AI121" s="130">
        <f t="shared" si="126"/>
        <v>0</v>
      </c>
      <c r="AJ121" s="130">
        <f t="shared" si="126"/>
        <v>0</v>
      </c>
      <c r="AK121" s="130">
        <f t="shared" si="126"/>
        <v>0</v>
      </c>
      <c r="AL121" s="130">
        <f t="shared" si="126"/>
        <v>0</v>
      </c>
      <c r="AM121" s="130">
        <f t="shared" si="126"/>
        <v>0</v>
      </c>
      <c r="AN121" s="130">
        <f t="shared" si="126"/>
        <v>0</v>
      </c>
      <c r="AO121" s="130">
        <f t="shared" si="126"/>
        <v>0</v>
      </c>
      <c r="AP121" s="130">
        <f t="shared" si="126"/>
        <v>0</v>
      </c>
      <c r="AQ121" s="130">
        <f t="shared" si="126"/>
        <v>0</v>
      </c>
      <c r="AR121" s="130">
        <f t="shared" si="126"/>
        <v>0</v>
      </c>
      <c r="AS121" s="130">
        <f t="shared" ref="AS121:BX121" si="127">IF(AS$114&lt;=$E$61,$E91*AT91,0)</f>
        <v>0</v>
      </c>
      <c r="AT121" s="130">
        <f t="shared" si="127"/>
        <v>0</v>
      </c>
      <c r="AU121" s="130">
        <f t="shared" si="127"/>
        <v>0</v>
      </c>
      <c r="AV121" s="130">
        <f t="shared" si="127"/>
        <v>0</v>
      </c>
      <c r="AW121" s="130">
        <f t="shared" si="127"/>
        <v>0</v>
      </c>
      <c r="AX121" s="130">
        <f t="shared" si="127"/>
        <v>0</v>
      </c>
      <c r="AY121" s="130">
        <f t="shared" si="127"/>
        <v>0</v>
      </c>
      <c r="AZ121" s="130">
        <f t="shared" si="127"/>
        <v>0</v>
      </c>
      <c r="BA121" s="130">
        <f t="shared" si="127"/>
        <v>0</v>
      </c>
      <c r="BB121" s="130">
        <f t="shared" si="127"/>
        <v>0</v>
      </c>
      <c r="BC121" s="130">
        <f t="shared" si="127"/>
        <v>0</v>
      </c>
      <c r="BD121" s="130">
        <f t="shared" si="127"/>
        <v>0</v>
      </c>
      <c r="BE121" s="130">
        <f t="shared" si="127"/>
        <v>0</v>
      </c>
      <c r="BF121" s="130">
        <f t="shared" si="127"/>
        <v>0</v>
      </c>
      <c r="BG121" s="130">
        <f t="shared" si="127"/>
        <v>0</v>
      </c>
      <c r="BH121" s="130">
        <f t="shared" si="127"/>
        <v>0</v>
      </c>
      <c r="BI121" s="130">
        <f t="shared" si="127"/>
        <v>0</v>
      </c>
      <c r="BJ121" s="130">
        <f t="shared" si="127"/>
        <v>0</v>
      </c>
      <c r="BK121" s="130">
        <f t="shared" si="127"/>
        <v>0</v>
      </c>
      <c r="BL121" s="130">
        <f t="shared" si="127"/>
        <v>0</v>
      </c>
      <c r="BM121" s="130">
        <f t="shared" si="127"/>
        <v>0</v>
      </c>
      <c r="BN121" s="130">
        <f t="shared" si="127"/>
        <v>0</v>
      </c>
      <c r="BO121" s="130">
        <f t="shared" si="127"/>
        <v>0</v>
      </c>
      <c r="BP121" s="130">
        <f t="shared" si="127"/>
        <v>0</v>
      </c>
      <c r="BQ121" s="130">
        <f t="shared" si="127"/>
        <v>0</v>
      </c>
      <c r="BR121" s="130">
        <f t="shared" si="127"/>
        <v>0</v>
      </c>
      <c r="BS121" s="130">
        <f t="shared" si="127"/>
        <v>0</v>
      </c>
      <c r="BT121" s="130">
        <f t="shared" si="127"/>
        <v>0</v>
      </c>
      <c r="BU121" s="130">
        <f t="shared" si="127"/>
        <v>0</v>
      </c>
      <c r="BV121" s="130">
        <f t="shared" si="127"/>
        <v>0</v>
      </c>
      <c r="BW121" s="130">
        <f t="shared" si="127"/>
        <v>0</v>
      </c>
      <c r="BX121" s="130">
        <f t="shared" si="127"/>
        <v>0</v>
      </c>
      <c r="BY121" s="130">
        <f t="shared" ref="BY121:CZ121" si="128">IF(BY$114&lt;=$E$61,$E91*BZ91,0)</f>
        <v>0</v>
      </c>
      <c r="BZ121" s="130">
        <f t="shared" si="128"/>
        <v>0</v>
      </c>
      <c r="CA121" s="130">
        <f t="shared" si="128"/>
        <v>0</v>
      </c>
      <c r="CB121" s="130">
        <f t="shared" si="128"/>
        <v>0</v>
      </c>
      <c r="CC121" s="130">
        <f t="shared" si="128"/>
        <v>0</v>
      </c>
      <c r="CD121" s="130">
        <f t="shared" si="128"/>
        <v>0</v>
      </c>
      <c r="CE121" s="130">
        <f t="shared" si="128"/>
        <v>0</v>
      </c>
      <c r="CF121" s="130">
        <f t="shared" si="128"/>
        <v>0</v>
      </c>
      <c r="CG121" s="130">
        <f t="shared" si="128"/>
        <v>0</v>
      </c>
      <c r="CH121" s="130">
        <f t="shared" si="128"/>
        <v>0</v>
      </c>
      <c r="CI121" s="130">
        <f t="shared" si="128"/>
        <v>0</v>
      </c>
      <c r="CJ121" s="130">
        <f t="shared" si="128"/>
        <v>0</v>
      </c>
      <c r="CK121" s="130">
        <f t="shared" si="128"/>
        <v>0</v>
      </c>
      <c r="CL121" s="130">
        <f t="shared" si="128"/>
        <v>0</v>
      </c>
      <c r="CM121" s="130">
        <f t="shared" si="128"/>
        <v>0</v>
      </c>
      <c r="CN121" s="130">
        <f t="shared" si="128"/>
        <v>0</v>
      </c>
      <c r="CO121" s="130">
        <f t="shared" si="128"/>
        <v>0</v>
      </c>
      <c r="CP121" s="130">
        <f t="shared" si="128"/>
        <v>0</v>
      </c>
      <c r="CQ121" s="130">
        <f t="shared" si="128"/>
        <v>0</v>
      </c>
      <c r="CR121" s="130">
        <f t="shared" si="128"/>
        <v>0</v>
      </c>
      <c r="CS121" s="130">
        <f t="shared" si="128"/>
        <v>0</v>
      </c>
      <c r="CT121" s="130">
        <f t="shared" si="128"/>
        <v>0</v>
      </c>
      <c r="CU121" s="130">
        <f t="shared" si="128"/>
        <v>0</v>
      </c>
      <c r="CV121" s="130">
        <f t="shared" si="128"/>
        <v>0</v>
      </c>
      <c r="CW121" s="130">
        <f t="shared" si="128"/>
        <v>0</v>
      </c>
      <c r="CX121" s="130">
        <f t="shared" si="128"/>
        <v>0</v>
      </c>
      <c r="CY121" s="130">
        <f t="shared" si="128"/>
        <v>0</v>
      </c>
      <c r="CZ121" s="130">
        <f t="shared" si="128"/>
        <v>0</v>
      </c>
    </row>
    <row r="122" spans="1:104" x14ac:dyDescent="0.35">
      <c r="A122" s="113"/>
      <c r="B122" s="98"/>
      <c r="C122" s="126">
        <f t="shared" si="113"/>
        <v>1244743.6589314623</v>
      </c>
      <c r="D122" s="220" t="s">
        <v>244</v>
      </c>
      <c r="E122" s="130">
        <f t="shared" si="114"/>
        <v>0</v>
      </c>
      <c r="F122" s="130">
        <f t="shared" si="114"/>
        <v>124474.36589314624</v>
      </c>
      <c r="G122" s="130">
        <f t="shared" si="114"/>
        <v>248948.73178629248</v>
      </c>
      <c r="H122" s="130">
        <f t="shared" si="114"/>
        <v>871320.56125202356</v>
      </c>
      <c r="I122" s="130">
        <f t="shared" si="114"/>
        <v>0</v>
      </c>
      <c r="J122" s="130">
        <f t="shared" si="115"/>
        <v>0</v>
      </c>
      <c r="K122" s="130">
        <f t="shared" si="115"/>
        <v>0</v>
      </c>
      <c r="L122" s="130">
        <f>IF(L$114&lt;=$E$61,$E92*#REF!,0)</f>
        <v>0</v>
      </c>
      <c r="M122" s="130">
        <f t="shared" ref="M122:AR122" si="129">IF(M$114&lt;=$E$61,$E92*N92,0)</f>
        <v>0</v>
      </c>
      <c r="N122" s="130">
        <f t="shared" si="129"/>
        <v>0</v>
      </c>
      <c r="O122" s="130">
        <f t="shared" si="129"/>
        <v>0</v>
      </c>
      <c r="P122" s="130">
        <f t="shared" si="129"/>
        <v>0</v>
      </c>
      <c r="Q122" s="130">
        <f t="shared" si="129"/>
        <v>0</v>
      </c>
      <c r="R122" s="130">
        <f t="shared" si="117"/>
        <v>0</v>
      </c>
      <c r="S122" s="130">
        <f t="shared" si="117"/>
        <v>0</v>
      </c>
      <c r="T122" s="130">
        <f t="shared" si="117"/>
        <v>0</v>
      </c>
      <c r="U122" s="130">
        <f t="shared" si="117"/>
        <v>0</v>
      </c>
      <c r="V122" s="130">
        <f>IF(V$114&lt;=$E$61,$E92*#REF!,0)</f>
        <v>0</v>
      </c>
      <c r="W122" s="130">
        <f>IF(W$114&lt;=$E$61,$E92*#REF!,0)</f>
        <v>0</v>
      </c>
      <c r="X122" s="130">
        <f>IF(X$114&lt;=$E$61,$E92*#REF!,0)</f>
        <v>0</v>
      </c>
      <c r="Y122" s="130">
        <f>IF(Y$114&lt;=$E$61,$E92*#REF!,0)</f>
        <v>0</v>
      </c>
      <c r="Z122" s="130">
        <f t="shared" si="129"/>
        <v>0</v>
      </c>
      <c r="AA122" s="130">
        <f t="shared" si="129"/>
        <v>0</v>
      </c>
      <c r="AB122" s="130">
        <f t="shared" si="129"/>
        <v>0</v>
      </c>
      <c r="AC122" s="130">
        <f t="shared" si="129"/>
        <v>0</v>
      </c>
      <c r="AD122" s="130">
        <f t="shared" si="129"/>
        <v>0</v>
      </c>
      <c r="AE122" s="130">
        <f t="shared" si="129"/>
        <v>0</v>
      </c>
      <c r="AF122" s="130">
        <f t="shared" si="129"/>
        <v>0</v>
      </c>
      <c r="AG122" s="130">
        <f t="shared" si="129"/>
        <v>0</v>
      </c>
      <c r="AH122" s="130">
        <f t="shared" si="129"/>
        <v>0</v>
      </c>
      <c r="AI122" s="130">
        <f t="shared" si="129"/>
        <v>0</v>
      </c>
      <c r="AJ122" s="130">
        <f t="shared" si="129"/>
        <v>0</v>
      </c>
      <c r="AK122" s="130">
        <f t="shared" si="129"/>
        <v>0</v>
      </c>
      <c r="AL122" s="130">
        <f t="shared" si="129"/>
        <v>0</v>
      </c>
      <c r="AM122" s="130">
        <f t="shared" si="129"/>
        <v>0</v>
      </c>
      <c r="AN122" s="130">
        <f t="shared" si="129"/>
        <v>0</v>
      </c>
      <c r="AO122" s="130">
        <f t="shared" si="129"/>
        <v>0</v>
      </c>
      <c r="AP122" s="130">
        <f t="shared" si="129"/>
        <v>0</v>
      </c>
      <c r="AQ122" s="130">
        <f t="shared" si="129"/>
        <v>0</v>
      </c>
      <c r="AR122" s="130">
        <f t="shared" si="129"/>
        <v>0</v>
      </c>
      <c r="AS122" s="130">
        <f t="shared" ref="AS122:BX122" si="130">IF(AS$114&lt;=$E$61,$E92*AT92,0)</f>
        <v>0</v>
      </c>
      <c r="AT122" s="130">
        <f t="shared" si="130"/>
        <v>0</v>
      </c>
      <c r="AU122" s="130">
        <f t="shared" si="130"/>
        <v>0</v>
      </c>
      <c r="AV122" s="130">
        <f t="shared" si="130"/>
        <v>0</v>
      </c>
      <c r="AW122" s="130">
        <f t="shared" si="130"/>
        <v>0</v>
      </c>
      <c r="AX122" s="130">
        <f t="shared" si="130"/>
        <v>0</v>
      </c>
      <c r="AY122" s="130">
        <f t="shared" si="130"/>
        <v>0</v>
      </c>
      <c r="AZ122" s="130">
        <f t="shared" si="130"/>
        <v>0</v>
      </c>
      <c r="BA122" s="130">
        <f t="shared" si="130"/>
        <v>0</v>
      </c>
      <c r="BB122" s="130">
        <f t="shared" si="130"/>
        <v>0</v>
      </c>
      <c r="BC122" s="130">
        <f t="shared" si="130"/>
        <v>0</v>
      </c>
      <c r="BD122" s="130">
        <f t="shared" si="130"/>
        <v>0</v>
      </c>
      <c r="BE122" s="130">
        <f t="shared" si="130"/>
        <v>0</v>
      </c>
      <c r="BF122" s="130">
        <f t="shared" si="130"/>
        <v>0</v>
      </c>
      <c r="BG122" s="130">
        <f t="shared" si="130"/>
        <v>0</v>
      </c>
      <c r="BH122" s="130">
        <f t="shared" si="130"/>
        <v>0</v>
      </c>
      <c r="BI122" s="130">
        <f t="shared" si="130"/>
        <v>0</v>
      </c>
      <c r="BJ122" s="130">
        <f t="shared" si="130"/>
        <v>0</v>
      </c>
      <c r="BK122" s="130">
        <f t="shared" si="130"/>
        <v>0</v>
      </c>
      <c r="BL122" s="130">
        <f t="shared" si="130"/>
        <v>0</v>
      </c>
      <c r="BM122" s="130">
        <f t="shared" si="130"/>
        <v>0</v>
      </c>
      <c r="BN122" s="130">
        <f t="shared" si="130"/>
        <v>0</v>
      </c>
      <c r="BO122" s="130">
        <f t="shared" si="130"/>
        <v>0</v>
      </c>
      <c r="BP122" s="130">
        <f t="shared" si="130"/>
        <v>0</v>
      </c>
      <c r="BQ122" s="130">
        <f t="shared" si="130"/>
        <v>0</v>
      </c>
      <c r="BR122" s="130">
        <f t="shared" si="130"/>
        <v>0</v>
      </c>
      <c r="BS122" s="130">
        <f t="shared" si="130"/>
        <v>0</v>
      </c>
      <c r="BT122" s="130">
        <f t="shared" si="130"/>
        <v>0</v>
      </c>
      <c r="BU122" s="130">
        <f t="shared" si="130"/>
        <v>0</v>
      </c>
      <c r="BV122" s="130">
        <f t="shared" si="130"/>
        <v>0</v>
      </c>
      <c r="BW122" s="130">
        <f t="shared" si="130"/>
        <v>0</v>
      </c>
      <c r="BX122" s="130">
        <f t="shared" si="130"/>
        <v>0</v>
      </c>
      <c r="BY122" s="130">
        <f t="shared" ref="BY122:CZ122" si="131">IF(BY$114&lt;=$E$61,$E92*BZ92,0)</f>
        <v>0</v>
      </c>
      <c r="BZ122" s="130">
        <f t="shared" si="131"/>
        <v>0</v>
      </c>
      <c r="CA122" s="130">
        <f t="shared" si="131"/>
        <v>0</v>
      </c>
      <c r="CB122" s="130">
        <f t="shared" si="131"/>
        <v>0</v>
      </c>
      <c r="CC122" s="130">
        <f t="shared" si="131"/>
        <v>0</v>
      </c>
      <c r="CD122" s="130">
        <f t="shared" si="131"/>
        <v>0</v>
      </c>
      <c r="CE122" s="130">
        <f t="shared" si="131"/>
        <v>0</v>
      </c>
      <c r="CF122" s="130">
        <f t="shared" si="131"/>
        <v>0</v>
      </c>
      <c r="CG122" s="130">
        <f t="shared" si="131"/>
        <v>0</v>
      </c>
      <c r="CH122" s="130">
        <f t="shared" si="131"/>
        <v>0</v>
      </c>
      <c r="CI122" s="130">
        <f t="shared" si="131"/>
        <v>0</v>
      </c>
      <c r="CJ122" s="130">
        <f t="shared" si="131"/>
        <v>0</v>
      </c>
      <c r="CK122" s="130">
        <f t="shared" si="131"/>
        <v>0</v>
      </c>
      <c r="CL122" s="130">
        <f t="shared" si="131"/>
        <v>0</v>
      </c>
      <c r="CM122" s="130">
        <f t="shared" si="131"/>
        <v>0</v>
      </c>
      <c r="CN122" s="130">
        <f t="shared" si="131"/>
        <v>0</v>
      </c>
      <c r="CO122" s="130">
        <f t="shared" si="131"/>
        <v>0</v>
      </c>
      <c r="CP122" s="130">
        <f t="shared" si="131"/>
        <v>0</v>
      </c>
      <c r="CQ122" s="130">
        <f t="shared" si="131"/>
        <v>0</v>
      </c>
      <c r="CR122" s="130">
        <f t="shared" si="131"/>
        <v>0</v>
      </c>
      <c r="CS122" s="130">
        <f t="shared" si="131"/>
        <v>0</v>
      </c>
      <c r="CT122" s="130">
        <f t="shared" si="131"/>
        <v>0</v>
      </c>
      <c r="CU122" s="130">
        <f t="shared" si="131"/>
        <v>0</v>
      </c>
      <c r="CV122" s="130">
        <f t="shared" si="131"/>
        <v>0</v>
      </c>
      <c r="CW122" s="130">
        <f t="shared" si="131"/>
        <v>0</v>
      </c>
      <c r="CX122" s="130">
        <f t="shared" si="131"/>
        <v>0</v>
      </c>
      <c r="CY122" s="130">
        <f t="shared" si="131"/>
        <v>0</v>
      </c>
      <c r="CZ122" s="130">
        <f t="shared" si="131"/>
        <v>0</v>
      </c>
    </row>
    <row r="123" spans="1:104" x14ac:dyDescent="0.35">
      <c r="A123" s="113"/>
      <c r="B123" s="98"/>
      <c r="C123" s="126">
        <f t="shared" si="113"/>
        <v>111907.19131614653</v>
      </c>
      <c r="D123" s="220" t="s">
        <v>242</v>
      </c>
      <c r="E123" s="130">
        <f>IF(E$114&lt;=$E$61,$E93*F93,0)</f>
        <v>0</v>
      </c>
      <c r="F123" s="130">
        <f t="shared" si="114"/>
        <v>11190.719131614655</v>
      </c>
      <c r="G123" s="130">
        <f t="shared" si="114"/>
        <v>22381.438263229309</v>
      </c>
      <c r="H123" s="130">
        <f t="shared" si="114"/>
        <v>78335.033921302573</v>
      </c>
      <c r="I123" s="130">
        <f t="shared" si="114"/>
        <v>0</v>
      </c>
      <c r="J123" s="130">
        <f t="shared" si="115"/>
        <v>0</v>
      </c>
      <c r="K123" s="130">
        <f t="shared" si="115"/>
        <v>0</v>
      </c>
      <c r="L123" s="130">
        <f>IF(L$114&lt;=$E$61,$E93*#REF!,0)</f>
        <v>0</v>
      </c>
      <c r="M123" s="130">
        <f t="shared" ref="M123:AR123" si="132">IF(M$114&lt;=$E$61,$E93*N93,0)</f>
        <v>0</v>
      </c>
      <c r="N123" s="130">
        <f t="shared" si="132"/>
        <v>0</v>
      </c>
      <c r="O123" s="130">
        <f t="shared" si="132"/>
        <v>0</v>
      </c>
      <c r="P123" s="130">
        <f t="shared" si="132"/>
        <v>0</v>
      </c>
      <c r="Q123" s="130">
        <f t="shared" si="132"/>
        <v>0</v>
      </c>
      <c r="R123" s="130">
        <f t="shared" si="117"/>
        <v>0</v>
      </c>
      <c r="S123" s="130">
        <f t="shared" si="117"/>
        <v>0</v>
      </c>
      <c r="T123" s="130">
        <f t="shared" si="117"/>
        <v>0</v>
      </c>
      <c r="U123" s="130">
        <f t="shared" si="117"/>
        <v>0</v>
      </c>
      <c r="V123" s="130">
        <f>IF(V$114&lt;=$E$61,$E93*#REF!,0)</f>
        <v>0</v>
      </c>
      <c r="W123" s="130">
        <f>IF(W$114&lt;=$E$61,$E93*#REF!,0)</f>
        <v>0</v>
      </c>
      <c r="X123" s="130">
        <f>IF(X$114&lt;=$E$61,$E93*#REF!,0)</f>
        <v>0</v>
      </c>
      <c r="Y123" s="130">
        <f>IF(Y$114&lt;=$E$61,$E93*#REF!,0)</f>
        <v>0</v>
      </c>
      <c r="Z123" s="130">
        <f t="shared" si="132"/>
        <v>0</v>
      </c>
      <c r="AA123" s="130">
        <f t="shared" si="132"/>
        <v>0</v>
      </c>
      <c r="AB123" s="130">
        <f t="shared" si="132"/>
        <v>0</v>
      </c>
      <c r="AC123" s="130">
        <f t="shared" si="132"/>
        <v>0</v>
      </c>
      <c r="AD123" s="130">
        <f t="shared" si="132"/>
        <v>0</v>
      </c>
      <c r="AE123" s="130">
        <f t="shared" si="132"/>
        <v>0</v>
      </c>
      <c r="AF123" s="130">
        <f t="shared" si="132"/>
        <v>0</v>
      </c>
      <c r="AG123" s="130">
        <f t="shared" si="132"/>
        <v>0</v>
      </c>
      <c r="AH123" s="130">
        <f t="shared" si="132"/>
        <v>0</v>
      </c>
      <c r="AI123" s="130">
        <f t="shared" si="132"/>
        <v>0</v>
      </c>
      <c r="AJ123" s="130">
        <f t="shared" si="132"/>
        <v>0</v>
      </c>
      <c r="AK123" s="130">
        <f t="shared" si="132"/>
        <v>0</v>
      </c>
      <c r="AL123" s="130">
        <f t="shared" si="132"/>
        <v>0</v>
      </c>
      <c r="AM123" s="130">
        <f t="shared" si="132"/>
        <v>0</v>
      </c>
      <c r="AN123" s="130">
        <f t="shared" si="132"/>
        <v>0</v>
      </c>
      <c r="AO123" s="130">
        <f t="shared" si="132"/>
        <v>0</v>
      </c>
      <c r="AP123" s="130">
        <f t="shared" si="132"/>
        <v>0</v>
      </c>
      <c r="AQ123" s="130">
        <f t="shared" si="132"/>
        <v>0</v>
      </c>
      <c r="AR123" s="130">
        <f t="shared" si="132"/>
        <v>0</v>
      </c>
      <c r="AS123" s="130">
        <f t="shared" ref="AS123:BX124" si="133">IF(AS$114&lt;=$E$61,$E93*AT93,0)</f>
        <v>0</v>
      </c>
      <c r="AT123" s="130">
        <f t="shared" si="133"/>
        <v>0</v>
      </c>
      <c r="AU123" s="130">
        <f t="shared" si="133"/>
        <v>0</v>
      </c>
      <c r="AV123" s="130">
        <f t="shared" si="133"/>
        <v>0</v>
      </c>
      <c r="AW123" s="130">
        <f t="shared" si="133"/>
        <v>0</v>
      </c>
      <c r="AX123" s="130">
        <f t="shared" si="133"/>
        <v>0</v>
      </c>
      <c r="AY123" s="130">
        <f t="shared" si="133"/>
        <v>0</v>
      </c>
      <c r="AZ123" s="130">
        <f t="shared" si="133"/>
        <v>0</v>
      </c>
      <c r="BA123" s="130">
        <f t="shared" si="133"/>
        <v>0</v>
      </c>
      <c r="BB123" s="130">
        <f t="shared" si="133"/>
        <v>0</v>
      </c>
      <c r="BC123" s="130">
        <f t="shared" si="133"/>
        <v>0</v>
      </c>
      <c r="BD123" s="130">
        <f t="shared" si="133"/>
        <v>0</v>
      </c>
      <c r="BE123" s="130">
        <f t="shared" si="133"/>
        <v>0</v>
      </c>
      <c r="BF123" s="130">
        <f t="shared" si="133"/>
        <v>0</v>
      </c>
      <c r="BG123" s="130">
        <f t="shared" si="133"/>
        <v>0</v>
      </c>
      <c r="BH123" s="130">
        <f t="shared" si="133"/>
        <v>0</v>
      </c>
      <c r="BI123" s="130">
        <f t="shared" si="133"/>
        <v>0</v>
      </c>
      <c r="BJ123" s="130">
        <f t="shared" si="133"/>
        <v>0</v>
      </c>
      <c r="BK123" s="130">
        <f t="shared" si="133"/>
        <v>0</v>
      </c>
      <c r="BL123" s="130">
        <f t="shared" si="133"/>
        <v>0</v>
      </c>
      <c r="BM123" s="130">
        <f t="shared" si="133"/>
        <v>0</v>
      </c>
      <c r="BN123" s="130">
        <f t="shared" si="133"/>
        <v>0</v>
      </c>
      <c r="BO123" s="130">
        <f t="shared" si="133"/>
        <v>0</v>
      </c>
      <c r="BP123" s="130">
        <f t="shared" si="133"/>
        <v>0</v>
      </c>
      <c r="BQ123" s="130">
        <f t="shared" si="133"/>
        <v>0</v>
      </c>
      <c r="BR123" s="130">
        <f t="shared" si="133"/>
        <v>0</v>
      </c>
      <c r="BS123" s="130">
        <f t="shared" si="133"/>
        <v>0</v>
      </c>
      <c r="BT123" s="130">
        <f t="shared" si="133"/>
        <v>0</v>
      </c>
      <c r="BU123" s="130">
        <f t="shared" si="133"/>
        <v>0</v>
      </c>
      <c r="BV123" s="130">
        <f t="shared" si="133"/>
        <v>0</v>
      </c>
      <c r="BW123" s="130">
        <f t="shared" si="133"/>
        <v>0</v>
      </c>
      <c r="BX123" s="130">
        <f t="shared" si="133"/>
        <v>0</v>
      </c>
      <c r="BY123" s="130">
        <f t="shared" ref="BY123:CZ124" si="134">IF(BY$114&lt;=$E$61,$E93*BZ93,0)</f>
        <v>0</v>
      </c>
      <c r="BZ123" s="130">
        <f t="shared" si="134"/>
        <v>0</v>
      </c>
      <c r="CA123" s="130">
        <f t="shared" si="134"/>
        <v>0</v>
      </c>
      <c r="CB123" s="130">
        <f t="shared" si="134"/>
        <v>0</v>
      </c>
      <c r="CC123" s="130">
        <f t="shared" si="134"/>
        <v>0</v>
      </c>
      <c r="CD123" s="130">
        <f t="shared" si="134"/>
        <v>0</v>
      </c>
      <c r="CE123" s="130">
        <f t="shared" si="134"/>
        <v>0</v>
      </c>
      <c r="CF123" s="130">
        <f t="shared" si="134"/>
        <v>0</v>
      </c>
      <c r="CG123" s="130">
        <f t="shared" si="134"/>
        <v>0</v>
      </c>
      <c r="CH123" s="130">
        <f t="shared" si="134"/>
        <v>0</v>
      </c>
      <c r="CI123" s="130">
        <f t="shared" si="134"/>
        <v>0</v>
      </c>
      <c r="CJ123" s="130">
        <f t="shared" si="134"/>
        <v>0</v>
      </c>
      <c r="CK123" s="130">
        <f t="shared" si="134"/>
        <v>0</v>
      </c>
      <c r="CL123" s="130">
        <f t="shared" si="134"/>
        <v>0</v>
      </c>
      <c r="CM123" s="130">
        <f t="shared" si="134"/>
        <v>0</v>
      </c>
      <c r="CN123" s="130">
        <f t="shared" si="134"/>
        <v>0</v>
      </c>
      <c r="CO123" s="130">
        <f t="shared" si="134"/>
        <v>0</v>
      </c>
      <c r="CP123" s="130">
        <f t="shared" si="134"/>
        <v>0</v>
      </c>
      <c r="CQ123" s="130">
        <f t="shared" si="134"/>
        <v>0</v>
      </c>
      <c r="CR123" s="130">
        <f t="shared" si="134"/>
        <v>0</v>
      </c>
      <c r="CS123" s="130">
        <f t="shared" si="134"/>
        <v>0</v>
      </c>
      <c r="CT123" s="130">
        <f t="shared" si="134"/>
        <v>0</v>
      </c>
      <c r="CU123" s="130">
        <f t="shared" si="134"/>
        <v>0</v>
      </c>
      <c r="CV123" s="130">
        <f t="shared" si="134"/>
        <v>0</v>
      </c>
      <c r="CW123" s="130">
        <f t="shared" si="134"/>
        <v>0</v>
      </c>
      <c r="CX123" s="130">
        <f t="shared" si="134"/>
        <v>0</v>
      </c>
      <c r="CY123" s="130">
        <f t="shared" si="134"/>
        <v>0</v>
      </c>
      <c r="CZ123" s="130">
        <f t="shared" si="134"/>
        <v>0</v>
      </c>
    </row>
    <row r="124" spans="1:104" x14ac:dyDescent="0.35">
      <c r="A124" s="113"/>
      <c r="B124" s="98"/>
      <c r="C124" s="126">
        <f t="shared" si="113"/>
        <v>1873261.1602852279</v>
      </c>
      <c r="D124" s="573" t="s">
        <v>171</v>
      </c>
      <c r="E124" s="130">
        <f>IF(E$114&lt;=$E$61,$E94*F94,0)</f>
        <v>0</v>
      </c>
      <c r="F124" s="130">
        <f>IF(F$114&lt;=$E$61,$E94*G94,0)</f>
        <v>280989.1740427842</v>
      </c>
      <c r="G124" s="130">
        <f>IF(G$114&lt;=$E$61,$E94*H94,0)</f>
        <v>468315.29007130698</v>
      </c>
      <c r="H124" s="130">
        <f>IF(H$114&lt;=$E$61,$E94*I94,0)</f>
        <v>1123956.6961711368</v>
      </c>
      <c r="I124" s="130">
        <f t="shared" ref="I124:BT124" si="135">IF(I$114&lt;=$E$61,$E94*J94,0)</f>
        <v>0</v>
      </c>
      <c r="J124" s="130">
        <f t="shared" si="135"/>
        <v>0</v>
      </c>
      <c r="K124" s="130">
        <f t="shared" si="135"/>
        <v>0</v>
      </c>
      <c r="L124" s="130">
        <f t="shared" si="135"/>
        <v>0</v>
      </c>
      <c r="M124" s="130">
        <f t="shared" si="135"/>
        <v>0</v>
      </c>
      <c r="N124" s="130">
        <f t="shared" si="135"/>
        <v>0</v>
      </c>
      <c r="O124" s="130">
        <f t="shared" si="135"/>
        <v>0</v>
      </c>
      <c r="P124" s="130">
        <f t="shared" si="135"/>
        <v>0</v>
      </c>
      <c r="Q124" s="130">
        <f t="shared" si="135"/>
        <v>0</v>
      </c>
      <c r="R124" s="130">
        <f t="shared" si="135"/>
        <v>0</v>
      </c>
      <c r="S124" s="130">
        <f t="shared" si="135"/>
        <v>0</v>
      </c>
      <c r="T124" s="130">
        <f t="shared" si="135"/>
        <v>0</v>
      </c>
      <c r="U124" s="130">
        <f t="shared" si="135"/>
        <v>0</v>
      </c>
      <c r="V124" s="130">
        <f t="shared" si="135"/>
        <v>0</v>
      </c>
      <c r="W124" s="130">
        <f t="shared" si="135"/>
        <v>0</v>
      </c>
      <c r="X124" s="130">
        <f t="shared" si="135"/>
        <v>0</v>
      </c>
      <c r="Y124" s="130">
        <f t="shared" si="135"/>
        <v>0</v>
      </c>
      <c r="Z124" s="130">
        <f t="shared" si="135"/>
        <v>0</v>
      </c>
      <c r="AA124" s="130">
        <f t="shared" si="135"/>
        <v>0</v>
      </c>
      <c r="AB124" s="130">
        <f t="shared" si="135"/>
        <v>0</v>
      </c>
      <c r="AC124" s="130">
        <f t="shared" si="135"/>
        <v>0</v>
      </c>
      <c r="AD124" s="130">
        <f t="shared" si="135"/>
        <v>0</v>
      </c>
      <c r="AE124" s="130">
        <f t="shared" si="135"/>
        <v>0</v>
      </c>
      <c r="AF124" s="130">
        <f t="shared" si="135"/>
        <v>0</v>
      </c>
      <c r="AG124" s="130">
        <f t="shared" si="135"/>
        <v>0</v>
      </c>
      <c r="AH124" s="130">
        <f t="shared" si="135"/>
        <v>0</v>
      </c>
      <c r="AI124" s="130">
        <f t="shared" si="135"/>
        <v>0</v>
      </c>
      <c r="AJ124" s="130">
        <f t="shared" si="135"/>
        <v>0</v>
      </c>
      <c r="AK124" s="130">
        <f t="shared" si="135"/>
        <v>0</v>
      </c>
      <c r="AL124" s="130">
        <f t="shared" si="135"/>
        <v>0</v>
      </c>
      <c r="AM124" s="130">
        <f t="shared" si="135"/>
        <v>0</v>
      </c>
      <c r="AN124" s="130">
        <f t="shared" si="135"/>
        <v>0</v>
      </c>
      <c r="AO124" s="130">
        <f t="shared" si="135"/>
        <v>0</v>
      </c>
      <c r="AP124" s="130">
        <f t="shared" si="135"/>
        <v>0</v>
      </c>
      <c r="AQ124" s="130">
        <f t="shared" si="135"/>
        <v>0</v>
      </c>
      <c r="AR124" s="130">
        <f t="shared" si="135"/>
        <v>0</v>
      </c>
      <c r="AS124" s="130">
        <f t="shared" si="135"/>
        <v>0</v>
      </c>
      <c r="AT124" s="130">
        <f t="shared" si="135"/>
        <v>0</v>
      </c>
      <c r="AU124" s="130">
        <f t="shared" si="135"/>
        <v>0</v>
      </c>
      <c r="AV124" s="130">
        <f t="shared" si="135"/>
        <v>0</v>
      </c>
      <c r="AW124" s="130">
        <f t="shared" si="135"/>
        <v>0</v>
      </c>
      <c r="AX124" s="130">
        <f t="shared" si="135"/>
        <v>0</v>
      </c>
      <c r="AY124" s="130">
        <f t="shared" si="135"/>
        <v>0</v>
      </c>
      <c r="AZ124" s="130">
        <f t="shared" si="135"/>
        <v>0</v>
      </c>
      <c r="BA124" s="130">
        <f t="shared" si="135"/>
        <v>0</v>
      </c>
      <c r="BB124" s="130">
        <f t="shared" si="135"/>
        <v>0</v>
      </c>
      <c r="BC124" s="130">
        <f t="shared" si="135"/>
        <v>0</v>
      </c>
      <c r="BD124" s="130">
        <f t="shared" si="135"/>
        <v>0</v>
      </c>
      <c r="BE124" s="130">
        <f t="shared" si="135"/>
        <v>0</v>
      </c>
      <c r="BF124" s="130">
        <f t="shared" si="135"/>
        <v>0</v>
      </c>
      <c r="BG124" s="130">
        <f t="shared" si="135"/>
        <v>0</v>
      </c>
      <c r="BH124" s="130">
        <f t="shared" si="135"/>
        <v>0</v>
      </c>
      <c r="BI124" s="130">
        <f t="shared" si="135"/>
        <v>0</v>
      </c>
      <c r="BJ124" s="130">
        <f t="shared" si="135"/>
        <v>0</v>
      </c>
      <c r="BK124" s="130">
        <f t="shared" si="135"/>
        <v>0</v>
      </c>
      <c r="BL124" s="130">
        <f t="shared" si="135"/>
        <v>0</v>
      </c>
      <c r="BM124" s="130">
        <f t="shared" si="135"/>
        <v>0</v>
      </c>
      <c r="BN124" s="130">
        <f t="shared" si="135"/>
        <v>0</v>
      </c>
      <c r="BO124" s="130">
        <f t="shared" si="135"/>
        <v>0</v>
      </c>
      <c r="BP124" s="130">
        <f t="shared" si="135"/>
        <v>0</v>
      </c>
      <c r="BQ124" s="130">
        <f t="shared" si="135"/>
        <v>0</v>
      </c>
      <c r="BR124" s="130">
        <f t="shared" si="135"/>
        <v>0</v>
      </c>
      <c r="BS124" s="130">
        <f t="shared" si="135"/>
        <v>0</v>
      </c>
      <c r="BT124" s="130">
        <f t="shared" si="135"/>
        <v>0</v>
      </c>
      <c r="BU124" s="130">
        <f t="shared" si="133"/>
        <v>0</v>
      </c>
      <c r="BV124" s="130">
        <f t="shared" si="133"/>
        <v>0</v>
      </c>
      <c r="BW124" s="130">
        <f t="shared" si="133"/>
        <v>0</v>
      </c>
      <c r="BX124" s="130">
        <f t="shared" si="133"/>
        <v>0</v>
      </c>
      <c r="BY124" s="130">
        <f t="shared" si="134"/>
        <v>0</v>
      </c>
      <c r="BZ124" s="130">
        <f t="shared" si="134"/>
        <v>0</v>
      </c>
      <c r="CA124" s="130">
        <f t="shared" si="134"/>
        <v>0</v>
      </c>
      <c r="CB124" s="130">
        <f t="shared" si="134"/>
        <v>0</v>
      </c>
      <c r="CC124" s="130">
        <f t="shared" si="134"/>
        <v>0</v>
      </c>
      <c r="CD124" s="130">
        <f t="shared" si="134"/>
        <v>0</v>
      </c>
      <c r="CE124" s="130">
        <f t="shared" si="134"/>
        <v>0</v>
      </c>
      <c r="CF124" s="130">
        <f t="shared" si="134"/>
        <v>0</v>
      </c>
      <c r="CG124" s="130">
        <f t="shared" si="134"/>
        <v>0</v>
      </c>
      <c r="CH124" s="130">
        <f t="shared" si="134"/>
        <v>0</v>
      </c>
      <c r="CI124" s="130">
        <f t="shared" si="134"/>
        <v>0</v>
      </c>
      <c r="CJ124" s="130">
        <f t="shared" si="134"/>
        <v>0</v>
      </c>
      <c r="CK124" s="130">
        <f t="shared" si="134"/>
        <v>0</v>
      </c>
      <c r="CL124" s="130">
        <f t="shared" si="134"/>
        <v>0</v>
      </c>
      <c r="CM124" s="130">
        <f t="shared" si="134"/>
        <v>0</v>
      </c>
      <c r="CN124" s="130">
        <f t="shared" si="134"/>
        <v>0</v>
      </c>
      <c r="CO124" s="130">
        <f t="shared" si="134"/>
        <v>0</v>
      </c>
      <c r="CP124" s="130">
        <f t="shared" si="134"/>
        <v>0</v>
      </c>
      <c r="CQ124" s="130">
        <f t="shared" si="134"/>
        <v>0</v>
      </c>
      <c r="CR124" s="130">
        <f t="shared" si="134"/>
        <v>0</v>
      </c>
      <c r="CS124" s="130">
        <f t="shared" si="134"/>
        <v>0</v>
      </c>
      <c r="CT124" s="130">
        <f t="shared" si="134"/>
        <v>0</v>
      </c>
      <c r="CU124" s="130">
        <f t="shared" si="134"/>
        <v>0</v>
      </c>
      <c r="CV124" s="130">
        <f t="shared" si="134"/>
        <v>0</v>
      </c>
      <c r="CW124" s="130">
        <f t="shared" si="134"/>
        <v>0</v>
      </c>
      <c r="CX124" s="130">
        <f t="shared" si="134"/>
        <v>0</v>
      </c>
      <c r="CY124" s="130">
        <f t="shared" si="134"/>
        <v>0</v>
      </c>
      <c r="CZ124" s="130">
        <f t="shared" si="134"/>
        <v>0</v>
      </c>
    </row>
    <row r="125" spans="1:104" x14ac:dyDescent="0.35">
      <c r="A125" s="113"/>
      <c r="B125" s="98"/>
      <c r="C125" s="130"/>
      <c r="D125" s="147" t="s">
        <v>179</v>
      </c>
      <c r="E125" s="130"/>
      <c r="F125" s="130"/>
      <c r="G125" s="130"/>
      <c r="H125" s="130"/>
      <c r="I125" s="130"/>
      <c r="J125" s="130"/>
      <c r="K125" s="130"/>
      <c r="L125" s="130"/>
      <c r="M125" s="130"/>
      <c r="N125" s="130"/>
      <c r="O125" s="130"/>
      <c r="P125" s="131"/>
      <c r="Q125" s="131"/>
      <c r="R125" s="131"/>
      <c r="S125" s="131"/>
      <c r="T125" s="131"/>
      <c r="U125" s="131"/>
      <c r="V125" s="131"/>
      <c r="W125" s="131"/>
      <c r="X125" s="131"/>
      <c r="Y125" s="131"/>
      <c r="Z125" s="130"/>
      <c r="AA125" s="130"/>
      <c r="AB125" s="130"/>
      <c r="AC125" s="130"/>
      <c r="AD125" s="130"/>
      <c r="AE125" s="130"/>
      <c r="AF125" s="130"/>
      <c r="AG125" s="130"/>
      <c r="AH125" s="130"/>
      <c r="AI125" s="130"/>
      <c r="AJ125" s="130"/>
      <c r="AK125" s="130"/>
      <c r="AL125" s="130"/>
      <c r="AM125" s="130"/>
      <c r="AN125" s="130"/>
      <c r="AO125" s="130"/>
      <c r="AP125" s="130"/>
      <c r="AQ125" s="130"/>
      <c r="AR125" s="130"/>
      <c r="AS125" s="130"/>
      <c r="AT125" s="130"/>
      <c r="AU125" s="130"/>
      <c r="AV125" s="130"/>
      <c r="AW125" s="130"/>
      <c r="AX125" s="130"/>
      <c r="AY125" s="130"/>
      <c r="AZ125" s="130"/>
      <c r="BA125" s="130"/>
      <c r="BB125" s="130"/>
      <c r="BC125" s="130"/>
      <c r="BD125" s="130"/>
      <c r="BE125" s="130"/>
      <c r="BF125" s="130"/>
      <c r="BG125" s="130"/>
      <c r="BH125" s="130"/>
      <c r="BI125" s="130"/>
      <c r="BJ125" s="130"/>
      <c r="BK125" s="130"/>
      <c r="BL125" s="130"/>
      <c r="BM125" s="130"/>
      <c r="BN125" s="130"/>
      <c r="BO125" s="130"/>
      <c r="BP125" s="130"/>
      <c r="BQ125" s="130"/>
      <c r="BR125" s="130"/>
      <c r="BS125" s="130"/>
      <c r="BT125" s="130"/>
      <c r="BU125" s="130"/>
      <c r="BV125" s="130"/>
      <c r="BW125" s="130"/>
      <c r="BX125" s="130"/>
      <c r="BY125" s="130"/>
      <c r="BZ125" s="130"/>
      <c r="CA125" s="130"/>
      <c r="CB125" s="130"/>
      <c r="CC125" s="130"/>
      <c r="CD125" s="130"/>
      <c r="CE125" s="130"/>
      <c r="CF125" s="130"/>
      <c r="CG125" s="130"/>
      <c r="CH125" s="130"/>
      <c r="CI125" s="130"/>
      <c r="CJ125" s="130"/>
      <c r="CK125" s="130"/>
      <c r="CL125" s="130"/>
      <c r="CM125" s="130"/>
      <c r="CN125" s="130"/>
      <c r="CO125" s="130"/>
      <c r="CP125" s="130"/>
      <c r="CQ125" s="130"/>
      <c r="CR125" s="130"/>
      <c r="CS125" s="130"/>
      <c r="CT125" s="130"/>
      <c r="CU125" s="130"/>
      <c r="CV125" s="130"/>
      <c r="CW125" s="130"/>
      <c r="CX125" s="130"/>
      <c r="CY125" s="130"/>
      <c r="CZ125" s="130"/>
    </row>
    <row r="126" spans="1:104" x14ac:dyDescent="0.35">
      <c r="A126" s="113"/>
      <c r="B126" s="98"/>
      <c r="C126" s="126">
        <f t="shared" si="113"/>
        <v>8077816.5186500913</v>
      </c>
      <c r="D126" s="573" t="s">
        <v>324</v>
      </c>
      <c r="E126" s="130">
        <f t="shared" ref="E126:AJ126" si="136">IF(AND(E114&gt;=$E$63,E114&lt;=$E$64),$E$98,0)</f>
        <v>0</v>
      </c>
      <c r="F126" s="130">
        <f t="shared" si="136"/>
        <v>0</v>
      </c>
      <c r="G126" s="130">
        <f t="shared" si="136"/>
        <v>0</v>
      </c>
      <c r="H126" s="130">
        <f t="shared" si="136"/>
        <v>0</v>
      </c>
      <c r="I126" s="130">
        <f>IF(AND(I114&gt;=$E$63,I114&lt;=$E$64),$E$98,0)</f>
        <v>673151.37655417412</v>
      </c>
      <c r="J126" s="130">
        <f t="shared" si="136"/>
        <v>673151.37655417412</v>
      </c>
      <c r="K126" s="130">
        <f t="shared" si="136"/>
        <v>673151.37655417412</v>
      </c>
      <c r="L126" s="130">
        <f t="shared" si="136"/>
        <v>673151.37655417412</v>
      </c>
      <c r="M126" s="130">
        <f t="shared" si="136"/>
        <v>673151.37655417412</v>
      </c>
      <c r="N126" s="130">
        <f t="shared" si="136"/>
        <v>673151.37655417412</v>
      </c>
      <c r="O126" s="130">
        <f t="shared" si="136"/>
        <v>673151.37655417412</v>
      </c>
      <c r="P126" s="130">
        <f t="shared" si="136"/>
        <v>673151.37655417412</v>
      </c>
      <c r="Q126" s="130">
        <f t="shared" si="136"/>
        <v>673151.37655417412</v>
      </c>
      <c r="R126" s="130">
        <f t="shared" si="136"/>
        <v>673151.37655417412</v>
      </c>
      <c r="S126" s="130">
        <f t="shared" si="136"/>
        <v>673151.37655417412</v>
      </c>
      <c r="T126" s="130">
        <f t="shared" si="136"/>
        <v>673151.37655417412</v>
      </c>
      <c r="U126" s="130">
        <f t="shared" si="136"/>
        <v>0</v>
      </c>
      <c r="V126" s="130">
        <f t="shared" si="136"/>
        <v>0</v>
      </c>
      <c r="W126" s="130">
        <f t="shared" si="136"/>
        <v>0</v>
      </c>
      <c r="X126" s="130">
        <f t="shared" si="136"/>
        <v>0</v>
      </c>
      <c r="Y126" s="130">
        <f t="shared" si="136"/>
        <v>0</v>
      </c>
      <c r="Z126" s="130">
        <f t="shared" si="136"/>
        <v>0</v>
      </c>
      <c r="AA126" s="130">
        <f t="shared" si="136"/>
        <v>0</v>
      </c>
      <c r="AB126" s="130">
        <f t="shared" si="136"/>
        <v>0</v>
      </c>
      <c r="AC126" s="130">
        <f t="shared" si="136"/>
        <v>0</v>
      </c>
      <c r="AD126" s="130">
        <f t="shared" si="136"/>
        <v>0</v>
      </c>
      <c r="AE126" s="130">
        <f t="shared" si="136"/>
        <v>0</v>
      </c>
      <c r="AF126" s="130">
        <f t="shared" si="136"/>
        <v>0</v>
      </c>
      <c r="AG126" s="130">
        <f t="shared" si="136"/>
        <v>0</v>
      </c>
      <c r="AH126" s="130">
        <f t="shared" si="136"/>
        <v>0</v>
      </c>
      <c r="AI126" s="130">
        <f t="shared" si="136"/>
        <v>0</v>
      </c>
      <c r="AJ126" s="130">
        <f t="shared" si="136"/>
        <v>0</v>
      </c>
      <c r="AK126" s="130">
        <f t="shared" ref="AK126:BP126" si="137">IF(AND(AK114&gt;=$E$63,AK114&lt;=$E$64),$E$98,0)</f>
        <v>0</v>
      </c>
      <c r="AL126" s="130">
        <f t="shared" si="137"/>
        <v>0</v>
      </c>
      <c r="AM126" s="130">
        <f t="shared" si="137"/>
        <v>0</v>
      </c>
      <c r="AN126" s="130">
        <f t="shared" si="137"/>
        <v>0</v>
      </c>
      <c r="AO126" s="130">
        <f t="shared" si="137"/>
        <v>0</v>
      </c>
      <c r="AP126" s="130">
        <f t="shared" si="137"/>
        <v>0</v>
      </c>
      <c r="AQ126" s="130">
        <f t="shared" si="137"/>
        <v>0</v>
      </c>
      <c r="AR126" s="130">
        <f t="shared" si="137"/>
        <v>0</v>
      </c>
      <c r="AS126" s="130">
        <f t="shared" si="137"/>
        <v>0</v>
      </c>
      <c r="AT126" s="130">
        <f t="shared" si="137"/>
        <v>0</v>
      </c>
      <c r="AU126" s="130">
        <f t="shared" si="137"/>
        <v>0</v>
      </c>
      <c r="AV126" s="130">
        <f t="shared" si="137"/>
        <v>0</v>
      </c>
      <c r="AW126" s="130">
        <f t="shared" si="137"/>
        <v>0</v>
      </c>
      <c r="AX126" s="130">
        <f t="shared" si="137"/>
        <v>0</v>
      </c>
      <c r="AY126" s="130">
        <f t="shared" si="137"/>
        <v>0</v>
      </c>
      <c r="AZ126" s="130">
        <f t="shared" si="137"/>
        <v>0</v>
      </c>
      <c r="BA126" s="130">
        <f t="shared" si="137"/>
        <v>0</v>
      </c>
      <c r="BB126" s="130">
        <f t="shared" si="137"/>
        <v>0</v>
      </c>
      <c r="BC126" s="130">
        <f t="shared" si="137"/>
        <v>0</v>
      </c>
      <c r="BD126" s="130">
        <f t="shared" si="137"/>
        <v>0</v>
      </c>
      <c r="BE126" s="130">
        <f t="shared" si="137"/>
        <v>0</v>
      </c>
      <c r="BF126" s="130">
        <f t="shared" si="137"/>
        <v>0</v>
      </c>
      <c r="BG126" s="130">
        <f t="shared" si="137"/>
        <v>0</v>
      </c>
      <c r="BH126" s="130">
        <f t="shared" si="137"/>
        <v>0</v>
      </c>
      <c r="BI126" s="130">
        <f t="shared" si="137"/>
        <v>0</v>
      </c>
      <c r="BJ126" s="130">
        <f t="shared" si="137"/>
        <v>0</v>
      </c>
      <c r="BK126" s="130">
        <f t="shared" si="137"/>
        <v>0</v>
      </c>
      <c r="BL126" s="130">
        <f t="shared" si="137"/>
        <v>0</v>
      </c>
      <c r="BM126" s="130">
        <f t="shared" si="137"/>
        <v>0</v>
      </c>
      <c r="BN126" s="130">
        <f t="shared" si="137"/>
        <v>0</v>
      </c>
      <c r="BO126" s="130">
        <f t="shared" si="137"/>
        <v>0</v>
      </c>
      <c r="BP126" s="130">
        <f t="shared" si="137"/>
        <v>0</v>
      </c>
      <c r="BQ126" s="130">
        <f t="shared" ref="BQ126:CZ126" si="138">IF(AND(BQ114&gt;=$E$63,BQ114&lt;=$E$64),$E$98,0)</f>
        <v>0</v>
      </c>
      <c r="BR126" s="130">
        <f t="shared" si="138"/>
        <v>0</v>
      </c>
      <c r="BS126" s="130">
        <f t="shared" si="138"/>
        <v>0</v>
      </c>
      <c r="BT126" s="130">
        <f t="shared" si="138"/>
        <v>0</v>
      </c>
      <c r="BU126" s="130">
        <f t="shared" si="138"/>
        <v>0</v>
      </c>
      <c r="BV126" s="130">
        <f t="shared" si="138"/>
        <v>0</v>
      </c>
      <c r="BW126" s="130">
        <f t="shared" si="138"/>
        <v>0</v>
      </c>
      <c r="BX126" s="130">
        <f t="shared" si="138"/>
        <v>0</v>
      </c>
      <c r="BY126" s="130">
        <f t="shared" si="138"/>
        <v>0</v>
      </c>
      <c r="BZ126" s="130">
        <f t="shared" si="138"/>
        <v>0</v>
      </c>
      <c r="CA126" s="130">
        <f t="shared" si="138"/>
        <v>0</v>
      </c>
      <c r="CB126" s="130">
        <f t="shared" si="138"/>
        <v>0</v>
      </c>
      <c r="CC126" s="130">
        <f t="shared" si="138"/>
        <v>0</v>
      </c>
      <c r="CD126" s="130">
        <f t="shared" si="138"/>
        <v>0</v>
      </c>
      <c r="CE126" s="130">
        <f t="shared" si="138"/>
        <v>0</v>
      </c>
      <c r="CF126" s="130">
        <f t="shared" si="138"/>
        <v>0</v>
      </c>
      <c r="CG126" s="130">
        <f t="shared" si="138"/>
        <v>0</v>
      </c>
      <c r="CH126" s="130">
        <f t="shared" si="138"/>
        <v>0</v>
      </c>
      <c r="CI126" s="130">
        <f t="shared" si="138"/>
        <v>0</v>
      </c>
      <c r="CJ126" s="130">
        <f t="shared" si="138"/>
        <v>0</v>
      </c>
      <c r="CK126" s="130">
        <f t="shared" si="138"/>
        <v>0</v>
      </c>
      <c r="CL126" s="130">
        <f t="shared" si="138"/>
        <v>0</v>
      </c>
      <c r="CM126" s="130">
        <f t="shared" si="138"/>
        <v>0</v>
      </c>
      <c r="CN126" s="130">
        <f t="shared" si="138"/>
        <v>0</v>
      </c>
      <c r="CO126" s="130">
        <f t="shared" si="138"/>
        <v>0</v>
      </c>
      <c r="CP126" s="130">
        <f t="shared" si="138"/>
        <v>0</v>
      </c>
      <c r="CQ126" s="130">
        <f t="shared" si="138"/>
        <v>0</v>
      </c>
      <c r="CR126" s="130">
        <f t="shared" si="138"/>
        <v>0</v>
      </c>
      <c r="CS126" s="130">
        <f t="shared" si="138"/>
        <v>0</v>
      </c>
      <c r="CT126" s="130">
        <f t="shared" si="138"/>
        <v>0</v>
      </c>
      <c r="CU126" s="130">
        <f t="shared" si="138"/>
        <v>0</v>
      </c>
      <c r="CV126" s="130">
        <f t="shared" si="138"/>
        <v>0</v>
      </c>
      <c r="CW126" s="130">
        <f t="shared" si="138"/>
        <v>0</v>
      </c>
      <c r="CX126" s="130">
        <f t="shared" si="138"/>
        <v>0</v>
      </c>
      <c r="CY126" s="130">
        <f t="shared" si="138"/>
        <v>0</v>
      </c>
      <c r="CZ126" s="130">
        <f t="shared" si="138"/>
        <v>0</v>
      </c>
    </row>
    <row r="127" spans="1:104" x14ac:dyDescent="0.35">
      <c r="A127" s="113"/>
      <c r="B127" s="98"/>
      <c r="C127" s="126">
        <f>SUM(E127:CZ127)</f>
        <v>1550357.7650557619</v>
      </c>
      <c r="D127" s="573" t="s">
        <v>653</v>
      </c>
      <c r="E127" s="130">
        <f t="shared" ref="E127:AJ127" si="139">IF(AND(E114&gt;=$E$63,E114&lt;=$E$64),$E$99,0)</f>
        <v>0</v>
      </c>
      <c r="F127" s="130">
        <f t="shared" si="139"/>
        <v>0</v>
      </c>
      <c r="G127" s="130">
        <f t="shared" si="139"/>
        <v>0</v>
      </c>
      <c r="H127" s="130">
        <f t="shared" si="139"/>
        <v>0</v>
      </c>
      <c r="I127" s="130">
        <f t="shared" si="139"/>
        <v>129196.48042131348</v>
      </c>
      <c r="J127" s="130">
        <f t="shared" si="139"/>
        <v>129196.48042131348</v>
      </c>
      <c r="K127" s="130">
        <f t="shared" si="139"/>
        <v>129196.48042131348</v>
      </c>
      <c r="L127" s="130">
        <f t="shared" si="139"/>
        <v>129196.48042131348</v>
      </c>
      <c r="M127" s="130">
        <f t="shared" si="139"/>
        <v>129196.48042131348</v>
      </c>
      <c r="N127" s="130">
        <f t="shared" si="139"/>
        <v>129196.48042131348</v>
      </c>
      <c r="O127" s="130">
        <f t="shared" si="139"/>
        <v>129196.48042131348</v>
      </c>
      <c r="P127" s="130">
        <f t="shared" si="139"/>
        <v>129196.48042131348</v>
      </c>
      <c r="Q127" s="130">
        <f t="shared" si="139"/>
        <v>129196.48042131348</v>
      </c>
      <c r="R127" s="130">
        <f t="shared" si="139"/>
        <v>129196.48042131348</v>
      </c>
      <c r="S127" s="130">
        <f t="shared" si="139"/>
        <v>129196.48042131348</v>
      </c>
      <c r="T127" s="130">
        <f t="shared" si="139"/>
        <v>129196.48042131348</v>
      </c>
      <c r="U127" s="130">
        <f t="shared" si="139"/>
        <v>0</v>
      </c>
      <c r="V127" s="130">
        <f t="shared" si="139"/>
        <v>0</v>
      </c>
      <c r="W127" s="130">
        <f t="shared" si="139"/>
        <v>0</v>
      </c>
      <c r="X127" s="130">
        <f t="shared" si="139"/>
        <v>0</v>
      </c>
      <c r="Y127" s="130">
        <f t="shared" si="139"/>
        <v>0</v>
      </c>
      <c r="Z127" s="130">
        <f t="shared" si="139"/>
        <v>0</v>
      </c>
      <c r="AA127" s="130">
        <f t="shared" si="139"/>
        <v>0</v>
      </c>
      <c r="AB127" s="130">
        <f t="shared" si="139"/>
        <v>0</v>
      </c>
      <c r="AC127" s="130">
        <f t="shared" si="139"/>
        <v>0</v>
      </c>
      <c r="AD127" s="130">
        <f t="shared" si="139"/>
        <v>0</v>
      </c>
      <c r="AE127" s="130">
        <f t="shared" si="139"/>
        <v>0</v>
      </c>
      <c r="AF127" s="130">
        <f t="shared" si="139"/>
        <v>0</v>
      </c>
      <c r="AG127" s="130">
        <f t="shared" si="139"/>
        <v>0</v>
      </c>
      <c r="AH127" s="130">
        <f t="shared" si="139"/>
        <v>0</v>
      </c>
      <c r="AI127" s="130">
        <f t="shared" si="139"/>
        <v>0</v>
      </c>
      <c r="AJ127" s="130">
        <f t="shared" si="139"/>
        <v>0</v>
      </c>
      <c r="AK127" s="130">
        <f t="shared" ref="AK127:BP127" si="140">IF(AND(AK114&gt;=$E$63,AK114&lt;=$E$64),$E$99,0)</f>
        <v>0</v>
      </c>
      <c r="AL127" s="130">
        <f t="shared" si="140"/>
        <v>0</v>
      </c>
      <c r="AM127" s="130">
        <f t="shared" si="140"/>
        <v>0</v>
      </c>
      <c r="AN127" s="130">
        <f t="shared" si="140"/>
        <v>0</v>
      </c>
      <c r="AO127" s="130">
        <f t="shared" si="140"/>
        <v>0</v>
      </c>
      <c r="AP127" s="130">
        <f t="shared" si="140"/>
        <v>0</v>
      </c>
      <c r="AQ127" s="130">
        <f t="shared" si="140"/>
        <v>0</v>
      </c>
      <c r="AR127" s="130">
        <f t="shared" si="140"/>
        <v>0</v>
      </c>
      <c r="AS127" s="130">
        <f t="shared" si="140"/>
        <v>0</v>
      </c>
      <c r="AT127" s="130">
        <f t="shared" si="140"/>
        <v>0</v>
      </c>
      <c r="AU127" s="130">
        <f t="shared" si="140"/>
        <v>0</v>
      </c>
      <c r="AV127" s="130">
        <f t="shared" si="140"/>
        <v>0</v>
      </c>
      <c r="AW127" s="130">
        <f t="shared" si="140"/>
        <v>0</v>
      </c>
      <c r="AX127" s="130">
        <f t="shared" si="140"/>
        <v>0</v>
      </c>
      <c r="AY127" s="130">
        <f t="shared" si="140"/>
        <v>0</v>
      </c>
      <c r="AZ127" s="130">
        <f t="shared" si="140"/>
        <v>0</v>
      </c>
      <c r="BA127" s="130">
        <f t="shared" si="140"/>
        <v>0</v>
      </c>
      <c r="BB127" s="130">
        <f t="shared" si="140"/>
        <v>0</v>
      </c>
      <c r="BC127" s="130">
        <f t="shared" si="140"/>
        <v>0</v>
      </c>
      <c r="BD127" s="130">
        <f t="shared" si="140"/>
        <v>0</v>
      </c>
      <c r="BE127" s="130">
        <f t="shared" si="140"/>
        <v>0</v>
      </c>
      <c r="BF127" s="130">
        <f t="shared" si="140"/>
        <v>0</v>
      </c>
      <c r="BG127" s="130">
        <f t="shared" si="140"/>
        <v>0</v>
      </c>
      <c r="BH127" s="130">
        <f t="shared" si="140"/>
        <v>0</v>
      </c>
      <c r="BI127" s="130">
        <f t="shared" si="140"/>
        <v>0</v>
      </c>
      <c r="BJ127" s="130">
        <f t="shared" si="140"/>
        <v>0</v>
      </c>
      <c r="BK127" s="130">
        <f t="shared" si="140"/>
        <v>0</v>
      </c>
      <c r="BL127" s="130">
        <f t="shared" si="140"/>
        <v>0</v>
      </c>
      <c r="BM127" s="130">
        <f t="shared" si="140"/>
        <v>0</v>
      </c>
      <c r="BN127" s="130">
        <f t="shared" si="140"/>
        <v>0</v>
      </c>
      <c r="BO127" s="130">
        <f t="shared" si="140"/>
        <v>0</v>
      </c>
      <c r="BP127" s="130">
        <f t="shared" si="140"/>
        <v>0</v>
      </c>
      <c r="BQ127" s="130">
        <f t="shared" ref="BQ127:CZ127" si="141">IF(AND(BQ114&gt;=$E$63,BQ114&lt;=$E$64),$E$99,0)</f>
        <v>0</v>
      </c>
      <c r="BR127" s="130">
        <f t="shared" si="141"/>
        <v>0</v>
      </c>
      <c r="BS127" s="130">
        <f t="shared" si="141"/>
        <v>0</v>
      </c>
      <c r="BT127" s="130">
        <f t="shared" si="141"/>
        <v>0</v>
      </c>
      <c r="BU127" s="130">
        <f t="shared" si="141"/>
        <v>0</v>
      </c>
      <c r="BV127" s="130">
        <f t="shared" si="141"/>
        <v>0</v>
      </c>
      <c r="BW127" s="130">
        <f t="shared" si="141"/>
        <v>0</v>
      </c>
      <c r="BX127" s="130">
        <f t="shared" si="141"/>
        <v>0</v>
      </c>
      <c r="BY127" s="130">
        <f t="shared" si="141"/>
        <v>0</v>
      </c>
      <c r="BZ127" s="130">
        <f t="shared" si="141"/>
        <v>0</v>
      </c>
      <c r="CA127" s="130">
        <f t="shared" si="141"/>
        <v>0</v>
      </c>
      <c r="CB127" s="130">
        <f t="shared" si="141"/>
        <v>0</v>
      </c>
      <c r="CC127" s="130">
        <f t="shared" si="141"/>
        <v>0</v>
      </c>
      <c r="CD127" s="130">
        <f t="shared" si="141"/>
        <v>0</v>
      </c>
      <c r="CE127" s="130">
        <f t="shared" si="141"/>
        <v>0</v>
      </c>
      <c r="CF127" s="130">
        <f t="shared" si="141"/>
        <v>0</v>
      </c>
      <c r="CG127" s="130">
        <f t="shared" si="141"/>
        <v>0</v>
      </c>
      <c r="CH127" s="130">
        <f t="shared" si="141"/>
        <v>0</v>
      </c>
      <c r="CI127" s="130">
        <f t="shared" si="141"/>
        <v>0</v>
      </c>
      <c r="CJ127" s="130">
        <f t="shared" si="141"/>
        <v>0</v>
      </c>
      <c r="CK127" s="130">
        <f t="shared" si="141"/>
        <v>0</v>
      </c>
      <c r="CL127" s="130">
        <f t="shared" si="141"/>
        <v>0</v>
      </c>
      <c r="CM127" s="130">
        <f t="shared" si="141"/>
        <v>0</v>
      </c>
      <c r="CN127" s="130">
        <f t="shared" si="141"/>
        <v>0</v>
      </c>
      <c r="CO127" s="130">
        <f t="shared" si="141"/>
        <v>0</v>
      </c>
      <c r="CP127" s="130">
        <f t="shared" si="141"/>
        <v>0</v>
      </c>
      <c r="CQ127" s="130">
        <f t="shared" si="141"/>
        <v>0</v>
      </c>
      <c r="CR127" s="130">
        <f t="shared" si="141"/>
        <v>0</v>
      </c>
      <c r="CS127" s="130">
        <f t="shared" si="141"/>
        <v>0</v>
      </c>
      <c r="CT127" s="130">
        <f t="shared" si="141"/>
        <v>0</v>
      </c>
      <c r="CU127" s="130">
        <f t="shared" si="141"/>
        <v>0</v>
      </c>
      <c r="CV127" s="130">
        <f t="shared" si="141"/>
        <v>0</v>
      </c>
      <c r="CW127" s="130">
        <f t="shared" si="141"/>
        <v>0</v>
      </c>
      <c r="CX127" s="130">
        <f t="shared" si="141"/>
        <v>0</v>
      </c>
      <c r="CY127" s="130">
        <f t="shared" si="141"/>
        <v>0</v>
      </c>
      <c r="CZ127" s="130">
        <f t="shared" si="141"/>
        <v>0</v>
      </c>
    </row>
    <row r="128" spans="1:104" x14ac:dyDescent="0.35">
      <c r="A128" s="113"/>
      <c r="B128" s="98"/>
      <c r="C128" s="126">
        <f t="shared" si="113"/>
        <v>11808510.731172169</v>
      </c>
      <c r="D128" s="573" t="s">
        <v>654</v>
      </c>
      <c r="E128" s="130">
        <f t="shared" ref="E128:AJ128" si="142">IF(AND(E114&gt;=$E$63,E114&lt;=$E$64),$E$100,0)</f>
        <v>0</v>
      </c>
      <c r="F128" s="130">
        <f t="shared" si="142"/>
        <v>0</v>
      </c>
      <c r="G128" s="130">
        <f t="shared" si="142"/>
        <v>0</v>
      </c>
      <c r="H128" s="130">
        <f t="shared" si="142"/>
        <v>0</v>
      </c>
      <c r="I128" s="130">
        <f t="shared" si="142"/>
        <v>984042.56093101413</v>
      </c>
      <c r="J128" s="130">
        <f t="shared" si="142"/>
        <v>984042.56093101413</v>
      </c>
      <c r="K128" s="130">
        <f t="shared" si="142"/>
        <v>984042.56093101413</v>
      </c>
      <c r="L128" s="130">
        <f t="shared" si="142"/>
        <v>984042.56093101413</v>
      </c>
      <c r="M128" s="130">
        <f t="shared" si="142"/>
        <v>984042.56093101413</v>
      </c>
      <c r="N128" s="130">
        <f t="shared" si="142"/>
        <v>984042.56093101413</v>
      </c>
      <c r="O128" s="130">
        <f t="shared" si="142"/>
        <v>984042.56093101413</v>
      </c>
      <c r="P128" s="130">
        <f t="shared" si="142"/>
        <v>984042.56093101413</v>
      </c>
      <c r="Q128" s="130">
        <f t="shared" si="142"/>
        <v>984042.56093101413</v>
      </c>
      <c r="R128" s="130">
        <f t="shared" si="142"/>
        <v>984042.56093101413</v>
      </c>
      <c r="S128" s="130">
        <f t="shared" si="142"/>
        <v>984042.56093101413</v>
      </c>
      <c r="T128" s="130">
        <f t="shared" si="142"/>
        <v>984042.56093101413</v>
      </c>
      <c r="U128" s="130">
        <f t="shared" si="142"/>
        <v>0</v>
      </c>
      <c r="V128" s="130">
        <f t="shared" si="142"/>
        <v>0</v>
      </c>
      <c r="W128" s="130">
        <f t="shared" si="142"/>
        <v>0</v>
      </c>
      <c r="X128" s="130">
        <f t="shared" si="142"/>
        <v>0</v>
      </c>
      <c r="Y128" s="130">
        <f t="shared" si="142"/>
        <v>0</v>
      </c>
      <c r="Z128" s="130">
        <f t="shared" si="142"/>
        <v>0</v>
      </c>
      <c r="AA128" s="130">
        <f t="shared" si="142"/>
        <v>0</v>
      </c>
      <c r="AB128" s="130">
        <f t="shared" si="142"/>
        <v>0</v>
      </c>
      <c r="AC128" s="130">
        <f t="shared" si="142"/>
        <v>0</v>
      </c>
      <c r="AD128" s="130">
        <f t="shared" si="142"/>
        <v>0</v>
      </c>
      <c r="AE128" s="130">
        <f t="shared" si="142"/>
        <v>0</v>
      </c>
      <c r="AF128" s="130">
        <f t="shared" si="142"/>
        <v>0</v>
      </c>
      <c r="AG128" s="130">
        <f t="shared" si="142"/>
        <v>0</v>
      </c>
      <c r="AH128" s="130">
        <f t="shared" si="142"/>
        <v>0</v>
      </c>
      <c r="AI128" s="130">
        <f t="shared" si="142"/>
        <v>0</v>
      </c>
      <c r="AJ128" s="130">
        <f t="shared" si="142"/>
        <v>0</v>
      </c>
      <c r="AK128" s="130">
        <f t="shared" ref="AK128:BP128" si="143">IF(AND(AK114&gt;=$E$63,AK114&lt;=$E$64),$E$100,0)</f>
        <v>0</v>
      </c>
      <c r="AL128" s="130">
        <f t="shared" si="143"/>
        <v>0</v>
      </c>
      <c r="AM128" s="130">
        <f t="shared" si="143"/>
        <v>0</v>
      </c>
      <c r="AN128" s="130">
        <f t="shared" si="143"/>
        <v>0</v>
      </c>
      <c r="AO128" s="130">
        <f t="shared" si="143"/>
        <v>0</v>
      </c>
      <c r="AP128" s="130">
        <f t="shared" si="143"/>
        <v>0</v>
      </c>
      <c r="AQ128" s="130">
        <f t="shared" si="143"/>
        <v>0</v>
      </c>
      <c r="AR128" s="130">
        <f t="shared" si="143"/>
        <v>0</v>
      </c>
      <c r="AS128" s="130">
        <f t="shared" si="143"/>
        <v>0</v>
      </c>
      <c r="AT128" s="130">
        <f t="shared" si="143"/>
        <v>0</v>
      </c>
      <c r="AU128" s="130">
        <f t="shared" si="143"/>
        <v>0</v>
      </c>
      <c r="AV128" s="130">
        <f t="shared" si="143"/>
        <v>0</v>
      </c>
      <c r="AW128" s="130">
        <f t="shared" si="143"/>
        <v>0</v>
      </c>
      <c r="AX128" s="130">
        <f t="shared" si="143"/>
        <v>0</v>
      </c>
      <c r="AY128" s="130">
        <f t="shared" si="143"/>
        <v>0</v>
      </c>
      <c r="AZ128" s="130">
        <f t="shared" si="143"/>
        <v>0</v>
      </c>
      <c r="BA128" s="130">
        <f t="shared" si="143"/>
        <v>0</v>
      </c>
      <c r="BB128" s="130">
        <f t="shared" si="143"/>
        <v>0</v>
      </c>
      <c r="BC128" s="130">
        <f t="shared" si="143"/>
        <v>0</v>
      </c>
      <c r="BD128" s="130">
        <f t="shared" si="143"/>
        <v>0</v>
      </c>
      <c r="BE128" s="130">
        <f t="shared" si="143"/>
        <v>0</v>
      </c>
      <c r="BF128" s="130">
        <f t="shared" si="143"/>
        <v>0</v>
      </c>
      <c r="BG128" s="130">
        <f t="shared" si="143"/>
        <v>0</v>
      </c>
      <c r="BH128" s="130">
        <f t="shared" si="143"/>
        <v>0</v>
      </c>
      <c r="BI128" s="130">
        <f t="shared" si="143"/>
        <v>0</v>
      </c>
      <c r="BJ128" s="130">
        <f t="shared" si="143"/>
        <v>0</v>
      </c>
      <c r="BK128" s="130">
        <f t="shared" si="143"/>
        <v>0</v>
      </c>
      <c r="BL128" s="130">
        <f t="shared" si="143"/>
        <v>0</v>
      </c>
      <c r="BM128" s="130">
        <f t="shared" si="143"/>
        <v>0</v>
      </c>
      <c r="BN128" s="130">
        <f t="shared" si="143"/>
        <v>0</v>
      </c>
      <c r="BO128" s="130">
        <f t="shared" si="143"/>
        <v>0</v>
      </c>
      <c r="BP128" s="130">
        <f t="shared" si="143"/>
        <v>0</v>
      </c>
      <c r="BQ128" s="130">
        <f t="shared" ref="BQ128:CZ128" si="144">IF(AND(BQ114&gt;=$E$63,BQ114&lt;=$E$64),$E$100,0)</f>
        <v>0</v>
      </c>
      <c r="BR128" s="130">
        <f t="shared" si="144"/>
        <v>0</v>
      </c>
      <c r="BS128" s="130">
        <f t="shared" si="144"/>
        <v>0</v>
      </c>
      <c r="BT128" s="130">
        <f t="shared" si="144"/>
        <v>0</v>
      </c>
      <c r="BU128" s="130">
        <f t="shared" si="144"/>
        <v>0</v>
      </c>
      <c r="BV128" s="130">
        <f t="shared" si="144"/>
        <v>0</v>
      </c>
      <c r="BW128" s="130">
        <f t="shared" si="144"/>
        <v>0</v>
      </c>
      <c r="BX128" s="130">
        <f t="shared" si="144"/>
        <v>0</v>
      </c>
      <c r="BY128" s="130">
        <f t="shared" si="144"/>
        <v>0</v>
      </c>
      <c r="BZ128" s="130">
        <f t="shared" si="144"/>
        <v>0</v>
      </c>
      <c r="CA128" s="130">
        <f t="shared" si="144"/>
        <v>0</v>
      </c>
      <c r="CB128" s="130">
        <f t="shared" si="144"/>
        <v>0</v>
      </c>
      <c r="CC128" s="130">
        <f t="shared" si="144"/>
        <v>0</v>
      </c>
      <c r="CD128" s="130">
        <f t="shared" si="144"/>
        <v>0</v>
      </c>
      <c r="CE128" s="130">
        <f t="shared" si="144"/>
        <v>0</v>
      </c>
      <c r="CF128" s="130">
        <f t="shared" si="144"/>
        <v>0</v>
      </c>
      <c r="CG128" s="130">
        <f t="shared" si="144"/>
        <v>0</v>
      </c>
      <c r="CH128" s="130">
        <f t="shared" si="144"/>
        <v>0</v>
      </c>
      <c r="CI128" s="130">
        <f t="shared" si="144"/>
        <v>0</v>
      </c>
      <c r="CJ128" s="130">
        <f t="shared" si="144"/>
        <v>0</v>
      </c>
      <c r="CK128" s="130">
        <f t="shared" si="144"/>
        <v>0</v>
      </c>
      <c r="CL128" s="130">
        <f t="shared" si="144"/>
        <v>0</v>
      </c>
      <c r="CM128" s="130">
        <f t="shared" si="144"/>
        <v>0</v>
      </c>
      <c r="CN128" s="130">
        <f t="shared" si="144"/>
        <v>0</v>
      </c>
      <c r="CO128" s="130">
        <f t="shared" si="144"/>
        <v>0</v>
      </c>
      <c r="CP128" s="130">
        <f t="shared" si="144"/>
        <v>0</v>
      </c>
      <c r="CQ128" s="130">
        <f t="shared" si="144"/>
        <v>0</v>
      </c>
      <c r="CR128" s="130">
        <f t="shared" si="144"/>
        <v>0</v>
      </c>
      <c r="CS128" s="130">
        <f t="shared" si="144"/>
        <v>0</v>
      </c>
      <c r="CT128" s="130">
        <f t="shared" si="144"/>
        <v>0</v>
      </c>
      <c r="CU128" s="130">
        <f t="shared" si="144"/>
        <v>0</v>
      </c>
      <c r="CV128" s="130">
        <f t="shared" si="144"/>
        <v>0</v>
      </c>
      <c r="CW128" s="130">
        <f t="shared" si="144"/>
        <v>0</v>
      </c>
      <c r="CX128" s="130">
        <f t="shared" si="144"/>
        <v>0</v>
      </c>
      <c r="CY128" s="130">
        <f t="shared" si="144"/>
        <v>0</v>
      </c>
      <c r="CZ128" s="130">
        <f t="shared" si="144"/>
        <v>0</v>
      </c>
    </row>
    <row r="129" spans="1:104" x14ac:dyDescent="0.35">
      <c r="A129" s="113"/>
      <c r="B129" s="98"/>
      <c r="C129" s="130"/>
      <c r="D129" s="98"/>
      <c r="E129" s="130"/>
      <c r="F129" s="130"/>
      <c r="G129" s="130"/>
      <c r="H129" s="131"/>
      <c r="I129" s="131"/>
      <c r="J129" s="131"/>
      <c r="K129" s="131"/>
      <c r="L129" s="131"/>
      <c r="M129" s="131"/>
      <c r="N129" s="131"/>
      <c r="O129" s="131"/>
      <c r="P129" s="131"/>
      <c r="Q129" s="131"/>
      <c r="R129" s="131"/>
      <c r="S129" s="131"/>
      <c r="T129" s="131"/>
      <c r="U129" s="131"/>
      <c r="V129" s="131"/>
      <c r="W129" s="131"/>
      <c r="X129" s="131"/>
      <c r="Y129" s="131"/>
      <c r="Z129" s="130"/>
      <c r="AA129" s="130"/>
      <c r="AB129" s="130"/>
      <c r="AC129" s="130"/>
      <c r="AD129" s="130"/>
      <c r="AE129" s="130"/>
      <c r="AF129" s="130"/>
      <c r="AG129" s="130"/>
      <c r="AH129" s="130"/>
      <c r="AI129" s="130"/>
      <c r="AJ129" s="130"/>
      <c r="AK129" s="130"/>
      <c r="AL129" s="130"/>
      <c r="AM129" s="130"/>
      <c r="AN129" s="130"/>
      <c r="AO129" s="130"/>
      <c r="AP129" s="130"/>
      <c r="AQ129" s="130"/>
      <c r="AR129" s="130"/>
      <c r="AS129" s="130"/>
      <c r="AT129" s="130"/>
      <c r="AU129" s="130"/>
      <c r="AV129" s="130"/>
      <c r="AW129" s="130"/>
      <c r="AX129" s="130"/>
      <c r="AY129" s="130"/>
      <c r="AZ129" s="130"/>
      <c r="BA129" s="130"/>
      <c r="BB129" s="130"/>
      <c r="BC129" s="130"/>
      <c r="BD129" s="130"/>
      <c r="BE129" s="130"/>
      <c r="BF129" s="130"/>
      <c r="BG129" s="130"/>
      <c r="BH129" s="130"/>
      <c r="BI129" s="130"/>
      <c r="BJ129" s="130"/>
      <c r="BK129" s="130"/>
      <c r="BL129" s="130"/>
      <c r="BM129" s="130"/>
      <c r="BN129" s="130"/>
      <c r="BO129" s="130"/>
      <c r="BP129" s="130"/>
      <c r="BQ129" s="130"/>
      <c r="BR129" s="130"/>
      <c r="BS129" s="130"/>
      <c r="BT129" s="130"/>
      <c r="BU129" s="130"/>
      <c r="BV129" s="130"/>
      <c r="BW129" s="130"/>
      <c r="BX129" s="130"/>
      <c r="BY129" s="130"/>
      <c r="BZ129" s="130"/>
      <c r="CA129" s="130"/>
      <c r="CB129" s="130"/>
      <c r="CC129" s="130"/>
      <c r="CD129" s="130"/>
      <c r="CE129" s="130"/>
      <c r="CF129" s="130"/>
      <c r="CG129" s="130"/>
      <c r="CH129" s="130"/>
      <c r="CI129" s="130"/>
      <c r="CJ129" s="130"/>
      <c r="CK129" s="130"/>
      <c r="CL129" s="130"/>
      <c r="CM129" s="130"/>
      <c r="CN129" s="130"/>
      <c r="CO129" s="130"/>
      <c r="CP129" s="130"/>
      <c r="CQ129" s="130"/>
      <c r="CR129" s="130"/>
      <c r="CS129" s="130"/>
      <c r="CT129" s="130"/>
      <c r="CU129" s="130"/>
      <c r="CV129" s="130"/>
      <c r="CW129" s="130"/>
      <c r="CX129" s="130"/>
      <c r="CY129" s="130"/>
      <c r="CZ129" s="130"/>
    </row>
    <row r="130" spans="1:104" s="108" customFormat="1" x14ac:dyDescent="0.35">
      <c r="B130" s="123"/>
      <c r="C130" s="126">
        <f>SUM(E130:CZ130)</f>
        <v>73286643.014347956</v>
      </c>
      <c r="D130" s="147" t="s">
        <v>658</v>
      </c>
      <c r="E130" s="125">
        <f>SUM(E118:E124)</f>
        <v>7924206.3043603264</v>
      </c>
      <c r="F130" s="125">
        <f>SUM(F118:F124)</f>
        <v>15485948.150501484</v>
      </c>
      <c r="G130" s="125">
        <f>SUM(G118:G124)</f>
        <v>23333184.921600197</v>
      </c>
      <c r="H130" s="125">
        <f t="shared" ref="H130:BQ130" si="145">SUM(H118:H124)</f>
        <v>26543303.637885947</v>
      </c>
      <c r="I130" s="125">
        <f t="shared" si="145"/>
        <v>0</v>
      </c>
      <c r="J130" s="125">
        <f t="shared" si="145"/>
        <v>0</v>
      </c>
      <c r="K130" s="125">
        <f t="shared" si="145"/>
        <v>0</v>
      </c>
      <c r="L130" s="125">
        <f t="shared" si="145"/>
        <v>0</v>
      </c>
      <c r="M130" s="125">
        <f t="shared" si="145"/>
        <v>0</v>
      </c>
      <c r="N130" s="125">
        <f t="shared" si="145"/>
        <v>0</v>
      </c>
      <c r="O130" s="125">
        <f t="shared" si="145"/>
        <v>0</v>
      </c>
      <c r="P130" s="153">
        <f t="shared" si="145"/>
        <v>0</v>
      </c>
      <c r="Q130" s="153">
        <f t="shared" si="145"/>
        <v>0</v>
      </c>
      <c r="R130" s="153">
        <f t="shared" si="145"/>
        <v>0</v>
      </c>
      <c r="S130" s="153">
        <f t="shared" si="145"/>
        <v>0</v>
      </c>
      <c r="T130" s="153">
        <f t="shared" si="145"/>
        <v>0</v>
      </c>
      <c r="U130" s="153">
        <f t="shared" si="145"/>
        <v>0</v>
      </c>
      <c r="V130" s="153">
        <f t="shared" si="145"/>
        <v>0</v>
      </c>
      <c r="W130" s="153">
        <f t="shared" si="145"/>
        <v>0</v>
      </c>
      <c r="X130" s="153">
        <f t="shared" si="145"/>
        <v>0</v>
      </c>
      <c r="Y130" s="153">
        <f t="shared" si="145"/>
        <v>0</v>
      </c>
      <c r="Z130" s="125">
        <f t="shared" si="145"/>
        <v>0</v>
      </c>
      <c r="AA130" s="125">
        <f t="shared" si="145"/>
        <v>0</v>
      </c>
      <c r="AB130" s="125">
        <f t="shared" si="145"/>
        <v>0</v>
      </c>
      <c r="AC130" s="125">
        <f t="shared" si="145"/>
        <v>0</v>
      </c>
      <c r="AD130" s="125">
        <f t="shared" si="145"/>
        <v>0</v>
      </c>
      <c r="AE130" s="125">
        <f t="shared" si="145"/>
        <v>0</v>
      </c>
      <c r="AF130" s="125">
        <f t="shared" si="145"/>
        <v>0</v>
      </c>
      <c r="AG130" s="125">
        <f t="shared" si="145"/>
        <v>0</v>
      </c>
      <c r="AH130" s="125">
        <f t="shared" si="145"/>
        <v>0</v>
      </c>
      <c r="AI130" s="125">
        <f t="shared" si="145"/>
        <v>0</v>
      </c>
      <c r="AJ130" s="125">
        <f t="shared" si="145"/>
        <v>0</v>
      </c>
      <c r="AK130" s="125">
        <f t="shared" si="145"/>
        <v>0</v>
      </c>
      <c r="AL130" s="125">
        <f t="shared" si="145"/>
        <v>0</v>
      </c>
      <c r="AM130" s="125">
        <f t="shared" si="145"/>
        <v>0</v>
      </c>
      <c r="AN130" s="125">
        <f t="shared" si="145"/>
        <v>0</v>
      </c>
      <c r="AO130" s="125">
        <f t="shared" si="145"/>
        <v>0</v>
      </c>
      <c r="AP130" s="125">
        <f t="shared" si="145"/>
        <v>0</v>
      </c>
      <c r="AQ130" s="125">
        <f t="shared" si="145"/>
        <v>0</v>
      </c>
      <c r="AR130" s="125">
        <f t="shared" si="145"/>
        <v>0</v>
      </c>
      <c r="AS130" s="125">
        <f t="shared" si="145"/>
        <v>0</v>
      </c>
      <c r="AT130" s="125">
        <f t="shared" si="145"/>
        <v>0</v>
      </c>
      <c r="AU130" s="125">
        <f t="shared" si="145"/>
        <v>0</v>
      </c>
      <c r="AV130" s="125">
        <f t="shared" si="145"/>
        <v>0</v>
      </c>
      <c r="AW130" s="125">
        <f t="shared" si="145"/>
        <v>0</v>
      </c>
      <c r="AX130" s="125">
        <f t="shared" si="145"/>
        <v>0</v>
      </c>
      <c r="AY130" s="125">
        <f t="shared" si="145"/>
        <v>0</v>
      </c>
      <c r="AZ130" s="125">
        <f t="shared" si="145"/>
        <v>0</v>
      </c>
      <c r="BA130" s="125">
        <f t="shared" si="145"/>
        <v>0</v>
      </c>
      <c r="BB130" s="125">
        <f t="shared" si="145"/>
        <v>0</v>
      </c>
      <c r="BC130" s="125">
        <f t="shared" si="145"/>
        <v>0</v>
      </c>
      <c r="BD130" s="125">
        <f t="shared" si="145"/>
        <v>0</v>
      </c>
      <c r="BE130" s="125">
        <f t="shared" si="145"/>
        <v>0</v>
      </c>
      <c r="BF130" s="125">
        <f t="shared" si="145"/>
        <v>0</v>
      </c>
      <c r="BG130" s="125">
        <f t="shared" si="145"/>
        <v>0</v>
      </c>
      <c r="BH130" s="125">
        <f t="shared" si="145"/>
        <v>0</v>
      </c>
      <c r="BI130" s="125">
        <f t="shared" si="145"/>
        <v>0</v>
      </c>
      <c r="BJ130" s="125">
        <f t="shared" si="145"/>
        <v>0</v>
      </c>
      <c r="BK130" s="125">
        <f t="shared" si="145"/>
        <v>0</v>
      </c>
      <c r="BL130" s="125">
        <f t="shared" si="145"/>
        <v>0</v>
      </c>
      <c r="BM130" s="125">
        <f t="shared" si="145"/>
        <v>0</v>
      </c>
      <c r="BN130" s="125">
        <f t="shared" si="145"/>
        <v>0</v>
      </c>
      <c r="BO130" s="125">
        <f t="shared" si="145"/>
        <v>0</v>
      </c>
      <c r="BP130" s="125">
        <f t="shared" si="145"/>
        <v>0</v>
      </c>
      <c r="BQ130" s="125">
        <f t="shared" si="145"/>
        <v>0</v>
      </c>
      <c r="BR130" s="125">
        <f t="shared" ref="BR130:CZ130" si="146">SUM(BR118:BR124)</f>
        <v>0</v>
      </c>
      <c r="BS130" s="125">
        <f t="shared" si="146"/>
        <v>0</v>
      </c>
      <c r="BT130" s="125">
        <f t="shared" si="146"/>
        <v>0</v>
      </c>
      <c r="BU130" s="125">
        <f t="shared" si="146"/>
        <v>0</v>
      </c>
      <c r="BV130" s="125">
        <f t="shared" si="146"/>
        <v>0</v>
      </c>
      <c r="BW130" s="125">
        <f t="shared" si="146"/>
        <v>0</v>
      </c>
      <c r="BX130" s="125">
        <f t="shared" si="146"/>
        <v>0</v>
      </c>
      <c r="BY130" s="125">
        <f t="shared" si="146"/>
        <v>0</v>
      </c>
      <c r="BZ130" s="125">
        <f t="shared" si="146"/>
        <v>0</v>
      </c>
      <c r="CA130" s="125">
        <f t="shared" si="146"/>
        <v>0</v>
      </c>
      <c r="CB130" s="125">
        <f t="shared" si="146"/>
        <v>0</v>
      </c>
      <c r="CC130" s="125">
        <f t="shared" si="146"/>
        <v>0</v>
      </c>
      <c r="CD130" s="125">
        <f t="shared" si="146"/>
        <v>0</v>
      </c>
      <c r="CE130" s="125">
        <f t="shared" si="146"/>
        <v>0</v>
      </c>
      <c r="CF130" s="125">
        <f t="shared" si="146"/>
        <v>0</v>
      </c>
      <c r="CG130" s="125">
        <f t="shared" si="146"/>
        <v>0</v>
      </c>
      <c r="CH130" s="125">
        <f t="shared" si="146"/>
        <v>0</v>
      </c>
      <c r="CI130" s="125">
        <f t="shared" si="146"/>
        <v>0</v>
      </c>
      <c r="CJ130" s="125">
        <f t="shared" si="146"/>
        <v>0</v>
      </c>
      <c r="CK130" s="125">
        <f t="shared" si="146"/>
        <v>0</v>
      </c>
      <c r="CL130" s="125">
        <f t="shared" si="146"/>
        <v>0</v>
      </c>
      <c r="CM130" s="125">
        <f t="shared" si="146"/>
        <v>0</v>
      </c>
      <c r="CN130" s="125">
        <f t="shared" si="146"/>
        <v>0</v>
      </c>
      <c r="CO130" s="125">
        <f t="shared" si="146"/>
        <v>0</v>
      </c>
      <c r="CP130" s="125">
        <f t="shared" si="146"/>
        <v>0</v>
      </c>
      <c r="CQ130" s="125">
        <f t="shared" si="146"/>
        <v>0</v>
      </c>
      <c r="CR130" s="125">
        <f t="shared" si="146"/>
        <v>0</v>
      </c>
      <c r="CS130" s="125">
        <f t="shared" si="146"/>
        <v>0</v>
      </c>
      <c r="CT130" s="125">
        <f t="shared" si="146"/>
        <v>0</v>
      </c>
      <c r="CU130" s="125">
        <f t="shared" si="146"/>
        <v>0</v>
      </c>
      <c r="CV130" s="125">
        <f t="shared" si="146"/>
        <v>0</v>
      </c>
      <c r="CW130" s="125">
        <f t="shared" si="146"/>
        <v>0</v>
      </c>
      <c r="CX130" s="125">
        <f t="shared" si="146"/>
        <v>0</v>
      </c>
      <c r="CY130" s="125">
        <f t="shared" si="146"/>
        <v>0</v>
      </c>
      <c r="CZ130" s="125">
        <f t="shared" si="146"/>
        <v>0</v>
      </c>
    </row>
    <row r="131" spans="1:104" s="108" customFormat="1" x14ac:dyDescent="0.35">
      <c r="B131" s="123"/>
      <c r="C131" s="126">
        <f>SUM(E131:CZ131)</f>
        <v>73286643.014347956</v>
      </c>
      <c r="D131" s="147" t="s">
        <v>659</v>
      </c>
      <c r="E131" s="125">
        <f>E130*(1+$E$53)</f>
        <v>7924206.3043603264</v>
      </c>
      <c r="F131" s="125">
        <f>F130*(1+$E$53)</f>
        <v>15485948.150501484</v>
      </c>
      <c r="G131" s="125">
        <f>G130*(1+$E$53)</f>
        <v>23333184.921600197</v>
      </c>
      <c r="H131" s="125">
        <f t="shared" ref="H131:BQ131" si="147">H130*(1+$E$53)</f>
        <v>26543303.637885947</v>
      </c>
      <c r="I131" s="125">
        <f t="shared" si="147"/>
        <v>0</v>
      </c>
      <c r="J131" s="125">
        <f t="shared" si="147"/>
        <v>0</v>
      </c>
      <c r="K131" s="125">
        <f t="shared" si="147"/>
        <v>0</v>
      </c>
      <c r="L131" s="125">
        <f t="shared" si="147"/>
        <v>0</v>
      </c>
      <c r="M131" s="125">
        <f t="shared" si="147"/>
        <v>0</v>
      </c>
      <c r="N131" s="125">
        <f t="shared" si="147"/>
        <v>0</v>
      </c>
      <c r="O131" s="125">
        <f t="shared" si="147"/>
        <v>0</v>
      </c>
      <c r="P131" s="125">
        <f t="shared" si="147"/>
        <v>0</v>
      </c>
      <c r="Q131" s="125">
        <f t="shared" si="147"/>
        <v>0</v>
      </c>
      <c r="R131" s="125">
        <f t="shared" si="147"/>
        <v>0</v>
      </c>
      <c r="S131" s="125">
        <f t="shared" si="147"/>
        <v>0</v>
      </c>
      <c r="T131" s="125">
        <f t="shared" si="147"/>
        <v>0</v>
      </c>
      <c r="U131" s="125">
        <f t="shared" si="147"/>
        <v>0</v>
      </c>
      <c r="V131" s="125">
        <f t="shared" si="147"/>
        <v>0</v>
      </c>
      <c r="W131" s="125">
        <f t="shared" si="147"/>
        <v>0</v>
      </c>
      <c r="X131" s="125">
        <f t="shared" si="147"/>
        <v>0</v>
      </c>
      <c r="Y131" s="125">
        <f t="shared" si="147"/>
        <v>0</v>
      </c>
      <c r="Z131" s="125">
        <f t="shared" si="147"/>
        <v>0</v>
      </c>
      <c r="AA131" s="125">
        <f t="shared" si="147"/>
        <v>0</v>
      </c>
      <c r="AB131" s="125">
        <f t="shared" si="147"/>
        <v>0</v>
      </c>
      <c r="AC131" s="125">
        <f t="shared" si="147"/>
        <v>0</v>
      </c>
      <c r="AD131" s="125">
        <f t="shared" si="147"/>
        <v>0</v>
      </c>
      <c r="AE131" s="125">
        <f t="shared" si="147"/>
        <v>0</v>
      </c>
      <c r="AF131" s="125">
        <f t="shared" si="147"/>
        <v>0</v>
      </c>
      <c r="AG131" s="125">
        <f t="shared" si="147"/>
        <v>0</v>
      </c>
      <c r="AH131" s="125">
        <f t="shared" si="147"/>
        <v>0</v>
      </c>
      <c r="AI131" s="125">
        <f t="shared" si="147"/>
        <v>0</v>
      </c>
      <c r="AJ131" s="125">
        <f t="shared" si="147"/>
        <v>0</v>
      </c>
      <c r="AK131" s="125">
        <f t="shared" si="147"/>
        <v>0</v>
      </c>
      <c r="AL131" s="125">
        <f t="shared" si="147"/>
        <v>0</v>
      </c>
      <c r="AM131" s="125">
        <f t="shared" si="147"/>
        <v>0</v>
      </c>
      <c r="AN131" s="125">
        <f t="shared" si="147"/>
        <v>0</v>
      </c>
      <c r="AO131" s="125">
        <f t="shared" si="147"/>
        <v>0</v>
      </c>
      <c r="AP131" s="125">
        <f t="shared" si="147"/>
        <v>0</v>
      </c>
      <c r="AQ131" s="125">
        <f t="shared" si="147"/>
        <v>0</v>
      </c>
      <c r="AR131" s="125">
        <f t="shared" si="147"/>
        <v>0</v>
      </c>
      <c r="AS131" s="125">
        <f t="shared" si="147"/>
        <v>0</v>
      </c>
      <c r="AT131" s="125">
        <f t="shared" si="147"/>
        <v>0</v>
      </c>
      <c r="AU131" s="125">
        <f t="shared" si="147"/>
        <v>0</v>
      </c>
      <c r="AV131" s="125">
        <f t="shared" si="147"/>
        <v>0</v>
      </c>
      <c r="AW131" s="125">
        <f t="shared" si="147"/>
        <v>0</v>
      </c>
      <c r="AX131" s="125">
        <f t="shared" si="147"/>
        <v>0</v>
      </c>
      <c r="AY131" s="125">
        <f t="shared" si="147"/>
        <v>0</v>
      </c>
      <c r="AZ131" s="125">
        <f t="shared" si="147"/>
        <v>0</v>
      </c>
      <c r="BA131" s="125">
        <f t="shared" si="147"/>
        <v>0</v>
      </c>
      <c r="BB131" s="125">
        <f t="shared" si="147"/>
        <v>0</v>
      </c>
      <c r="BC131" s="125">
        <f t="shared" si="147"/>
        <v>0</v>
      </c>
      <c r="BD131" s="125">
        <f t="shared" si="147"/>
        <v>0</v>
      </c>
      <c r="BE131" s="125">
        <f t="shared" si="147"/>
        <v>0</v>
      </c>
      <c r="BF131" s="125">
        <f t="shared" si="147"/>
        <v>0</v>
      </c>
      <c r="BG131" s="125">
        <f t="shared" si="147"/>
        <v>0</v>
      </c>
      <c r="BH131" s="125">
        <f t="shared" si="147"/>
        <v>0</v>
      </c>
      <c r="BI131" s="125">
        <f t="shared" si="147"/>
        <v>0</v>
      </c>
      <c r="BJ131" s="125">
        <f t="shared" si="147"/>
        <v>0</v>
      </c>
      <c r="BK131" s="125">
        <f t="shared" si="147"/>
        <v>0</v>
      </c>
      <c r="BL131" s="125">
        <f t="shared" si="147"/>
        <v>0</v>
      </c>
      <c r="BM131" s="125">
        <f t="shared" si="147"/>
        <v>0</v>
      </c>
      <c r="BN131" s="125">
        <f t="shared" si="147"/>
        <v>0</v>
      </c>
      <c r="BO131" s="125">
        <f t="shared" si="147"/>
        <v>0</v>
      </c>
      <c r="BP131" s="125">
        <f t="shared" si="147"/>
        <v>0</v>
      </c>
      <c r="BQ131" s="125">
        <f t="shared" si="147"/>
        <v>0</v>
      </c>
      <c r="BR131" s="125">
        <f t="shared" ref="BR131:CZ131" si="148">BR130*(1+$E$53)</f>
        <v>0</v>
      </c>
      <c r="BS131" s="125">
        <f t="shared" si="148"/>
        <v>0</v>
      </c>
      <c r="BT131" s="125">
        <f t="shared" si="148"/>
        <v>0</v>
      </c>
      <c r="BU131" s="125">
        <f t="shared" si="148"/>
        <v>0</v>
      </c>
      <c r="BV131" s="125">
        <f t="shared" si="148"/>
        <v>0</v>
      </c>
      <c r="BW131" s="125">
        <f t="shared" si="148"/>
        <v>0</v>
      </c>
      <c r="BX131" s="125">
        <f t="shared" si="148"/>
        <v>0</v>
      </c>
      <c r="BY131" s="125">
        <f t="shared" si="148"/>
        <v>0</v>
      </c>
      <c r="BZ131" s="125">
        <f t="shared" si="148"/>
        <v>0</v>
      </c>
      <c r="CA131" s="125">
        <f t="shared" si="148"/>
        <v>0</v>
      </c>
      <c r="CB131" s="125">
        <f t="shared" si="148"/>
        <v>0</v>
      </c>
      <c r="CC131" s="125">
        <f t="shared" si="148"/>
        <v>0</v>
      </c>
      <c r="CD131" s="125">
        <f t="shared" si="148"/>
        <v>0</v>
      </c>
      <c r="CE131" s="125">
        <f t="shared" si="148"/>
        <v>0</v>
      </c>
      <c r="CF131" s="125">
        <f t="shared" si="148"/>
        <v>0</v>
      </c>
      <c r="CG131" s="125">
        <f t="shared" si="148"/>
        <v>0</v>
      </c>
      <c r="CH131" s="125">
        <f t="shared" si="148"/>
        <v>0</v>
      </c>
      <c r="CI131" s="125">
        <f t="shared" si="148"/>
        <v>0</v>
      </c>
      <c r="CJ131" s="125">
        <f t="shared" si="148"/>
        <v>0</v>
      </c>
      <c r="CK131" s="125">
        <f t="shared" si="148"/>
        <v>0</v>
      </c>
      <c r="CL131" s="125">
        <f t="shared" si="148"/>
        <v>0</v>
      </c>
      <c r="CM131" s="125">
        <f t="shared" si="148"/>
        <v>0</v>
      </c>
      <c r="CN131" s="125">
        <f t="shared" si="148"/>
        <v>0</v>
      </c>
      <c r="CO131" s="125">
        <f t="shared" si="148"/>
        <v>0</v>
      </c>
      <c r="CP131" s="125">
        <f t="shared" si="148"/>
        <v>0</v>
      </c>
      <c r="CQ131" s="125">
        <f t="shared" si="148"/>
        <v>0</v>
      </c>
      <c r="CR131" s="125">
        <f t="shared" si="148"/>
        <v>0</v>
      </c>
      <c r="CS131" s="125">
        <f t="shared" si="148"/>
        <v>0</v>
      </c>
      <c r="CT131" s="125">
        <f t="shared" si="148"/>
        <v>0</v>
      </c>
      <c r="CU131" s="125">
        <f t="shared" si="148"/>
        <v>0</v>
      </c>
      <c r="CV131" s="125">
        <f t="shared" si="148"/>
        <v>0</v>
      </c>
      <c r="CW131" s="125">
        <f t="shared" si="148"/>
        <v>0</v>
      </c>
      <c r="CX131" s="125">
        <f t="shared" si="148"/>
        <v>0</v>
      </c>
      <c r="CY131" s="125">
        <f t="shared" si="148"/>
        <v>0</v>
      </c>
      <c r="CZ131" s="125">
        <f t="shared" si="148"/>
        <v>0</v>
      </c>
    </row>
    <row r="132" spans="1:104" s="108" customFormat="1" x14ac:dyDescent="0.35">
      <c r="B132" s="117"/>
      <c r="C132" s="126">
        <f>SUM(E132:CZ132)</f>
        <v>21436685.01487802</v>
      </c>
      <c r="D132" s="147" t="s">
        <v>660</v>
      </c>
      <c r="E132" s="125">
        <f>SUM(E126:E128)</f>
        <v>0</v>
      </c>
      <c r="F132" s="125">
        <f>SUM(F126:F128)</f>
        <v>0</v>
      </c>
      <c r="G132" s="125">
        <f t="shared" ref="G132:BQ132" si="149">SUM(G126:G128)</f>
        <v>0</v>
      </c>
      <c r="H132" s="125">
        <f t="shared" si="149"/>
        <v>0</v>
      </c>
      <c r="I132" s="125">
        <f t="shared" si="149"/>
        <v>1786390.4179065018</v>
      </c>
      <c r="J132" s="125">
        <f t="shared" si="149"/>
        <v>1786390.4179065018</v>
      </c>
      <c r="K132" s="125">
        <f t="shared" si="149"/>
        <v>1786390.4179065018</v>
      </c>
      <c r="L132" s="125">
        <f t="shared" si="149"/>
        <v>1786390.4179065018</v>
      </c>
      <c r="M132" s="125">
        <f t="shared" si="149"/>
        <v>1786390.4179065018</v>
      </c>
      <c r="N132" s="125">
        <f t="shared" si="149"/>
        <v>1786390.4179065018</v>
      </c>
      <c r="O132" s="125">
        <f t="shared" si="149"/>
        <v>1786390.4179065018</v>
      </c>
      <c r="P132" s="153">
        <f t="shared" si="149"/>
        <v>1786390.4179065018</v>
      </c>
      <c r="Q132" s="153">
        <f t="shared" si="149"/>
        <v>1786390.4179065018</v>
      </c>
      <c r="R132" s="153">
        <f t="shared" si="149"/>
        <v>1786390.4179065018</v>
      </c>
      <c r="S132" s="153">
        <f t="shared" si="149"/>
        <v>1786390.4179065018</v>
      </c>
      <c r="T132" s="153">
        <f t="shared" si="149"/>
        <v>1786390.4179065018</v>
      </c>
      <c r="U132" s="153">
        <f t="shared" si="149"/>
        <v>0</v>
      </c>
      <c r="V132" s="153">
        <f t="shared" si="149"/>
        <v>0</v>
      </c>
      <c r="W132" s="153">
        <f t="shared" si="149"/>
        <v>0</v>
      </c>
      <c r="X132" s="153">
        <f t="shared" si="149"/>
        <v>0</v>
      </c>
      <c r="Y132" s="153">
        <f t="shared" si="149"/>
        <v>0</v>
      </c>
      <c r="Z132" s="125">
        <f t="shared" si="149"/>
        <v>0</v>
      </c>
      <c r="AA132" s="125">
        <f t="shared" si="149"/>
        <v>0</v>
      </c>
      <c r="AB132" s="125">
        <f t="shared" si="149"/>
        <v>0</v>
      </c>
      <c r="AC132" s="125">
        <f t="shared" si="149"/>
        <v>0</v>
      </c>
      <c r="AD132" s="125">
        <f t="shared" si="149"/>
        <v>0</v>
      </c>
      <c r="AE132" s="125">
        <f t="shared" si="149"/>
        <v>0</v>
      </c>
      <c r="AF132" s="125">
        <f t="shared" si="149"/>
        <v>0</v>
      </c>
      <c r="AG132" s="125">
        <f t="shared" si="149"/>
        <v>0</v>
      </c>
      <c r="AH132" s="125">
        <f t="shared" si="149"/>
        <v>0</v>
      </c>
      <c r="AI132" s="125">
        <f t="shared" si="149"/>
        <v>0</v>
      </c>
      <c r="AJ132" s="125">
        <f t="shared" si="149"/>
        <v>0</v>
      </c>
      <c r="AK132" s="125">
        <f t="shared" si="149"/>
        <v>0</v>
      </c>
      <c r="AL132" s="125">
        <f t="shared" si="149"/>
        <v>0</v>
      </c>
      <c r="AM132" s="125">
        <f t="shared" si="149"/>
        <v>0</v>
      </c>
      <c r="AN132" s="125">
        <f t="shared" si="149"/>
        <v>0</v>
      </c>
      <c r="AO132" s="125">
        <f t="shared" si="149"/>
        <v>0</v>
      </c>
      <c r="AP132" s="125">
        <f t="shared" si="149"/>
        <v>0</v>
      </c>
      <c r="AQ132" s="125">
        <f t="shared" si="149"/>
        <v>0</v>
      </c>
      <c r="AR132" s="125">
        <f t="shared" si="149"/>
        <v>0</v>
      </c>
      <c r="AS132" s="125">
        <f t="shared" si="149"/>
        <v>0</v>
      </c>
      <c r="AT132" s="125">
        <f t="shared" si="149"/>
        <v>0</v>
      </c>
      <c r="AU132" s="125">
        <f t="shared" si="149"/>
        <v>0</v>
      </c>
      <c r="AV132" s="125">
        <f t="shared" si="149"/>
        <v>0</v>
      </c>
      <c r="AW132" s="125">
        <f t="shared" si="149"/>
        <v>0</v>
      </c>
      <c r="AX132" s="125">
        <f t="shared" si="149"/>
        <v>0</v>
      </c>
      <c r="AY132" s="125">
        <f t="shared" si="149"/>
        <v>0</v>
      </c>
      <c r="AZ132" s="125">
        <f t="shared" si="149"/>
        <v>0</v>
      </c>
      <c r="BA132" s="125">
        <f t="shared" si="149"/>
        <v>0</v>
      </c>
      <c r="BB132" s="125">
        <f t="shared" si="149"/>
        <v>0</v>
      </c>
      <c r="BC132" s="125">
        <f t="shared" si="149"/>
        <v>0</v>
      </c>
      <c r="BD132" s="125">
        <f t="shared" si="149"/>
        <v>0</v>
      </c>
      <c r="BE132" s="125">
        <f t="shared" si="149"/>
        <v>0</v>
      </c>
      <c r="BF132" s="125">
        <f t="shared" si="149"/>
        <v>0</v>
      </c>
      <c r="BG132" s="125">
        <f t="shared" si="149"/>
        <v>0</v>
      </c>
      <c r="BH132" s="125">
        <f t="shared" si="149"/>
        <v>0</v>
      </c>
      <c r="BI132" s="125">
        <f t="shared" si="149"/>
        <v>0</v>
      </c>
      <c r="BJ132" s="125">
        <f t="shared" si="149"/>
        <v>0</v>
      </c>
      <c r="BK132" s="125">
        <f t="shared" si="149"/>
        <v>0</v>
      </c>
      <c r="BL132" s="125">
        <f t="shared" si="149"/>
        <v>0</v>
      </c>
      <c r="BM132" s="125">
        <f t="shared" si="149"/>
        <v>0</v>
      </c>
      <c r="BN132" s="125">
        <f t="shared" si="149"/>
        <v>0</v>
      </c>
      <c r="BO132" s="125">
        <f t="shared" si="149"/>
        <v>0</v>
      </c>
      <c r="BP132" s="125">
        <f t="shared" si="149"/>
        <v>0</v>
      </c>
      <c r="BQ132" s="125">
        <f t="shared" si="149"/>
        <v>0</v>
      </c>
      <c r="BR132" s="125">
        <f t="shared" ref="BR132:CZ132" si="150">SUM(BR126:BR128)</f>
        <v>0</v>
      </c>
      <c r="BS132" s="125">
        <f t="shared" si="150"/>
        <v>0</v>
      </c>
      <c r="BT132" s="125">
        <f t="shared" si="150"/>
        <v>0</v>
      </c>
      <c r="BU132" s="125">
        <f t="shared" si="150"/>
        <v>0</v>
      </c>
      <c r="BV132" s="125">
        <f t="shared" si="150"/>
        <v>0</v>
      </c>
      <c r="BW132" s="125">
        <f t="shared" si="150"/>
        <v>0</v>
      </c>
      <c r="BX132" s="125">
        <f t="shared" si="150"/>
        <v>0</v>
      </c>
      <c r="BY132" s="125">
        <f t="shared" si="150"/>
        <v>0</v>
      </c>
      <c r="BZ132" s="125">
        <f t="shared" si="150"/>
        <v>0</v>
      </c>
      <c r="CA132" s="125">
        <f t="shared" si="150"/>
        <v>0</v>
      </c>
      <c r="CB132" s="125">
        <f t="shared" si="150"/>
        <v>0</v>
      </c>
      <c r="CC132" s="125">
        <f t="shared" si="150"/>
        <v>0</v>
      </c>
      <c r="CD132" s="125">
        <f t="shared" si="150"/>
        <v>0</v>
      </c>
      <c r="CE132" s="125">
        <f t="shared" si="150"/>
        <v>0</v>
      </c>
      <c r="CF132" s="125">
        <f t="shared" si="150"/>
        <v>0</v>
      </c>
      <c r="CG132" s="125">
        <f t="shared" si="150"/>
        <v>0</v>
      </c>
      <c r="CH132" s="125">
        <f t="shared" si="150"/>
        <v>0</v>
      </c>
      <c r="CI132" s="125">
        <f t="shared" si="150"/>
        <v>0</v>
      </c>
      <c r="CJ132" s="125">
        <f t="shared" si="150"/>
        <v>0</v>
      </c>
      <c r="CK132" s="125">
        <f t="shared" si="150"/>
        <v>0</v>
      </c>
      <c r="CL132" s="125">
        <f t="shared" si="150"/>
        <v>0</v>
      </c>
      <c r="CM132" s="125">
        <f t="shared" si="150"/>
        <v>0</v>
      </c>
      <c r="CN132" s="125">
        <f t="shared" si="150"/>
        <v>0</v>
      </c>
      <c r="CO132" s="125">
        <f t="shared" si="150"/>
        <v>0</v>
      </c>
      <c r="CP132" s="125">
        <f t="shared" si="150"/>
        <v>0</v>
      </c>
      <c r="CQ132" s="125">
        <f t="shared" si="150"/>
        <v>0</v>
      </c>
      <c r="CR132" s="125">
        <f t="shared" si="150"/>
        <v>0</v>
      </c>
      <c r="CS132" s="125">
        <f t="shared" si="150"/>
        <v>0</v>
      </c>
      <c r="CT132" s="125">
        <f t="shared" si="150"/>
        <v>0</v>
      </c>
      <c r="CU132" s="125">
        <f t="shared" si="150"/>
        <v>0</v>
      </c>
      <c r="CV132" s="125">
        <f t="shared" si="150"/>
        <v>0</v>
      </c>
      <c r="CW132" s="125">
        <f t="shared" si="150"/>
        <v>0</v>
      </c>
      <c r="CX132" s="125">
        <f t="shared" si="150"/>
        <v>0</v>
      </c>
      <c r="CY132" s="125">
        <f t="shared" si="150"/>
        <v>0</v>
      </c>
      <c r="CZ132" s="125">
        <f t="shared" si="150"/>
        <v>0</v>
      </c>
    </row>
    <row r="133" spans="1:104" s="108" customFormat="1" x14ac:dyDescent="0.35">
      <c r="B133" s="117"/>
      <c r="C133" s="126"/>
      <c r="D133" s="98"/>
      <c r="E133" s="125"/>
      <c r="F133" s="125"/>
      <c r="G133" s="125"/>
      <c r="H133" s="125"/>
      <c r="I133" s="125"/>
      <c r="J133" s="125"/>
      <c r="K133" s="125"/>
      <c r="L133" s="125"/>
      <c r="M133" s="125"/>
      <c r="N133" s="125"/>
      <c r="O133" s="125"/>
      <c r="P133" s="153"/>
      <c r="Q133" s="153"/>
      <c r="R133" s="153"/>
      <c r="S133" s="153"/>
      <c r="T133" s="153"/>
      <c r="U133" s="153"/>
      <c r="V133" s="153"/>
      <c r="W133" s="153"/>
      <c r="X133" s="153"/>
      <c r="Y133" s="153"/>
      <c r="Z133" s="125"/>
      <c r="AA133" s="125"/>
      <c r="AB133" s="125"/>
      <c r="AC133" s="125"/>
      <c r="AD133" s="125"/>
      <c r="AE133" s="125"/>
      <c r="AF133" s="125"/>
      <c r="AG133" s="125"/>
      <c r="AH133" s="125"/>
      <c r="AI133" s="125"/>
      <c r="AJ133" s="125"/>
      <c r="AK133" s="125"/>
      <c r="AL133" s="125"/>
      <c r="AM133" s="125"/>
      <c r="AN133" s="125"/>
      <c r="AO133" s="125"/>
      <c r="AP133" s="125"/>
      <c r="AQ133" s="125"/>
      <c r="AR133" s="125"/>
      <c r="AS133" s="125"/>
      <c r="AT133" s="125"/>
      <c r="AU133" s="125"/>
      <c r="AV133" s="125"/>
      <c r="AW133" s="125"/>
      <c r="AX133" s="125"/>
      <c r="AY133" s="125"/>
      <c r="AZ133" s="125"/>
      <c r="BA133" s="125"/>
      <c r="BB133" s="125"/>
      <c r="BC133" s="125"/>
      <c r="BD133" s="125"/>
      <c r="BE133" s="125"/>
      <c r="BF133" s="125"/>
      <c r="BG133" s="125"/>
      <c r="BH133" s="125"/>
      <c r="BI133" s="125"/>
      <c r="BJ133" s="125"/>
      <c r="BK133" s="125"/>
      <c r="BL133" s="125"/>
      <c r="BM133" s="125"/>
      <c r="BN133" s="125"/>
      <c r="BO133" s="125"/>
      <c r="BP133" s="125"/>
      <c r="BQ133" s="125"/>
      <c r="BR133" s="125"/>
      <c r="BS133" s="125"/>
      <c r="BT133" s="125"/>
      <c r="BU133" s="125"/>
      <c r="BV133" s="125"/>
      <c r="BW133" s="125"/>
      <c r="BX133" s="125"/>
      <c r="BY133" s="125"/>
      <c r="BZ133" s="125"/>
      <c r="CA133" s="125"/>
      <c r="CB133" s="125"/>
      <c r="CC133" s="125"/>
      <c r="CD133" s="125"/>
      <c r="CE133" s="125"/>
      <c r="CF133" s="125"/>
      <c r="CG133" s="125"/>
      <c r="CH133" s="125"/>
      <c r="CI133" s="125"/>
      <c r="CJ133" s="125"/>
      <c r="CK133" s="125"/>
      <c r="CL133" s="125"/>
      <c r="CM133" s="125"/>
      <c r="CN133" s="125"/>
      <c r="CO133" s="125"/>
      <c r="CP133" s="125"/>
      <c r="CQ133" s="125"/>
      <c r="CR133" s="125"/>
      <c r="CS133" s="125"/>
      <c r="CT133" s="125"/>
      <c r="CU133" s="125"/>
      <c r="CV133" s="125"/>
      <c r="CW133" s="125"/>
      <c r="CX133" s="125"/>
      <c r="CY133" s="125"/>
      <c r="CZ133" s="125"/>
    </row>
    <row r="134" spans="1:104" s="108" customFormat="1" x14ac:dyDescent="0.35">
      <c r="A134" s="113"/>
      <c r="B134" s="98"/>
      <c r="C134" s="126"/>
      <c r="D134" s="106" t="s">
        <v>161</v>
      </c>
      <c r="E134" s="125"/>
      <c r="F134" s="125"/>
      <c r="G134" s="125"/>
      <c r="H134" s="125"/>
      <c r="I134" s="125"/>
      <c r="J134" s="125"/>
      <c r="K134" s="125"/>
      <c r="L134" s="125"/>
      <c r="M134" s="125"/>
      <c r="N134" s="125"/>
      <c r="O134" s="125"/>
      <c r="P134" s="153"/>
      <c r="Q134" s="153"/>
      <c r="R134" s="153"/>
      <c r="S134" s="153"/>
      <c r="T134" s="153"/>
      <c r="U134" s="153"/>
      <c r="V134" s="153"/>
      <c r="W134" s="153"/>
      <c r="X134" s="153"/>
      <c r="Y134" s="153"/>
      <c r="Z134" s="125"/>
      <c r="AA134" s="125"/>
      <c r="AB134" s="125"/>
      <c r="AC134" s="125"/>
      <c r="AD134" s="125"/>
      <c r="AE134" s="125"/>
      <c r="AF134" s="125"/>
      <c r="AG134" s="125"/>
      <c r="AH134" s="125"/>
      <c r="AI134" s="125"/>
      <c r="AJ134" s="125"/>
      <c r="AK134" s="125"/>
      <c r="AL134" s="125"/>
      <c r="AM134" s="125"/>
      <c r="AN134" s="125"/>
      <c r="AO134" s="125"/>
      <c r="AP134" s="125"/>
      <c r="AQ134" s="125"/>
      <c r="AR134" s="125"/>
      <c r="AS134" s="125"/>
      <c r="AT134" s="125"/>
      <c r="AU134" s="125"/>
      <c r="AV134" s="125"/>
      <c r="AW134" s="125"/>
      <c r="AX134" s="125"/>
      <c r="AY134" s="125"/>
      <c r="AZ134" s="125"/>
      <c r="BA134" s="125"/>
      <c r="BB134" s="125"/>
      <c r="BC134" s="125"/>
      <c r="BD134" s="125"/>
      <c r="BE134" s="125"/>
      <c r="BF134" s="125"/>
      <c r="BG134" s="125"/>
      <c r="BH134" s="125"/>
      <c r="BI134" s="125"/>
      <c r="BJ134" s="125"/>
      <c r="BK134" s="125"/>
      <c r="BL134" s="125"/>
      <c r="BM134" s="125"/>
      <c r="BN134" s="125"/>
      <c r="BO134" s="125"/>
      <c r="BP134" s="125"/>
      <c r="BQ134" s="125"/>
      <c r="BR134" s="125"/>
      <c r="BS134" s="125"/>
      <c r="BT134" s="125"/>
      <c r="BU134" s="125"/>
      <c r="BV134" s="125"/>
      <c r="BW134" s="125"/>
      <c r="BX134" s="125"/>
      <c r="BY134" s="125"/>
      <c r="BZ134" s="125"/>
      <c r="CA134" s="125"/>
      <c r="CB134" s="125"/>
      <c r="CC134" s="125"/>
      <c r="CD134" s="125"/>
      <c r="CE134" s="125"/>
      <c r="CF134" s="125"/>
      <c r="CG134" s="125"/>
      <c r="CH134" s="125"/>
      <c r="CI134" s="125"/>
      <c r="CJ134" s="125"/>
      <c r="CK134" s="125"/>
      <c r="CL134" s="125"/>
      <c r="CM134" s="125"/>
      <c r="CN134" s="125"/>
      <c r="CO134" s="125"/>
      <c r="CP134" s="125"/>
      <c r="CQ134" s="125"/>
      <c r="CR134" s="125"/>
      <c r="CS134" s="125"/>
      <c r="CT134" s="125"/>
      <c r="CU134" s="125"/>
      <c r="CV134" s="125"/>
      <c r="CW134" s="125"/>
      <c r="CX134" s="125"/>
      <c r="CY134" s="125"/>
      <c r="CZ134" s="125"/>
    </row>
    <row r="135" spans="1:104" s="108" customFormat="1" x14ac:dyDescent="0.35">
      <c r="A135" s="113"/>
      <c r="B135" s="98"/>
      <c r="C135" s="126">
        <f>SUM(E135:CZ135)</f>
        <v>185675960.20062685</v>
      </c>
      <c r="D135" s="147" t="s">
        <v>661</v>
      </c>
      <c r="E135" s="125">
        <f>E131*E108</f>
        <v>19318059.662760239</v>
      </c>
      <c r="F135" s="125">
        <f>F131*F108</f>
        <v>38507533.498214178</v>
      </c>
      <c r="G135" s="125">
        <f>G131*G108</f>
        <v>59180972.264758475</v>
      </c>
      <c r="H135" s="125">
        <f>H131*H108</f>
        <v>68669394.774893954</v>
      </c>
      <c r="I135" s="125">
        <f t="shared" ref="I135:AJ135" si="151">I131*I108</f>
        <v>0</v>
      </c>
      <c r="J135" s="125">
        <f t="shared" si="151"/>
        <v>0</v>
      </c>
      <c r="K135" s="125">
        <f t="shared" si="151"/>
        <v>0</v>
      </c>
      <c r="L135" s="125">
        <f t="shared" si="151"/>
        <v>0</v>
      </c>
      <c r="M135" s="125">
        <f t="shared" si="151"/>
        <v>0</v>
      </c>
      <c r="N135" s="125">
        <f t="shared" si="151"/>
        <v>0</v>
      </c>
      <c r="O135" s="125">
        <f t="shared" si="151"/>
        <v>0</v>
      </c>
      <c r="P135" s="153">
        <f t="shared" si="151"/>
        <v>0</v>
      </c>
      <c r="Q135" s="153">
        <f t="shared" si="151"/>
        <v>0</v>
      </c>
      <c r="R135" s="153">
        <f t="shared" si="151"/>
        <v>0</v>
      </c>
      <c r="S135" s="153">
        <f t="shared" si="151"/>
        <v>0</v>
      </c>
      <c r="T135" s="153">
        <f t="shared" si="151"/>
        <v>0</v>
      </c>
      <c r="U135" s="153">
        <f t="shared" si="151"/>
        <v>0</v>
      </c>
      <c r="V135" s="153">
        <f t="shared" si="151"/>
        <v>0</v>
      </c>
      <c r="W135" s="153">
        <f t="shared" si="151"/>
        <v>0</v>
      </c>
      <c r="X135" s="153">
        <f t="shared" si="151"/>
        <v>0</v>
      </c>
      <c r="Y135" s="153">
        <f t="shared" si="151"/>
        <v>0</v>
      </c>
      <c r="Z135" s="125">
        <f t="shared" si="151"/>
        <v>0</v>
      </c>
      <c r="AA135" s="125">
        <f t="shared" si="151"/>
        <v>0</v>
      </c>
      <c r="AB135" s="125">
        <f t="shared" si="151"/>
        <v>0</v>
      </c>
      <c r="AC135" s="125">
        <f t="shared" si="151"/>
        <v>0</v>
      </c>
      <c r="AD135" s="125">
        <f t="shared" si="151"/>
        <v>0</v>
      </c>
      <c r="AE135" s="125">
        <f t="shared" si="151"/>
        <v>0</v>
      </c>
      <c r="AF135" s="125">
        <f t="shared" si="151"/>
        <v>0</v>
      </c>
      <c r="AG135" s="125">
        <f t="shared" si="151"/>
        <v>0</v>
      </c>
      <c r="AH135" s="125">
        <f t="shared" si="151"/>
        <v>0</v>
      </c>
      <c r="AI135" s="125">
        <f t="shared" si="151"/>
        <v>0</v>
      </c>
      <c r="AJ135" s="125">
        <f t="shared" si="151"/>
        <v>0</v>
      </c>
      <c r="AK135" s="125">
        <f t="shared" ref="AK135:BP135" si="152">AK131*AK108</f>
        <v>0</v>
      </c>
      <c r="AL135" s="125">
        <f t="shared" si="152"/>
        <v>0</v>
      </c>
      <c r="AM135" s="125">
        <f t="shared" si="152"/>
        <v>0</v>
      </c>
      <c r="AN135" s="125">
        <f t="shared" si="152"/>
        <v>0</v>
      </c>
      <c r="AO135" s="125">
        <f t="shared" si="152"/>
        <v>0</v>
      </c>
      <c r="AP135" s="125">
        <f t="shared" si="152"/>
        <v>0</v>
      </c>
      <c r="AQ135" s="125">
        <f t="shared" si="152"/>
        <v>0</v>
      </c>
      <c r="AR135" s="125">
        <f t="shared" si="152"/>
        <v>0</v>
      </c>
      <c r="AS135" s="125">
        <f t="shared" si="152"/>
        <v>0</v>
      </c>
      <c r="AT135" s="125">
        <f t="shared" si="152"/>
        <v>0</v>
      </c>
      <c r="AU135" s="125">
        <f t="shared" si="152"/>
        <v>0</v>
      </c>
      <c r="AV135" s="125">
        <f t="shared" si="152"/>
        <v>0</v>
      </c>
      <c r="AW135" s="125">
        <f t="shared" si="152"/>
        <v>0</v>
      </c>
      <c r="AX135" s="125">
        <f t="shared" si="152"/>
        <v>0</v>
      </c>
      <c r="AY135" s="125">
        <f t="shared" si="152"/>
        <v>0</v>
      </c>
      <c r="AZ135" s="125">
        <f t="shared" si="152"/>
        <v>0</v>
      </c>
      <c r="BA135" s="125">
        <f t="shared" si="152"/>
        <v>0</v>
      </c>
      <c r="BB135" s="125">
        <f t="shared" si="152"/>
        <v>0</v>
      </c>
      <c r="BC135" s="125">
        <f t="shared" si="152"/>
        <v>0</v>
      </c>
      <c r="BD135" s="125">
        <f t="shared" si="152"/>
        <v>0</v>
      </c>
      <c r="BE135" s="125">
        <f t="shared" si="152"/>
        <v>0</v>
      </c>
      <c r="BF135" s="125">
        <f t="shared" si="152"/>
        <v>0</v>
      </c>
      <c r="BG135" s="125">
        <f t="shared" si="152"/>
        <v>0</v>
      </c>
      <c r="BH135" s="125">
        <f t="shared" si="152"/>
        <v>0</v>
      </c>
      <c r="BI135" s="125">
        <f t="shared" si="152"/>
        <v>0</v>
      </c>
      <c r="BJ135" s="125">
        <f t="shared" si="152"/>
        <v>0</v>
      </c>
      <c r="BK135" s="125">
        <f t="shared" si="152"/>
        <v>0</v>
      </c>
      <c r="BL135" s="125">
        <f t="shared" si="152"/>
        <v>0</v>
      </c>
      <c r="BM135" s="125">
        <f t="shared" si="152"/>
        <v>0</v>
      </c>
      <c r="BN135" s="125">
        <f t="shared" si="152"/>
        <v>0</v>
      </c>
      <c r="BO135" s="125">
        <f t="shared" si="152"/>
        <v>0</v>
      </c>
      <c r="BP135" s="125">
        <f t="shared" si="152"/>
        <v>0</v>
      </c>
      <c r="BQ135" s="125">
        <f t="shared" ref="BQ135:CZ135" si="153">BQ131*BQ108</f>
        <v>0</v>
      </c>
      <c r="BR135" s="125">
        <f t="shared" si="153"/>
        <v>0</v>
      </c>
      <c r="BS135" s="125">
        <f t="shared" si="153"/>
        <v>0</v>
      </c>
      <c r="BT135" s="125">
        <f t="shared" si="153"/>
        <v>0</v>
      </c>
      <c r="BU135" s="125">
        <f t="shared" si="153"/>
        <v>0</v>
      </c>
      <c r="BV135" s="125">
        <f t="shared" si="153"/>
        <v>0</v>
      </c>
      <c r="BW135" s="125">
        <f t="shared" si="153"/>
        <v>0</v>
      </c>
      <c r="BX135" s="125">
        <f t="shared" si="153"/>
        <v>0</v>
      </c>
      <c r="BY135" s="125">
        <f t="shared" si="153"/>
        <v>0</v>
      </c>
      <c r="BZ135" s="125">
        <f t="shared" si="153"/>
        <v>0</v>
      </c>
      <c r="CA135" s="125">
        <f t="shared" si="153"/>
        <v>0</v>
      </c>
      <c r="CB135" s="125">
        <f t="shared" si="153"/>
        <v>0</v>
      </c>
      <c r="CC135" s="125">
        <f t="shared" si="153"/>
        <v>0</v>
      </c>
      <c r="CD135" s="125">
        <f t="shared" si="153"/>
        <v>0</v>
      </c>
      <c r="CE135" s="125">
        <f t="shared" si="153"/>
        <v>0</v>
      </c>
      <c r="CF135" s="125">
        <f t="shared" si="153"/>
        <v>0</v>
      </c>
      <c r="CG135" s="125">
        <f t="shared" si="153"/>
        <v>0</v>
      </c>
      <c r="CH135" s="125">
        <f t="shared" si="153"/>
        <v>0</v>
      </c>
      <c r="CI135" s="125">
        <f t="shared" si="153"/>
        <v>0</v>
      </c>
      <c r="CJ135" s="125">
        <f t="shared" si="153"/>
        <v>0</v>
      </c>
      <c r="CK135" s="125">
        <f t="shared" si="153"/>
        <v>0</v>
      </c>
      <c r="CL135" s="125">
        <f t="shared" si="153"/>
        <v>0</v>
      </c>
      <c r="CM135" s="125">
        <f t="shared" si="153"/>
        <v>0</v>
      </c>
      <c r="CN135" s="125">
        <f t="shared" si="153"/>
        <v>0</v>
      </c>
      <c r="CO135" s="125">
        <f t="shared" si="153"/>
        <v>0</v>
      </c>
      <c r="CP135" s="125">
        <f t="shared" si="153"/>
        <v>0</v>
      </c>
      <c r="CQ135" s="125">
        <f t="shared" si="153"/>
        <v>0</v>
      </c>
      <c r="CR135" s="125">
        <f t="shared" si="153"/>
        <v>0</v>
      </c>
      <c r="CS135" s="125">
        <f t="shared" si="153"/>
        <v>0</v>
      </c>
      <c r="CT135" s="125">
        <f t="shared" si="153"/>
        <v>0</v>
      </c>
      <c r="CU135" s="125">
        <f t="shared" si="153"/>
        <v>0</v>
      </c>
      <c r="CV135" s="125">
        <f t="shared" si="153"/>
        <v>0</v>
      </c>
      <c r="CW135" s="125">
        <f t="shared" si="153"/>
        <v>0</v>
      </c>
      <c r="CX135" s="125">
        <f t="shared" si="153"/>
        <v>0</v>
      </c>
      <c r="CY135" s="125">
        <f t="shared" si="153"/>
        <v>0</v>
      </c>
      <c r="CZ135" s="125">
        <f t="shared" si="153"/>
        <v>0</v>
      </c>
    </row>
    <row r="136" spans="1:104" s="108" customFormat="1" x14ac:dyDescent="0.35">
      <c r="A136" s="113"/>
      <c r="B136" s="98"/>
      <c r="C136" s="126">
        <f>SUM(E136:CZ136)</f>
        <v>63223894.918402664</v>
      </c>
      <c r="D136" s="147" t="s">
        <v>662</v>
      </c>
      <c r="E136" s="125">
        <f t="shared" ref="E136:AJ136" si="154">E132*E108</f>
        <v>0</v>
      </c>
      <c r="F136" s="125">
        <f t="shared" si="154"/>
        <v>0</v>
      </c>
      <c r="G136" s="125">
        <f t="shared" si="154"/>
        <v>0</v>
      </c>
      <c r="H136" s="125">
        <f t="shared" si="154"/>
        <v>0</v>
      </c>
      <c r="I136" s="125">
        <f>I132*I108</f>
        <v>4713948.1020479752</v>
      </c>
      <c r="J136" s="125">
        <f t="shared" si="154"/>
        <v>4808227.0640889341</v>
      </c>
      <c r="K136" s="125">
        <f t="shared" si="154"/>
        <v>4904391.6053707125</v>
      </c>
      <c r="L136" s="125">
        <f t="shared" si="154"/>
        <v>5002479.4374781279</v>
      </c>
      <c r="M136" s="125">
        <f t="shared" si="154"/>
        <v>5102529.0262276893</v>
      </c>
      <c r="N136" s="125">
        <f t="shared" si="154"/>
        <v>5204579.6067522438</v>
      </c>
      <c r="O136" s="125">
        <f t="shared" si="154"/>
        <v>5308671.1988872867</v>
      </c>
      <c r="P136" s="153">
        <f t="shared" si="154"/>
        <v>5414844.6228650333</v>
      </c>
      <c r="Q136" s="153">
        <f t="shared" si="154"/>
        <v>5523141.5153223341</v>
      </c>
      <c r="R136" s="153">
        <f t="shared" si="154"/>
        <v>5633604.3456287812</v>
      </c>
      <c r="S136" s="153">
        <f t="shared" si="154"/>
        <v>5746276.4325413555</v>
      </c>
      <c r="T136" s="153">
        <f t="shared" si="154"/>
        <v>5861201.9611921841</v>
      </c>
      <c r="U136" s="153">
        <f t="shared" si="154"/>
        <v>0</v>
      </c>
      <c r="V136" s="153">
        <f t="shared" si="154"/>
        <v>0</v>
      </c>
      <c r="W136" s="153">
        <f t="shared" si="154"/>
        <v>0</v>
      </c>
      <c r="X136" s="153">
        <f t="shared" si="154"/>
        <v>0</v>
      </c>
      <c r="Y136" s="153">
        <f t="shared" si="154"/>
        <v>0</v>
      </c>
      <c r="Z136" s="125">
        <f t="shared" si="154"/>
        <v>0</v>
      </c>
      <c r="AA136" s="125">
        <f t="shared" si="154"/>
        <v>0</v>
      </c>
      <c r="AB136" s="125">
        <f t="shared" si="154"/>
        <v>0</v>
      </c>
      <c r="AC136" s="125">
        <f t="shared" si="154"/>
        <v>0</v>
      </c>
      <c r="AD136" s="125">
        <f t="shared" si="154"/>
        <v>0</v>
      </c>
      <c r="AE136" s="125">
        <f t="shared" si="154"/>
        <v>0</v>
      </c>
      <c r="AF136" s="125">
        <f t="shared" si="154"/>
        <v>0</v>
      </c>
      <c r="AG136" s="125">
        <f t="shared" si="154"/>
        <v>0</v>
      </c>
      <c r="AH136" s="125">
        <f t="shared" si="154"/>
        <v>0</v>
      </c>
      <c r="AI136" s="125">
        <f t="shared" si="154"/>
        <v>0</v>
      </c>
      <c r="AJ136" s="125">
        <f t="shared" si="154"/>
        <v>0</v>
      </c>
      <c r="AK136" s="125">
        <f t="shared" ref="AK136:BP136" si="155">AK132*AK108</f>
        <v>0</v>
      </c>
      <c r="AL136" s="125">
        <f t="shared" si="155"/>
        <v>0</v>
      </c>
      <c r="AM136" s="125">
        <f t="shared" si="155"/>
        <v>0</v>
      </c>
      <c r="AN136" s="125">
        <f t="shared" si="155"/>
        <v>0</v>
      </c>
      <c r="AO136" s="125">
        <f t="shared" si="155"/>
        <v>0</v>
      </c>
      <c r="AP136" s="125">
        <f t="shared" si="155"/>
        <v>0</v>
      </c>
      <c r="AQ136" s="125">
        <f t="shared" si="155"/>
        <v>0</v>
      </c>
      <c r="AR136" s="125">
        <f t="shared" si="155"/>
        <v>0</v>
      </c>
      <c r="AS136" s="125">
        <f t="shared" si="155"/>
        <v>0</v>
      </c>
      <c r="AT136" s="125">
        <f t="shared" si="155"/>
        <v>0</v>
      </c>
      <c r="AU136" s="125">
        <f t="shared" si="155"/>
        <v>0</v>
      </c>
      <c r="AV136" s="125">
        <f t="shared" si="155"/>
        <v>0</v>
      </c>
      <c r="AW136" s="125">
        <f t="shared" si="155"/>
        <v>0</v>
      </c>
      <c r="AX136" s="125">
        <f t="shared" si="155"/>
        <v>0</v>
      </c>
      <c r="AY136" s="125">
        <f t="shared" si="155"/>
        <v>0</v>
      </c>
      <c r="AZ136" s="125">
        <f t="shared" si="155"/>
        <v>0</v>
      </c>
      <c r="BA136" s="125">
        <f t="shared" si="155"/>
        <v>0</v>
      </c>
      <c r="BB136" s="125">
        <f t="shared" si="155"/>
        <v>0</v>
      </c>
      <c r="BC136" s="125">
        <f t="shared" si="155"/>
        <v>0</v>
      </c>
      <c r="BD136" s="125">
        <f t="shared" si="155"/>
        <v>0</v>
      </c>
      <c r="BE136" s="125">
        <f t="shared" si="155"/>
        <v>0</v>
      </c>
      <c r="BF136" s="125">
        <f t="shared" si="155"/>
        <v>0</v>
      </c>
      <c r="BG136" s="125">
        <f t="shared" si="155"/>
        <v>0</v>
      </c>
      <c r="BH136" s="125">
        <f t="shared" si="155"/>
        <v>0</v>
      </c>
      <c r="BI136" s="125">
        <f t="shared" si="155"/>
        <v>0</v>
      </c>
      <c r="BJ136" s="125">
        <f t="shared" si="155"/>
        <v>0</v>
      </c>
      <c r="BK136" s="125">
        <f t="shared" si="155"/>
        <v>0</v>
      </c>
      <c r="BL136" s="125">
        <f t="shared" si="155"/>
        <v>0</v>
      </c>
      <c r="BM136" s="125">
        <f t="shared" si="155"/>
        <v>0</v>
      </c>
      <c r="BN136" s="125">
        <f t="shared" si="155"/>
        <v>0</v>
      </c>
      <c r="BO136" s="125">
        <f t="shared" si="155"/>
        <v>0</v>
      </c>
      <c r="BP136" s="125">
        <f t="shared" si="155"/>
        <v>0</v>
      </c>
      <c r="BQ136" s="125">
        <f t="shared" ref="BQ136:CZ136" si="156">BQ132*BQ108</f>
        <v>0</v>
      </c>
      <c r="BR136" s="125">
        <f t="shared" si="156"/>
        <v>0</v>
      </c>
      <c r="BS136" s="125">
        <f t="shared" si="156"/>
        <v>0</v>
      </c>
      <c r="BT136" s="125">
        <f t="shared" si="156"/>
        <v>0</v>
      </c>
      <c r="BU136" s="125">
        <f t="shared" si="156"/>
        <v>0</v>
      </c>
      <c r="BV136" s="125">
        <f t="shared" si="156"/>
        <v>0</v>
      </c>
      <c r="BW136" s="125">
        <f t="shared" si="156"/>
        <v>0</v>
      </c>
      <c r="BX136" s="125">
        <f t="shared" si="156"/>
        <v>0</v>
      </c>
      <c r="BY136" s="125">
        <f t="shared" si="156"/>
        <v>0</v>
      </c>
      <c r="BZ136" s="125">
        <f t="shared" si="156"/>
        <v>0</v>
      </c>
      <c r="CA136" s="125">
        <f t="shared" si="156"/>
        <v>0</v>
      </c>
      <c r="CB136" s="125">
        <f t="shared" si="156"/>
        <v>0</v>
      </c>
      <c r="CC136" s="125">
        <f t="shared" si="156"/>
        <v>0</v>
      </c>
      <c r="CD136" s="125">
        <f t="shared" si="156"/>
        <v>0</v>
      </c>
      <c r="CE136" s="125">
        <f t="shared" si="156"/>
        <v>0</v>
      </c>
      <c r="CF136" s="125">
        <f t="shared" si="156"/>
        <v>0</v>
      </c>
      <c r="CG136" s="125">
        <f t="shared" si="156"/>
        <v>0</v>
      </c>
      <c r="CH136" s="125">
        <f t="shared" si="156"/>
        <v>0</v>
      </c>
      <c r="CI136" s="125">
        <f t="shared" si="156"/>
        <v>0</v>
      </c>
      <c r="CJ136" s="125">
        <f t="shared" si="156"/>
        <v>0</v>
      </c>
      <c r="CK136" s="125">
        <f t="shared" si="156"/>
        <v>0</v>
      </c>
      <c r="CL136" s="125">
        <f t="shared" si="156"/>
        <v>0</v>
      </c>
      <c r="CM136" s="125">
        <f t="shared" si="156"/>
        <v>0</v>
      </c>
      <c r="CN136" s="125">
        <f t="shared" si="156"/>
        <v>0</v>
      </c>
      <c r="CO136" s="125">
        <f t="shared" si="156"/>
        <v>0</v>
      </c>
      <c r="CP136" s="125">
        <f t="shared" si="156"/>
        <v>0</v>
      </c>
      <c r="CQ136" s="125">
        <f t="shared" si="156"/>
        <v>0</v>
      </c>
      <c r="CR136" s="125">
        <f t="shared" si="156"/>
        <v>0</v>
      </c>
      <c r="CS136" s="125">
        <f t="shared" si="156"/>
        <v>0</v>
      </c>
      <c r="CT136" s="125">
        <f t="shared" si="156"/>
        <v>0</v>
      </c>
      <c r="CU136" s="125">
        <f t="shared" si="156"/>
        <v>0</v>
      </c>
      <c r="CV136" s="125">
        <f t="shared" si="156"/>
        <v>0</v>
      </c>
      <c r="CW136" s="125">
        <f t="shared" si="156"/>
        <v>0</v>
      </c>
      <c r="CX136" s="125">
        <f t="shared" si="156"/>
        <v>0</v>
      </c>
      <c r="CY136" s="125">
        <f t="shared" si="156"/>
        <v>0</v>
      </c>
      <c r="CZ136" s="125">
        <f t="shared" si="156"/>
        <v>0</v>
      </c>
    </row>
    <row r="137" spans="1:104" x14ac:dyDescent="0.35">
      <c r="B137" s="107"/>
      <c r="C137" s="126"/>
      <c r="D137" s="98"/>
      <c r="E137" s="125"/>
      <c r="F137" s="125"/>
      <c r="G137" s="125"/>
      <c r="H137" s="125"/>
      <c r="I137" s="125"/>
      <c r="J137" s="125"/>
      <c r="K137" s="125"/>
      <c r="L137" s="125"/>
      <c r="M137" s="125"/>
      <c r="N137" s="125"/>
      <c r="O137" s="125"/>
      <c r="P137" s="153"/>
      <c r="Q137" s="153"/>
      <c r="R137" s="153"/>
      <c r="S137" s="153"/>
      <c r="T137" s="153"/>
      <c r="U137" s="153"/>
      <c r="V137" s="153"/>
      <c r="W137" s="153"/>
      <c r="X137" s="153"/>
      <c r="Y137" s="153"/>
      <c r="Z137" s="153"/>
      <c r="AA137" s="153"/>
      <c r="AB137" s="153"/>
      <c r="AC137" s="153"/>
      <c r="AD137" s="153"/>
      <c r="AE137" s="153"/>
      <c r="AF137" s="153"/>
      <c r="AG137" s="153"/>
      <c r="AH137" s="153"/>
      <c r="AI137" s="153"/>
      <c r="AJ137" s="153"/>
      <c r="AK137" s="153"/>
      <c r="AL137" s="153"/>
      <c r="AM137" s="153"/>
      <c r="AN137" s="153"/>
      <c r="AO137" s="153"/>
      <c r="AP137" s="153"/>
      <c r="AQ137" s="153"/>
      <c r="AR137" s="153"/>
      <c r="AS137" s="153"/>
      <c r="AT137" s="153"/>
      <c r="AU137" s="153"/>
      <c r="AV137" s="153"/>
      <c r="AW137" s="153"/>
      <c r="AX137" s="153"/>
      <c r="AY137" s="153"/>
      <c r="AZ137" s="153"/>
      <c r="BA137" s="153"/>
      <c r="BB137" s="153"/>
      <c r="BC137" s="153"/>
      <c r="BD137" s="153"/>
      <c r="BE137" s="153"/>
      <c r="BF137" s="153"/>
      <c r="BG137" s="153"/>
      <c r="BH137" s="153"/>
      <c r="BI137" s="153"/>
      <c r="BJ137" s="153"/>
      <c r="BK137" s="153"/>
      <c r="BL137" s="153"/>
      <c r="BM137" s="153"/>
      <c r="BN137" s="153"/>
      <c r="BO137" s="153"/>
      <c r="BP137" s="153"/>
      <c r="BQ137" s="153"/>
      <c r="BR137" s="153"/>
      <c r="BS137" s="153"/>
      <c r="BT137" s="153"/>
      <c r="BU137" s="153"/>
      <c r="BV137" s="153"/>
      <c r="BW137" s="153"/>
      <c r="BX137" s="153"/>
      <c r="BY137" s="153"/>
      <c r="BZ137" s="153"/>
      <c r="CA137" s="153"/>
      <c r="CB137" s="153"/>
      <c r="CC137" s="153"/>
      <c r="CD137" s="153"/>
      <c r="CE137" s="153"/>
      <c r="CF137" s="153"/>
      <c r="CG137" s="153"/>
      <c r="CH137" s="153"/>
      <c r="CI137" s="153"/>
      <c r="CJ137" s="153"/>
      <c r="CK137" s="153"/>
      <c r="CL137" s="153"/>
      <c r="CM137" s="153"/>
      <c r="CN137" s="153"/>
      <c r="CO137" s="153"/>
      <c r="CP137" s="153"/>
      <c r="CQ137" s="153"/>
      <c r="CR137" s="153"/>
      <c r="CS137" s="153"/>
      <c r="CT137" s="153"/>
      <c r="CU137" s="153"/>
      <c r="CV137" s="153"/>
      <c r="CW137" s="153"/>
      <c r="CX137" s="153"/>
      <c r="CY137" s="153"/>
      <c r="CZ137" s="153"/>
    </row>
    <row r="138" spans="1:104" s="108" customFormat="1" x14ac:dyDescent="0.35">
      <c r="A138" s="113"/>
      <c r="B138" s="98"/>
      <c r="C138" s="126"/>
      <c r="D138" s="106" t="s">
        <v>208</v>
      </c>
      <c r="E138" s="125"/>
      <c r="F138" s="125"/>
      <c r="G138" s="125"/>
      <c r="H138" s="125"/>
      <c r="I138" s="125"/>
      <c r="J138" s="125"/>
      <c r="K138" s="125"/>
      <c r="L138" s="125"/>
      <c r="M138" s="125"/>
      <c r="N138" s="125"/>
      <c r="O138" s="125"/>
      <c r="P138" s="153"/>
      <c r="Q138" s="153"/>
      <c r="R138" s="153"/>
      <c r="S138" s="153"/>
      <c r="T138" s="153"/>
      <c r="U138" s="153"/>
      <c r="V138" s="153"/>
      <c r="W138" s="153"/>
      <c r="X138" s="153"/>
      <c r="Y138" s="153"/>
      <c r="Z138" s="125"/>
      <c r="AA138" s="125"/>
      <c r="AB138" s="125"/>
      <c r="AC138" s="125"/>
      <c r="AD138" s="125"/>
      <c r="AE138" s="125"/>
      <c r="AF138" s="125"/>
      <c r="AG138" s="125"/>
      <c r="AH138" s="125"/>
      <c r="AI138" s="125"/>
      <c r="AJ138" s="125"/>
      <c r="AK138" s="125"/>
      <c r="AL138" s="125"/>
      <c r="AM138" s="125"/>
      <c r="AN138" s="125"/>
      <c r="AO138" s="125"/>
      <c r="AP138" s="125"/>
      <c r="AQ138" s="125"/>
      <c r="AR138" s="125"/>
      <c r="AS138" s="125"/>
      <c r="AT138" s="125"/>
      <c r="AU138" s="125"/>
      <c r="AV138" s="125"/>
      <c r="AW138" s="125"/>
      <c r="AX138" s="125"/>
      <c r="AY138" s="125"/>
      <c r="AZ138" s="125"/>
      <c r="BA138" s="125"/>
      <c r="BB138" s="125"/>
      <c r="BC138" s="125"/>
      <c r="BD138" s="125"/>
      <c r="BE138" s="125"/>
      <c r="BF138" s="125"/>
      <c r="BG138" s="125"/>
      <c r="BH138" s="125"/>
      <c r="BI138" s="125"/>
      <c r="BJ138" s="125"/>
      <c r="BK138" s="125"/>
      <c r="BL138" s="125"/>
      <c r="BM138" s="125"/>
      <c r="BN138" s="125"/>
      <c r="BO138" s="125"/>
      <c r="BP138" s="125"/>
      <c r="BQ138" s="125"/>
      <c r="BR138" s="125"/>
      <c r="BS138" s="125"/>
      <c r="BT138" s="125"/>
      <c r="BU138" s="125"/>
      <c r="BV138" s="125"/>
      <c r="BW138" s="125"/>
      <c r="BX138" s="125"/>
      <c r="BY138" s="125"/>
      <c r="BZ138" s="125"/>
      <c r="CA138" s="125"/>
      <c r="CB138" s="125"/>
      <c r="CC138" s="125"/>
      <c r="CD138" s="125"/>
      <c r="CE138" s="125"/>
      <c r="CF138" s="125"/>
      <c r="CG138" s="125"/>
      <c r="CH138" s="125"/>
      <c r="CI138" s="125"/>
      <c r="CJ138" s="125"/>
      <c r="CK138" s="125"/>
      <c r="CL138" s="125"/>
      <c r="CM138" s="125"/>
      <c r="CN138" s="125"/>
      <c r="CO138" s="125"/>
      <c r="CP138" s="125"/>
      <c r="CQ138" s="125"/>
      <c r="CR138" s="125"/>
      <c r="CS138" s="125"/>
      <c r="CT138" s="125"/>
      <c r="CU138" s="125"/>
      <c r="CV138" s="125"/>
      <c r="CW138" s="125"/>
      <c r="CX138" s="125"/>
      <c r="CY138" s="125"/>
      <c r="CZ138" s="125"/>
    </row>
    <row r="139" spans="1:104" s="108" customFormat="1" x14ac:dyDescent="0.35">
      <c r="A139" s="113"/>
      <c r="B139" s="98"/>
      <c r="C139" s="126">
        <f>SUM(E139:CZ139)</f>
        <v>149756013.58750463</v>
      </c>
      <c r="D139" s="147" t="s">
        <v>663</v>
      </c>
      <c r="E139" s="125">
        <f>E135/E109</f>
        <v>19318059.662760239</v>
      </c>
      <c r="F139" s="125">
        <f>F135/F109</f>
        <v>34381726.337691225</v>
      </c>
      <c r="G139" s="125">
        <f>G135/G109</f>
        <v>47178708.756982192</v>
      </c>
      <c r="H139" s="125">
        <f t="shared" ref="H139:AJ139" si="157">H135/H109</f>
        <v>48877518.830070958</v>
      </c>
      <c r="I139" s="125">
        <f t="shared" si="157"/>
        <v>0</v>
      </c>
      <c r="J139" s="125">
        <f t="shared" si="157"/>
        <v>0</v>
      </c>
      <c r="K139" s="125">
        <f t="shared" si="157"/>
        <v>0</v>
      </c>
      <c r="L139" s="125">
        <f t="shared" si="157"/>
        <v>0</v>
      </c>
      <c r="M139" s="125">
        <f t="shared" si="157"/>
        <v>0</v>
      </c>
      <c r="N139" s="125">
        <f t="shared" si="157"/>
        <v>0</v>
      </c>
      <c r="O139" s="125">
        <f t="shared" si="157"/>
        <v>0</v>
      </c>
      <c r="P139" s="125">
        <f t="shared" si="157"/>
        <v>0</v>
      </c>
      <c r="Q139" s="125">
        <f t="shared" si="157"/>
        <v>0</v>
      </c>
      <c r="R139" s="125">
        <f t="shared" si="157"/>
        <v>0</v>
      </c>
      <c r="S139" s="125">
        <f t="shared" si="157"/>
        <v>0</v>
      </c>
      <c r="T139" s="125">
        <f t="shared" si="157"/>
        <v>0</v>
      </c>
      <c r="U139" s="125">
        <f t="shared" si="157"/>
        <v>0</v>
      </c>
      <c r="V139" s="125">
        <f t="shared" si="157"/>
        <v>0</v>
      </c>
      <c r="W139" s="125">
        <f t="shared" si="157"/>
        <v>0</v>
      </c>
      <c r="X139" s="125">
        <f t="shared" si="157"/>
        <v>0</v>
      </c>
      <c r="Y139" s="125">
        <f t="shared" si="157"/>
        <v>0</v>
      </c>
      <c r="Z139" s="125">
        <f t="shared" si="157"/>
        <v>0</v>
      </c>
      <c r="AA139" s="125">
        <f t="shared" si="157"/>
        <v>0</v>
      </c>
      <c r="AB139" s="125">
        <f t="shared" si="157"/>
        <v>0</v>
      </c>
      <c r="AC139" s="125">
        <f t="shared" si="157"/>
        <v>0</v>
      </c>
      <c r="AD139" s="125">
        <f t="shared" si="157"/>
        <v>0</v>
      </c>
      <c r="AE139" s="125">
        <f t="shared" si="157"/>
        <v>0</v>
      </c>
      <c r="AF139" s="125">
        <f t="shared" si="157"/>
        <v>0</v>
      </c>
      <c r="AG139" s="125">
        <f t="shared" si="157"/>
        <v>0</v>
      </c>
      <c r="AH139" s="125">
        <f t="shared" si="157"/>
        <v>0</v>
      </c>
      <c r="AI139" s="125">
        <f t="shared" si="157"/>
        <v>0</v>
      </c>
      <c r="AJ139" s="125">
        <f t="shared" si="157"/>
        <v>0</v>
      </c>
      <c r="AK139" s="125">
        <f t="shared" ref="AK139:BP139" si="158">AK135/AK109</f>
        <v>0</v>
      </c>
      <c r="AL139" s="125">
        <f t="shared" si="158"/>
        <v>0</v>
      </c>
      <c r="AM139" s="125">
        <f t="shared" si="158"/>
        <v>0</v>
      </c>
      <c r="AN139" s="125">
        <f t="shared" si="158"/>
        <v>0</v>
      </c>
      <c r="AO139" s="125">
        <f t="shared" si="158"/>
        <v>0</v>
      </c>
      <c r="AP139" s="125">
        <f t="shared" si="158"/>
        <v>0</v>
      </c>
      <c r="AQ139" s="125">
        <f t="shared" si="158"/>
        <v>0</v>
      </c>
      <c r="AR139" s="125">
        <f t="shared" si="158"/>
        <v>0</v>
      </c>
      <c r="AS139" s="125">
        <f t="shared" si="158"/>
        <v>0</v>
      </c>
      <c r="AT139" s="125">
        <f t="shared" si="158"/>
        <v>0</v>
      </c>
      <c r="AU139" s="125">
        <f t="shared" si="158"/>
        <v>0</v>
      </c>
      <c r="AV139" s="125">
        <f t="shared" si="158"/>
        <v>0</v>
      </c>
      <c r="AW139" s="125">
        <f t="shared" si="158"/>
        <v>0</v>
      </c>
      <c r="AX139" s="125">
        <f t="shared" si="158"/>
        <v>0</v>
      </c>
      <c r="AY139" s="125">
        <f t="shared" si="158"/>
        <v>0</v>
      </c>
      <c r="AZ139" s="125">
        <f t="shared" si="158"/>
        <v>0</v>
      </c>
      <c r="BA139" s="125">
        <f t="shared" si="158"/>
        <v>0</v>
      </c>
      <c r="BB139" s="125">
        <f t="shared" si="158"/>
        <v>0</v>
      </c>
      <c r="BC139" s="125">
        <f t="shared" si="158"/>
        <v>0</v>
      </c>
      <c r="BD139" s="125">
        <f t="shared" si="158"/>
        <v>0</v>
      </c>
      <c r="BE139" s="125">
        <f t="shared" si="158"/>
        <v>0</v>
      </c>
      <c r="BF139" s="125">
        <f t="shared" si="158"/>
        <v>0</v>
      </c>
      <c r="BG139" s="125">
        <f t="shared" si="158"/>
        <v>0</v>
      </c>
      <c r="BH139" s="125">
        <f t="shared" si="158"/>
        <v>0</v>
      </c>
      <c r="BI139" s="125">
        <f t="shared" si="158"/>
        <v>0</v>
      </c>
      <c r="BJ139" s="125">
        <f t="shared" si="158"/>
        <v>0</v>
      </c>
      <c r="BK139" s="125">
        <f t="shared" si="158"/>
        <v>0</v>
      </c>
      <c r="BL139" s="125">
        <f t="shared" si="158"/>
        <v>0</v>
      </c>
      <c r="BM139" s="125">
        <f t="shared" si="158"/>
        <v>0</v>
      </c>
      <c r="BN139" s="125">
        <f t="shared" si="158"/>
        <v>0</v>
      </c>
      <c r="BO139" s="125">
        <f t="shared" si="158"/>
        <v>0</v>
      </c>
      <c r="BP139" s="125">
        <f t="shared" si="158"/>
        <v>0</v>
      </c>
      <c r="BQ139" s="125">
        <f t="shared" ref="BQ139:CZ139" si="159">BQ135/BQ109</f>
        <v>0</v>
      </c>
      <c r="BR139" s="125">
        <f t="shared" si="159"/>
        <v>0</v>
      </c>
      <c r="BS139" s="125">
        <f t="shared" si="159"/>
        <v>0</v>
      </c>
      <c r="BT139" s="125">
        <f t="shared" si="159"/>
        <v>0</v>
      </c>
      <c r="BU139" s="125">
        <f t="shared" si="159"/>
        <v>0</v>
      </c>
      <c r="BV139" s="125">
        <f t="shared" si="159"/>
        <v>0</v>
      </c>
      <c r="BW139" s="125">
        <f t="shared" si="159"/>
        <v>0</v>
      </c>
      <c r="BX139" s="125">
        <f t="shared" si="159"/>
        <v>0</v>
      </c>
      <c r="BY139" s="125">
        <f t="shared" si="159"/>
        <v>0</v>
      </c>
      <c r="BZ139" s="125">
        <f t="shared" si="159"/>
        <v>0</v>
      </c>
      <c r="CA139" s="125">
        <f t="shared" si="159"/>
        <v>0</v>
      </c>
      <c r="CB139" s="125">
        <f t="shared" si="159"/>
        <v>0</v>
      </c>
      <c r="CC139" s="125">
        <f t="shared" si="159"/>
        <v>0</v>
      </c>
      <c r="CD139" s="125">
        <f t="shared" si="159"/>
        <v>0</v>
      </c>
      <c r="CE139" s="125">
        <f t="shared" si="159"/>
        <v>0</v>
      </c>
      <c r="CF139" s="125">
        <f t="shared" si="159"/>
        <v>0</v>
      </c>
      <c r="CG139" s="125">
        <f t="shared" si="159"/>
        <v>0</v>
      </c>
      <c r="CH139" s="125">
        <f t="shared" si="159"/>
        <v>0</v>
      </c>
      <c r="CI139" s="125">
        <f t="shared" si="159"/>
        <v>0</v>
      </c>
      <c r="CJ139" s="125">
        <f t="shared" si="159"/>
        <v>0</v>
      </c>
      <c r="CK139" s="125">
        <f t="shared" si="159"/>
        <v>0</v>
      </c>
      <c r="CL139" s="125">
        <f t="shared" si="159"/>
        <v>0</v>
      </c>
      <c r="CM139" s="125">
        <f t="shared" si="159"/>
        <v>0</v>
      </c>
      <c r="CN139" s="125">
        <f t="shared" si="159"/>
        <v>0</v>
      </c>
      <c r="CO139" s="125">
        <f t="shared" si="159"/>
        <v>0</v>
      </c>
      <c r="CP139" s="125">
        <f t="shared" si="159"/>
        <v>0</v>
      </c>
      <c r="CQ139" s="125">
        <f t="shared" si="159"/>
        <v>0</v>
      </c>
      <c r="CR139" s="125">
        <f t="shared" si="159"/>
        <v>0</v>
      </c>
      <c r="CS139" s="125">
        <f t="shared" si="159"/>
        <v>0</v>
      </c>
      <c r="CT139" s="125">
        <f t="shared" si="159"/>
        <v>0</v>
      </c>
      <c r="CU139" s="125">
        <f t="shared" si="159"/>
        <v>0</v>
      </c>
      <c r="CV139" s="125">
        <f t="shared" si="159"/>
        <v>0</v>
      </c>
      <c r="CW139" s="125">
        <f t="shared" si="159"/>
        <v>0</v>
      </c>
      <c r="CX139" s="125">
        <f t="shared" si="159"/>
        <v>0</v>
      </c>
      <c r="CY139" s="125">
        <f t="shared" si="159"/>
        <v>0</v>
      </c>
      <c r="CZ139" s="125">
        <f t="shared" si="159"/>
        <v>0</v>
      </c>
    </row>
    <row r="140" spans="1:104" s="108" customFormat="1" x14ac:dyDescent="0.35">
      <c r="A140" s="113"/>
      <c r="B140" s="98"/>
      <c r="C140" s="126">
        <f>SUM(E140:CZ140)</f>
        <v>22630590.697345756</v>
      </c>
      <c r="D140" s="147" t="s">
        <v>664</v>
      </c>
      <c r="E140" s="125">
        <f t="shared" ref="E140:AJ140" si="160">E136/E109</f>
        <v>0</v>
      </c>
      <c r="F140" s="125">
        <f t="shared" si="160"/>
        <v>0</v>
      </c>
      <c r="G140" s="125">
        <f t="shared" si="160"/>
        <v>0</v>
      </c>
      <c r="H140" s="125">
        <f t="shared" si="160"/>
        <v>0</v>
      </c>
      <c r="I140" s="125">
        <f t="shared" si="160"/>
        <v>2995799.23951363</v>
      </c>
      <c r="J140" s="125">
        <f t="shared" si="160"/>
        <v>2728317.1645570556</v>
      </c>
      <c r="K140" s="125">
        <f t="shared" si="160"/>
        <v>2484717.4177216035</v>
      </c>
      <c r="L140" s="125">
        <f t="shared" si="160"/>
        <v>2262867.6482821754</v>
      </c>
      <c r="M140" s="125">
        <f t="shared" si="160"/>
        <v>2060825.8939712662</v>
      </c>
      <c r="N140" s="125">
        <f t="shared" si="160"/>
        <v>1876823.5820095462</v>
      </c>
      <c r="O140" s="125">
        <f t="shared" si="160"/>
        <v>1709250.0479015501</v>
      </c>
      <c r="P140" s="125">
        <f t="shared" si="160"/>
        <v>1556638.436481769</v>
      </c>
      <c r="Q140" s="125">
        <f t="shared" si="160"/>
        <v>1417652.8617958969</v>
      </c>
      <c r="R140" s="125">
        <f t="shared" si="160"/>
        <v>1291076.713421263</v>
      </c>
      <c r="S140" s="125">
        <f t="shared" si="160"/>
        <v>1175802.0068657927</v>
      </c>
      <c r="T140" s="125">
        <f t="shared" si="160"/>
        <v>1070819.6848242045</v>
      </c>
      <c r="U140" s="125">
        <f t="shared" si="160"/>
        <v>0</v>
      </c>
      <c r="V140" s="125">
        <f t="shared" si="160"/>
        <v>0</v>
      </c>
      <c r="W140" s="125">
        <f t="shared" si="160"/>
        <v>0</v>
      </c>
      <c r="X140" s="125">
        <f t="shared" si="160"/>
        <v>0</v>
      </c>
      <c r="Y140" s="125">
        <f t="shared" si="160"/>
        <v>0</v>
      </c>
      <c r="Z140" s="125">
        <f t="shared" si="160"/>
        <v>0</v>
      </c>
      <c r="AA140" s="125">
        <f t="shared" si="160"/>
        <v>0</v>
      </c>
      <c r="AB140" s="125">
        <f t="shared" si="160"/>
        <v>0</v>
      </c>
      <c r="AC140" s="125">
        <f t="shared" si="160"/>
        <v>0</v>
      </c>
      <c r="AD140" s="125">
        <f t="shared" si="160"/>
        <v>0</v>
      </c>
      <c r="AE140" s="125">
        <f t="shared" si="160"/>
        <v>0</v>
      </c>
      <c r="AF140" s="125">
        <f t="shared" si="160"/>
        <v>0</v>
      </c>
      <c r="AG140" s="125">
        <f t="shared" si="160"/>
        <v>0</v>
      </c>
      <c r="AH140" s="125">
        <f t="shared" si="160"/>
        <v>0</v>
      </c>
      <c r="AI140" s="125">
        <f t="shared" si="160"/>
        <v>0</v>
      </c>
      <c r="AJ140" s="125">
        <f t="shared" si="160"/>
        <v>0</v>
      </c>
      <c r="AK140" s="125">
        <f t="shared" ref="AK140:BP140" si="161">AK136/AK109</f>
        <v>0</v>
      </c>
      <c r="AL140" s="125">
        <f t="shared" si="161"/>
        <v>0</v>
      </c>
      <c r="AM140" s="125">
        <f t="shared" si="161"/>
        <v>0</v>
      </c>
      <c r="AN140" s="125">
        <f t="shared" si="161"/>
        <v>0</v>
      </c>
      <c r="AO140" s="125">
        <f t="shared" si="161"/>
        <v>0</v>
      </c>
      <c r="AP140" s="125">
        <f t="shared" si="161"/>
        <v>0</v>
      </c>
      <c r="AQ140" s="125">
        <f t="shared" si="161"/>
        <v>0</v>
      </c>
      <c r="AR140" s="125">
        <f t="shared" si="161"/>
        <v>0</v>
      </c>
      <c r="AS140" s="125">
        <f t="shared" si="161"/>
        <v>0</v>
      </c>
      <c r="AT140" s="125">
        <f t="shared" si="161"/>
        <v>0</v>
      </c>
      <c r="AU140" s="125">
        <f t="shared" si="161"/>
        <v>0</v>
      </c>
      <c r="AV140" s="125">
        <f t="shared" si="161"/>
        <v>0</v>
      </c>
      <c r="AW140" s="125">
        <f t="shared" si="161"/>
        <v>0</v>
      </c>
      <c r="AX140" s="125">
        <f t="shared" si="161"/>
        <v>0</v>
      </c>
      <c r="AY140" s="125">
        <f t="shared" si="161"/>
        <v>0</v>
      </c>
      <c r="AZ140" s="125">
        <f t="shared" si="161"/>
        <v>0</v>
      </c>
      <c r="BA140" s="125">
        <f t="shared" si="161"/>
        <v>0</v>
      </c>
      <c r="BB140" s="125">
        <f t="shared" si="161"/>
        <v>0</v>
      </c>
      <c r="BC140" s="125">
        <f t="shared" si="161"/>
        <v>0</v>
      </c>
      <c r="BD140" s="125">
        <f t="shared" si="161"/>
        <v>0</v>
      </c>
      <c r="BE140" s="125">
        <f t="shared" si="161"/>
        <v>0</v>
      </c>
      <c r="BF140" s="125">
        <f t="shared" si="161"/>
        <v>0</v>
      </c>
      <c r="BG140" s="125">
        <f t="shared" si="161"/>
        <v>0</v>
      </c>
      <c r="BH140" s="125">
        <f t="shared" si="161"/>
        <v>0</v>
      </c>
      <c r="BI140" s="125">
        <f t="shared" si="161"/>
        <v>0</v>
      </c>
      <c r="BJ140" s="125">
        <f t="shared" si="161"/>
        <v>0</v>
      </c>
      <c r="BK140" s="125">
        <f t="shared" si="161"/>
        <v>0</v>
      </c>
      <c r="BL140" s="125">
        <f t="shared" si="161"/>
        <v>0</v>
      </c>
      <c r="BM140" s="125">
        <f t="shared" si="161"/>
        <v>0</v>
      </c>
      <c r="BN140" s="125">
        <f t="shared" si="161"/>
        <v>0</v>
      </c>
      <c r="BO140" s="125">
        <f t="shared" si="161"/>
        <v>0</v>
      </c>
      <c r="BP140" s="125">
        <f t="shared" si="161"/>
        <v>0</v>
      </c>
      <c r="BQ140" s="125">
        <f t="shared" ref="BQ140:CZ140" si="162">BQ136/BQ109</f>
        <v>0</v>
      </c>
      <c r="BR140" s="125">
        <f t="shared" si="162"/>
        <v>0</v>
      </c>
      <c r="BS140" s="125">
        <f t="shared" si="162"/>
        <v>0</v>
      </c>
      <c r="BT140" s="125">
        <f t="shared" si="162"/>
        <v>0</v>
      </c>
      <c r="BU140" s="125">
        <f t="shared" si="162"/>
        <v>0</v>
      </c>
      <c r="BV140" s="125">
        <f t="shared" si="162"/>
        <v>0</v>
      </c>
      <c r="BW140" s="125">
        <f t="shared" si="162"/>
        <v>0</v>
      </c>
      <c r="BX140" s="125">
        <f t="shared" si="162"/>
        <v>0</v>
      </c>
      <c r="BY140" s="125">
        <f t="shared" si="162"/>
        <v>0</v>
      </c>
      <c r="BZ140" s="125">
        <f t="shared" si="162"/>
        <v>0</v>
      </c>
      <c r="CA140" s="125">
        <f t="shared" si="162"/>
        <v>0</v>
      </c>
      <c r="CB140" s="125">
        <f t="shared" si="162"/>
        <v>0</v>
      </c>
      <c r="CC140" s="125">
        <f t="shared" si="162"/>
        <v>0</v>
      </c>
      <c r="CD140" s="125">
        <f t="shared" si="162"/>
        <v>0</v>
      </c>
      <c r="CE140" s="125">
        <f t="shared" si="162"/>
        <v>0</v>
      </c>
      <c r="CF140" s="125">
        <f t="shared" si="162"/>
        <v>0</v>
      </c>
      <c r="CG140" s="125">
        <f t="shared" si="162"/>
        <v>0</v>
      </c>
      <c r="CH140" s="125">
        <f t="shared" si="162"/>
        <v>0</v>
      </c>
      <c r="CI140" s="125">
        <f t="shared" si="162"/>
        <v>0</v>
      </c>
      <c r="CJ140" s="125">
        <f t="shared" si="162"/>
        <v>0</v>
      </c>
      <c r="CK140" s="125">
        <f t="shared" si="162"/>
        <v>0</v>
      </c>
      <c r="CL140" s="125">
        <f t="shared" si="162"/>
        <v>0</v>
      </c>
      <c r="CM140" s="125">
        <f t="shared" si="162"/>
        <v>0</v>
      </c>
      <c r="CN140" s="125">
        <f t="shared" si="162"/>
        <v>0</v>
      </c>
      <c r="CO140" s="125">
        <f t="shared" si="162"/>
        <v>0</v>
      </c>
      <c r="CP140" s="125">
        <f t="shared" si="162"/>
        <v>0</v>
      </c>
      <c r="CQ140" s="125">
        <f t="shared" si="162"/>
        <v>0</v>
      </c>
      <c r="CR140" s="125">
        <f t="shared" si="162"/>
        <v>0</v>
      </c>
      <c r="CS140" s="125">
        <f t="shared" si="162"/>
        <v>0</v>
      </c>
      <c r="CT140" s="125">
        <f t="shared" si="162"/>
        <v>0</v>
      </c>
      <c r="CU140" s="125">
        <f t="shared" si="162"/>
        <v>0</v>
      </c>
      <c r="CV140" s="125">
        <f t="shared" si="162"/>
        <v>0</v>
      </c>
      <c r="CW140" s="125">
        <f t="shared" si="162"/>
        <v>0</v>
      </c>
      <c r="CX140" s="125">
        <f t="shared" si="162"/>
        <v>0</v>
      </c>
      <c r="CY140" s="125">
        <f t="shared" si="162"/>
        <v>0</v>
      </c>
      <c r="CZ140" s="125">
        <f t="shared" si="162"/>
        <v>0</v>
      </c>
    </row>
    <row r="141" spans="1:104" s="108" customFormat="1" x14ac:dyDescent="0.35">
      <c r="A141" s="113"/>
      <c r="B141" s="98"/>
      <c r="C141" s="126"/>
      <c r="D141" s="147"/>
      <c r="E141" s="125"/>
      <c r="F141" s="125"/>
      <c r="G141" s="125"/>
      <c r="H141" s="153"/>
      <c r="I141" s="153"/>
      <c r="J141" s="153"/>
      <c r="K141" s="153"/>
      <c r="L141" s="153"/>
      <c r="M141" s="153"/>
      <c r="N141" s="153"/>
      <c r="O141" s="153"/>
      <c r="P141" s="153"/>
      <c r="Q141" s="153"/>
      <c r="R141" s="153"/>
      <c r="S141" s="153"/>
      <c r="T141" s="153"/>
      <c r="U141" s="153"/>
      <c r="V141" s="153"/>
      <c r="W141" s="153"/>
      <c r="X141" s="153"/>
      <c r="Y141" s="153"/>
      <c r="Z141" s="125"/>
      <c r="AA141" s="125"/>
      <c r="AB141" s="125"/>
      <c r="AC141" s="125"/>
      <c r="AD141" s="125"/>
      <c r="AE141" s="125"/>
      <c r="AF141" s="125"/>
      <c r="AG141" s="125"/>
      <c r="AH141" s="125"/>
      <c r="AI141" s="125"/>
      <c r="AJ141" s="125"/>
      <c r="AK141" s="125"/>
      <c r="AL141" s="125"/>
      <c r="AM141" s="125"/>
      <c r="AN141" s="125"/>
      <c r="AO141" s="125"/>
      <c r="AP141" s="125"/>
      <c r="AQ141" s="125"/>
      <c r="AR141" s="125"/>
      <c r="AS141" s="125"/>
      <c r="AT141" s="125"/>
      <c r="AU141" s="125"/>
      <c r="AV141" s="125"/>
      <c r="AW141" s="125"/>
      <c r="AX141" s="125"/>
      <c r="AY141" s="125"/>
      <c r="AZ141" s="125"/>
      <c r="BA141" s="125"/>
      <c r="BB141" s="125"/>
      <c r="BC141" s="125"/>
      <c r="BD141" s="125"/>
      <c r="BE141" s="125"/>
      <c r="BF141" s="125"/>
      <c r="BG141" s="125"/>
      <c r="BH141" s="125"/>
      <c r="BI141" s="125"/>
      <c r="BJ141" s="125"/>
      <c r="BK141" s="125"/>
      <c r="BL141" s="125"/>
      <c r="BM141" s="125"/>
      <c r="BN141" s="125"/>
      <c r="BO141" s="125"/>
      <c r="BP141" s="125"/>
      <c r="BQ141" s="125"/>
      <c r="BR141" s="125"/>
      <c r="BS141" s="125"/>
      <c r="BT141" s="125"/>
      <c r="BU141" s="125"/>
      <c r="BV141" s="125"/>
      <c r="BW141" s="125"/>
      <c r="BX141" s="125"/>
      <c r="BY141" s="125"/>
      <c r="BZ141" s="125"/>
      <c r="CA141" s="125"/>
      <c r="CB141" s="125"/>
      <c r="CC141" s="125"/>
      <c r="CD141" s="125"/>
      <c r="CE141" s="125"/>
      <c r="CF141" s="125"/>
      <c r="CG141" s="125"/>
      <c r="CH141" s="125"/>
      <c r="CI141" s="125"/>
      <c r="CJ141" s="125"/>
      <c r="CK141" s="125"/>
      <c r="CL141" s="125"/>
      <c r="CM141" s="125"/>
      <c r="CN141" s="125"/>
      <c r="CO141" s="125"/>
      <c r="CP141" s="125"/>
      <c r="CQ141" s="125"/>
      <c r="CR141" s="125"/>
      <c r="CS141" s="125"/>
      <c r="CT141" s="125"/>
      <c r="CU141" s="125"/>
      <c r="CV141" s="125"/>
      <c r="CW141" s="125"/>
      <c r="CX141" s="125"/>
      <c r="CY141" s="125"/>
      <c r="CZ141" s="125"/>
    </row>
    <row r="142" spans="1:104" x14ac:dyDescent="0.35">
      <c r="A142" s="113"/>
      <c r="B142" s="98"/>
      <c r="C142" s="130"/>
      <c r="D142" s="106" t="s">
        <v>180</v>
      </c>
      <c r="E142" s="130"/>
      <c r="F142" s="130"/>
      <c r="G142" s="130"/>
      <c r="H142" s="130"/>
      <c r="I142" s="130"/>
      <c r="J142" s="130"/>
      <c r="K142" s="130"/>
      <c r="L142" s="130"/>
      <c r="M142" s="130"/>
      <c r="N142" s="130"/>
      <c r="O142" s="130"/>
      <c r="P142" s="131"/>
      <c r="Q142" s="131"/>
      <c r="R142" s="131"/>
      <c r="S142" s="131"/>
      <c r="T142" s="131"/>
      <c r="U142" s="131"/>
      <c r="V142" s="131"/>
      <c r="W142" s="131"/>
      <c r="X142" s="131"/>
      <c r="Y142" s="131"/>
      <c r="Z142" s="130"/>
      <c r="AA142" s="130"/>
      <c r="AB142" s="130"/>
      <c r="AC142" s="130"/>
      <c r="AD142" s="130"/>
      <c r="AE142" s="130"/>
      <c r="AF142" s="130"/>
      <c r="AG142" s="130"/>
      <c r="AH142" s="130"/>
      <c r="AI142" s="130"/>
      <c r="AJ142" s="130"/>
      <c r="AK142" s="130"/>
      <c r="AL142" s="130"/>
      <c r="AM142" s="130"/>
      <c r="AN142" s="130"/>
      <c r="AO142" s="130"/>
      <c r="AP142" s="130"/>
      <c r="AQ142" s="130"/>
      <c r="AR142" s="130"/>
      <c r="AS142" s="130"/>
      <c r="AT142" s="130"/>
      <c r="AU142" s="130"/>
      <c r="AV142" s="130"/>
      <c r="AW142" s="130"/>
      <c r="AX142" s="130"/>
      <c r="AY142" s="130"/>
      <c r="AZ142" s="130"/>
      <c r="BA142" s="130"/>
      <c r="BB142" s="130"/>
      <c r="BC142" s="130"/>
      <c r="BD142" s="130"/>
      <c r="BE142" s="130"/>
      <c r="BF142" s="130"/>
      <c r="BG142" s="130"/>
      <c r="BH142" s="130"/>
      <c r="BI142" s="130"/>
      <c r="BJ142" s="130"/>
      <c r="BK142" s="130"/>
      <c r="BL142" s="130"/>
      <c r="BM142" s="130"/>
      <c r="BN142" s="130"/>
      <c r="BO142" s="130"/>
      <c r="BP142" s="130"/>
      <c r="BQ142" s="130"/>
      <c r="BR142" s="130"/>
      <c r="BS142" s="130"/>
      <c r="BT142" s="130"/>
      <c r="BU142" s="130"/>
      <c r="BV142" s="130"/>
      <c r="BW142" s="130"/>
      <c r="BX142" s="130"/>
      <c r="BY142" s="130"/>
      <c r="BZ142" s="130"/>
      <c r="CA142" s="130"/>
      <c r="CB142" s="130"/>
      <c r="CC142" s="130"/>
      <c r="CD142" s="130"/>
      <c r="CE142" s="130"/>
      <c r="CF142" s="130"/>
      <c r="CG142" s="130"/>
      <c r="CH142" s="130"/>
      <c r="CI142" s="130"/>
      <c r="CJ142" s="130"/>
      <c r="CK142" s="130"/>
      <c r="CL142" s="130"/>
      <c r="CM142" s="130"/>
      <c r="CN142" s="130"/>
      <c r="CO142" s="130"/>
      <c r="CP142" s="130"/>
      <c r="CQ142" s="130"/>
      <c r="CR142" s="130"/>
      <c r="CS142" s="130"/>
      <c r="CT142" s="130"/>
      <c r="CU142" s="130"/>
      <c r="CV142" s="130"/>
      <c r="CW142" s="130"/>
      <c r="CX142" s="130"/>
      <c r="CY142" s="130"/>
      <c r="CZ142" s="130"/>
    </row>
    <row r="143" spans="1:104" x14ac:dyDescent="0.35">
      <c r="A143" s="113"/>
      <c r="B143" s="98"/>
      <c r="C143" s="126">
        <f t="shared" ref="C143:C149" si="163">SUM(E143:CZ143)</f>
        <v>185675960.20062685</v>
      </c>
      <c r="D143" s="147" t="s">
        <v>665</v>
      </c>
      <c r="E143" s="130">
        <f>E135</f>
        <v>19318059.662760239</v>
      </c>
      <c r="F143" s="130">
        <f>F135</f>
        <v>38507533.498214178</v>
      </c>
      <c r="G143" s="130">
        <f t="shared" ref="G143:BQ143" si="164">G135</f>
        <v>59180972.264758475</v>
      </c>
      <c r="H143" s="130">
        <f t="shared" si="164"/>
        <v>68669394.774893954</v>
      </c>
      <c r="I143" s="130">
        <f t="shared" si="164"/>
        <v>0</v>
      </c>
      <c r="J143" s="130">
        <f t="shared" si="164"/>
        <v>0</v>
      </c>
      <c r="K143" s="130">
        <f t="shared" si="164"/>
        <v>0</v>
      </c>
      <c r="L143" s="130">
        <f t="shared" si="164"/>
        <v>0</v>
      </c>
      <c r="M143" s="130">
        <f t="shared" si="164"/>
        <v>0</v>
      </c>
      <c r="N143" s="130">
        <f t="shared" si="164"/>
        <v>0</v>
      </c>
      <c r="O143" s="130">
        <f t="shared" si="164"/>
        <v>0</v>
      </c>
      <c r="P143" s="131">
        <f t="shared" si="164"/>
        <v>0</v>
      </c>
      <c r="Q143" s="131">
        <f t="shared" si="164"/>
        <v>0</v>
      </c>
      <c r="R143" s="131">
        <f t="shared" si="164"/>
        <v>0</v>
      </c>
      <c r="S143" s="131">
        <f t="shared" si="164"/>
        <v>0</v>
      </c>
      <c r="T143" s="131">
        <f t="shared" si="164"/>
        <v>0</v>
      </c>
      <c r="U143" s="131">
        <f t="shared" si="164"/>
        <v>0</v>
      </c>
      <c r="V143" s="131">
        <f t="shared" si="164"/>
        <v>0</v>
      </c>
      <c r="W143" s="131">
        <f t="shared" si="164"/>
        <v>0</v>
      </c>
      <c r="X143" s="131">
        <f t="shared" si="164"/>
        <v>0</v>
      </c>
      <c r="Y143" s="131">
        <f t="shared" si="164"/>
        <v>0</v>
      </c>
      <c r="Z143" s="130">
        <f t="shared" si="164"/>
        <v>0</v>
      </c>
      <c r="AA143" s="130">
        <f t="shared" si="164"/>
        <v>0</v>
      </c>
      <c r="AB143" s="130">
        <f t="shared" si="164"/>
        <v>0</v>
      </c>
      <c r="AC143" s="130">
        <f t="shared" si="164"/>
        <v>0</v>
      </c>
      <c r="AD143" s="130">
        <f t="shared" si="164"/>
        <v>0</v>
      </c>
      <c r="AE143" s="130">
        <f t="shared" si="164"/>
        <v>0</v>
      </c>
      <c r="AF143" s="130">
        <f t="shared" si="164"/>
        <v>0</v>
      </c>
      <c r="AG143" s="130">
        <f t="shared" si="164"/>
        <v>0</v>
      </c>
      <c r="AH143" s="130">
        <f t="shared" si="164"/>
        <v>0</v>
      </c>
      <c r="AI143" s="130">
        <f t="shared" si="164"/>
        <v>0</v>
      </c>
      <c r="AJ143" s="130">
        <f t="shared" si="164"/>
        <v>0</v>
      </c>
      <c r="AK143" s="130">
        <f t="shared" si="164"/>
        <v>0</v>
      </c>
      <c r="AL143" s="130">
        <f t="shared" si="164"/>
        <v>0</v>
      </c>
      <c r="AM143" s="130">
        <f t="shared" si="164"/>
        <v>0</v>
      </c>
      <c r="AN143" s="130">
        <f t="shared" si="164"/>
        <v>0</v>
      </c>
      <c r="AO143" s="130">
        <f t="shared" si="164"/>
        <v>0</v>
      </c>
      <c r="AP143" s="130">
        <f t="shared" si="164"/>
        <v>0</v>
      </c>
      <c r="AQ143" s="130">
        <f t="shared" si="164"/>
        <v>0</v>
      </c>
      <c r="AR143" s="130">
        <f t="shared" si="164"/>
        <v>0</v>
      </c>
      <c r="AS143" s="130">
        <f t="shared" si="164"/>
        <v>0</v>
      </c>
      <c r="AT143" s="130">
        <f t="shared" si="164"/>
        <v>0</v>
      </c>
      <c r="AU143" s="130">
        <f t="shared" si="164"/>
        <v>0</v>
      </c>
      <c r="AV143" s="130">
        <f t="shared" si="164"/>
        <v>0</v>
      </c>
      <c r="AW143" s="130">
        <f t="shared" si="164"/>
        <v>0</v>
      </c>
      <c r="AX143" s="130">
        <f t="shared" si="164"/>
        <v>0</v>
      </c>
      <c r="AY143" s="130">
        <f t="shared" si="164"/>
        <v>0</v>
      </c>
      <c r="AZ143" s="130">
        <f t="shared" si="164"/>
        <v>0</v>
      </c>
      <c r="BA143" s="130">
        <f t="shared" si="164"/>
        <v>0</v>
      </c>
      <c r="BB143" s="130">
        <f t="shared" si="164"/>
        <v>0</v>
      </c>
      <c r="BC143" s="130">
        <f t="shared" si="164"/>
        <v>0</v>
      </c>
      <c r="BD143" s="130">
        <f t="shared" si="164"/>
        <v>0</v>
      </c>
      <c r="BE143" s="130">
        <f t="shared" si="164"/>
        <v>0</v>
      </c>
      <c r="BF143" s="130">
        <f t="shared" si="164"/>
        <v>0</v>
      </c>
      <c r="BG143" s="130">
        <f t="shared" si="164"/>
        <v>0</v>
      </c>
      <c r="BH143" s="130">
        <f t="shared" si="164"/>
        <v>0</v>
      </c>
      <c r="BI143" s="130">
        <f t="shared" si="164"/>
        <v>0</v>
      </c>
      <c r="BJ143" s="130">
        <f t="shared" si="164"/>
        <v>0</v>
      </c>
      <c r="BK143" s="130">
        <f t="shared" si="164"/>
        <v>0</v>
      </c>
      <c r="BL143" s="130">
        <f t="shared" si="164"/>
        <v>0</v>
      </c>
      <c r="BM143" s="130">
        <f t="shared" si="164"/>
        <v>0</v>
      </c>
      <c r="BN143" s="130">
        <f t="shared" si="164"/>
        <v>0</v>
      </c>
      <c r="BO143" s="130">
        <f t="shared" si="164"/>
        <v>0</v>
      </c>
      <c r="BP143" s="130">
        <f t="shared" si="164"/>
        <v>0</v>
      </c>
      <c r="BQ143" s="130">
        <f t="shared" si="164"/>
        <v>0</v>
      </c>
      <c r="BR143" s="130">
        <f t="shared" ref="BR143:CZ143" si="165">BR135</f>
        <v>0</v>
      </c>
      <c r="BS143" s="130">
        <f t="shared" si="165"/>
        <v>0</v>
      </c>
      <c r="BT143" s="130">
        <f t="shared" si="165"/>
        <v>0</v>
      </c>
      <c r="BU143" s="130">
        <f t="shared" si="165"/>
        <v>0</v>
      </c>
      <c r="BV143" s="130">
        <f t="shared" si="165"/>
        <v>0</v>
      </c>
      <c r="BW143" s="130">
        <f t="shared" si="165"/>
        <v>0</v>
      </c>
      <c r="BX143" s="130">
        <f t="shared" si="165"/>
        <v>0</v>
      </c>
      <c r="BY143" s="130">
        <f t="shared" si="165"/>
        <v>0</v>
      </c>
      <c r="BZ143" s="130">
        <f t="shared" si="165"/>
        <v>0</v>
      </c>
      <c r="CA143" s="130">
        <f t="shared" si="165"/>
        <v>0</v>
      </c>
      <c r="CB143" s="130">
        <f t="shared" si="165"/>
        <v>0</v>
      </c>
      <c r="CC143" s="130">
        <f t="shared" si="165"/>
        <v>0</v>
      </c>
      <c r="CD143" s="130">
        <f t="shared" si="165"/>
        <v>0</v>
      </c>
      <c r="CE143" s="130">
        <f t="shared" si="165"/>
        <v>0</v>
      </c>
      <c r="CF143" s="130">
        <f t="shared" si="165"/>
        <v>0</v>
      </c>
      <c r="CG143" s="130">
        <f t="shared" si="165"/>
        <v>0</v>
      </c>
      <c r="CH143" s="130">
        <f t="shared" si="165"/>
        <v>0</v>
      </c>
      <c r="CI143" s="130">
        <f t="shared" si="165"/>
        <v>0</v>
      </c>
      <c r="CJ143" s="130">
        <f t="shared" si="165"/>
        <v>0</v>
      </c>
      <c r="CK143" s="130">
        <f t="shared" si="165"/>
        <v>0</v>
      </c>
      <c r="CL143" s="130">
        <f t="shared" si="165"/>
        <v>0</v>
      </c>
      <c r="CM143" s="130">
        <f t="shared" si="165"/>
        <v>0</v>
      </c>
      <c r="CN143" s="130">
        <f t="shared" si="165"/>
        <v>0</v>
      </c>
      <c r="CO143" s="130">
        <f t="shared" si="165"/>
        <v>0</v>
      </c>
      <c r="CP143" s="130">
        <f t="shared" si="165"/>
        <v>0</v>
      </c>
      <c r="CQ143" s="130">
        <f t="shared" si="165"/>
        <v>0</v>
      </c>
      <c r="CR143" s="130">
        <f t="shared" si="165"/>
        <v>0</v>
      </c>
      <c r="CS143" s="130">
        <f t="shared" si="165"/>
        <v>0</v>
      </c>
      <c r="CT143" s="130">
        <f t="shared" si="165"/>
        <v>0</v>
      </c>
      <c r="CU143" s="130">
        <f t="shared" si="165"/>
        <v>0</v>
      </c>
      <c r="CV143" s="130">
        <f t="shared" si="165"/>
        <v>0</v>
      </c>
      <c r="CW143" s="130">
        <f t="shared" si="165"/>
        <v>0</v>
      </c>
      <c r="CX143" s="130">
        <f t="shared" si="165"/>
        <v>0</v>
      </c>
      <c r="CY143" s="130">
        <f t="shared" si="165"/>
        <v>0</v>
      </c>
      <c r="CZ143" s="130">
        <f t="shared" si="165"/>
        <v>0</v>
      </c>
    </row>
    <row r="144" spans="1:104" x14ac:dyDescent="0.35">
      <c r="A144" s="113"/>
      <c r="B144" s="98"/>
      <c r="C144" s="126">
        <f t="shared" si="163"/>
        <v>185675960.20062685</v>
      </c>
      <c r="D144" s="147" t="s">
        <v>666</v>
      </c>
      <c r="E144" s="130">
        <f>IF(E114&lt;$E$63,E143,0)</f>
        <v>19318059.662760239</v>
      </c>
      <c r="F144" s="130">
        <f t="shared" ref="F144:BQ144" si="166">IF(F114&lt;$E$63,F143,0)</f>
        <v>38507533.498214178</v>
      </c>
      <c r="G144" s="130">
        <f t="shared" si="166"/>
        <v>59180972.264758475</v>
      </c>
      <c r="H144" s="130">
        <f t="shared" si="166"/>
        <v>68669394.774893954</v>
      </c>
      <c r="I144" s="130">
        <f t="shared" si="166"/>
        <v>0</v>
      </c>
      <c r="J144" s="130">
        <f t="shared" si="166"/>
        <v>0</v>
      </c>
      <c r="K144" s="130">
        <f t="shared" si="166"/>
        <v>0</v>
      </c>
      <c r="L144" s="130">
        <f t="shared" si="166"/>
        <v>0</v>
      </c>
      <c r="M144" s="130">
        <f t="shared" si="166"/>
        <v>0</v>
      </c>
      <c r="N144" s="130">
        <f t="shared" si="166"/>
        <v>0</v>
      </c>
      <c r="O144" s="130">
        <f t="shared" si="166"/>
        <v>0</v>
      </c>
      <c r="P144" s="130">
        <f t="shared" si="166"/>
        <v>0</v>
      </c>
      <c r="Q144" s="130">
        <f t="shared" si="166"/>
        <v>0</v>
      </c>
      <c r="R144" s="130">
        <f t="shared" si="166"/>
        <v>0</v>
      </c>
      <c r="S144" s="130">
        <f t="shared" si="166"/>
        <v>0</v>
      </c>
      <c r="T144" s="130">
        <f t="shared" si="166"/>
        <v>0</v>
      </c>
      <c r="U144" s="130">
        <f t="shared" si="166"/>
        <v>0</v>
      </c>
      <c r="V144" s="130">
        <f t="shared" si="166"/>
        <v>0</v>
      </c>
      <c r="W144" s="130">
        <f t="shared" si="166"/>
        <v>0</v>
      </c>
      <c r="X144" s="130">
        <f t="shared" si="166"/>
        <v>0</v>
      </c>
      <c r="Y144" s="130">
        <f t="shared" si="166"/>
        <v>0</v>
      </c>
      <c r="Z144" s="130">
        <f t="shared" si="166"/>
        <v>0</v>
      </c>
      <c r="AA144" s="130">
        <f t="shared" si="166"/>
        <v>0</v>
      </c>
      <c r="AB144" s="130">
        <f t="shared" si="166"/>
        <v>0</v>
      </c>
      <c r="AC144" s="130">
        <f t="shared" si="166"/>
        <v>0</v>
      </c>
      <c r="AD144" s="130">
        <f t="shared" si="166"/>
        <v>0</v>
      </c>
      <c r="AE144" s="130">
        <f t="shared" si="166"/>
        <v>0</v>
      </c>
      <c r="AF144" s="130">
        <f t="shared" si="166"/>
        <v>0</v>
      </c>
      <c r="AG144" s="130">
        <f t="shared" si="166"/>
        <v>0</v>
      </c>
      <c r="AH144" s="130">
        <f t="shared" si="166"/>
        <v>0</v>
      </c>
      <c r="AI144" s="130">
        <f t="shared" si="166"/>
        <v>0</v>
      </c>
      <c r="AJ144" s="130">
        <f t="shared" si="166"/>
        <v>0</v>
      </c>
      <c r="AK144" s="130">
        <f t="shared" si="166"/>
        <v>0</v>
      </c>
      <c r="AL144" s="130">
        <f t="shared" si="166"/>
        <v>0</v>
      </c>
      <c r="AM144" s="130">
        <f t="shared" si="166"/>
        <v>0</v>
      </c>
      <c r="AN144" s="130">
        <f t="shared" si="166"/>
        <v>0</v>
      </c>
      <c r="AO144" s="130">
        <f t="shared" si="166"/>
        <v>0</v>
      </c>
      <c r="AP144" s="130">
        <f t="shared" si="166"/>
        <v>0</v>
      </c>
      <c r="AQ144" s="130">
        <f t="shared" si="166"/>
        <v>0</v>
      </c>
      <c r="AR144" s="130">
        <f t="shared" si="166"/>
        <v>0</v>
      </c>
      <c r="AS144" s="130">
        <f t="shared" si="166"/>
        <v>0</v>
      </c>
      <c r="AT144" s="130">
        <f t="shared" si="166"/>
        <v>0</v>
      </c>
      <c r="AU144" s="130">
        <f t="shared" si="166"/>
        <v>0</v>
      </c>
      <c r="AV144" s="130">
        <f t="shared" si="166"/>
        <v>0</v>
      </c>
      <c r="AW144" s="130">
        <f t="shared" si="166"/>
        <v>0</v>
      </c>
      <c r="AX144" s="130">
        <f t="shared" si="166"/>
        <v>0</v>
      </c>
      <c r="AY144" s="130">
        <f t="shared" si="166"/>
        <v>0</v>
      </c>
      <c r="AZ144" s="130">
        <f t="shared" si="166"/>
        <v>0</v>
      </c>
      <c r="BA144" s="130">
        <f t="shared" si="166"/>
        <v>0</v>
      </c>
      <c r="BB144" s="130">
        <f t="shared" si="166"/>
        <v>0</v>
      </c>
      <c r="BC144" s="130">
        <f t="shared" si="166"/>
        <v>0</v>
      </c>
      <c r="BD144" s="130">
        <f t="shared" si="166"/>
        <v>0</v>
      </c>
      <c r="BE144" s="130">
        <f t="shared" si="166"/>
        <v>0</v>
      </c>
      <c r="BF144" s="130">
        <f t="shared" si="166"/>
        <v>0</v>
      </c>
      <c r="BG144" s="130">
        <f t="shared" si="166"/>
        <v>0</v>
      </c>
      <c r="BH144" s="130">
        <f t="shared" si="166"/>
        <v>0</v>
      </c>
      <c r="BI144" s="130">
        <f t="shared" si="166"/>
        <v>0</v>
      </c>
      <c r="BJ144" s="130">
        <f t="shared" si="166"/>
        <v>0</v>
      </c>
      <c r="BK144" s="130">
        <f t="shared" si="166"/>
        <v>0</v>
      </c>
      <c r="BL144" s="130">
        <f t="shared" si="166"/>
        <v>0</v>
      </c>
      <c r="BM144" s="130">
        <f t="shared" si="166"/>
        <v>0</v>
      </c>
      <c r="BN144" s="130">
        <f t="shared" si="166"/>
        <v>0</v>
      </c>
      <c r="BO144" s="130">
        <f t="shared" si="166"/>
        <v>0</v>
      </c>
      <c r="BP144" s="130">
        <f t="shared" si="166"/>
        <v>0</v>
      </c>
      <c r="BQ144" s="130">
        <f t="shared" si="166"/>
        <v>0</v>
      </c>
      <c r="BR144" s="130">
        <f t="shared" ref="BR144:CZ144" si="167">IF(BR114&lt;$E$63,BR143,0)</f>
        <v>0</v>
      </c>
      <c r="BS144" s="130">
        <f t="shared" si="167"/>
        <v>0</v>
      </c>
      <c r="BT144" s="130">
        <f t="shared" si="167"/>
        <v>0</v>
      </c>
      <c r="BU144" s="130">
        <f t="shared" si="167"/>
        <v>0</v>
      </c>
      <c r="BV144" s="130">
        <f t="shared" si="167"/>
        <v>0</v>
      </c>
      <c r="BW144" s="130">
        <f t="shared" si="167"/>
        <v>0</v>
      </c>
      <c r="BX144" s="130">
        <f t="shared" si="167"/>
        <v>0</v>
      </c>
      <c r="BY144" s="130">
        <f t="shared" si="167"/>
        <v>0</v>
      </c>
      <c r="BZ144" s="130">
        <f t="shared" si="167"/>
        <v>0</v>
      </c>
      <c r="CA144" s="130">
        <f t="shared" si="167"/>
        <v>0</v>
      </c>
      <c r="CB144" s="130">
        <f t="shared" si="167"/>
        <v>0</v>
      </c>
      <c r="CC144" s="130">
        <f t="shared" si="167"/>
        <v>0</v>
      </c>
      <c r="CD144" s="130">
        <f t="shared" si="167"/>
        <v>0</v>
      </c>
      <c r="CE144" s="130">
        <f t="shared" si="167"/>
        <v>0</v>
      </c>
      <c r="CF144" s="130">
        <f t="shared" si="167"/>
        <v>0</v>
      </c>
      <c r="CG144" s="130">
        <f t="shared" si="167"/>
        <v>0</v>
      </c>
      <c r="CH144" s="130">
        <f t="shared" si="167"/>
        <v>0</v>
      </c>
      <c r="CI144" s="130">
        <f t="shared" si="167"/>
        <v>0</v>
      </c>
      <c r="CJ144" s="130">
        <f t="shared" si="167"/>
        <v>0</v>
      </c>
      <c r="CK144" s="130">
        <f t="shared" si="167"/>
        <v>0</v>
      </c>
      <c r="CL144" s="130">
        <f t="shared" si="167"/>
        <v>0</v>
      </c>
      <c r="CM144" s="130">
        <f t="shared" si="167"/>
        <v>0</v>
      </c>
      <c r="CN144" s="130">
        <f t="shared" si="167"/>
        <v>0</v>
      </c>
      <c r="CO144" s="130">
        <f t="shared" si="167"/>
        <v>0</v>
      </c>
      <c r="CP144" s="130">
        <f t="shared" si="167"/>
        <v>0</v>
      </c>
      <c r="CQ144" s="130">
        <f t="shared" si="167"/>
        <v>0</v>
      </c>
      <c r="CR144" s="130">
        <f t="shared" si="167"/>
        <v>0</v>
      </c>
      <c r="CS144" s="130">
        <f t="shared" si="167"/>
        <v>0</v>
      </c>
      <c r="CT144" s="130">
        <f t="shared" si="167"/>
        <v>0</v>
      </c>
      <c r="CU144" s="130">
        <f t="shared" si="167"/>
        <v>0</v>
      </c>
      <c r="CV144" s="130">
        <f t="shared" si="167"/>
        <v>0</v>
      </c>
      <c r="CW144" s="130">
        <f t="shared" si="167"/>
        <v>0</v>
      </c>
      <c r="CX144" s="130">
        <f t="shared" si="167"/>
        <v>0</v>
      </c>
      <c r="CY144" s="130">
        <f t="shared" si="167"/>
        <v>0</v>
      </c>
      <c r="CZ144" s="130">
        <f t="shared" si="167"/>
        <v>0</v>
      </c>
    </row>
    <row r="145" spans="1:111" x14ac:dyDescent="0.35">
      <c r="A145" s="113"/>
      <c r="B145" s="98"/>
      <c r="C145" s="473">
        <f t="shared" si="163"/>
        <v>1.0000000000000004</v>
      </c>
      <c r="D145" s="147" t="s">
        <v>667</v>
      </c>
      <c r="E145" s="473">
        <f t="shared" ref="E145:X145" si="168">MACRS_GDS_150_15($E$63,E114)</f>
        <v>0</v>
      </c>
      <c r="F145" s="473">
        <f t="shared" si="168"/>
        <v>0</v>
      </c>
      <c r="G145" s="473">
        <f t="shared" si="168"/>
        <v>0</v>
      </c>
      <c r="H145" s="473">
        <f t="shared" si="168"/>
        <v>0</v>
      </c>
      <c r="I145" s="473">
        <f t="shared" si="168"/>
        <v>0.05</v>
      </c>
      <c r="J145" s="473">
        <f t="shared" si="168"/>
        <v>9.5000000000000001E-2</v>
      </c>
      <c r="K145" s="473">
        <f t="shared" si="168"/>
        <v>8.5500000000000007E-2</v>
      </c>
      <c r="L145" s="473">
        <f t="shared" si="168"/>
        <v>7.6999999999999999E-2</v>
      </c>
      <c r="M145" s="473">
        <f t="shared" si="168"/>
        <v>6.93E-2</v>
      </c>
      <c r="N145" s="473">
        <f t="shared" si="168"/>
        <v>6.2300000000000008E-2</v>
      </c>
      <c r="O145" s="473">
        <f t="shared" si="168"/>
        <v>5.9000000000000004E-2</v>
      </c>
      <c r="P145" s="473">
        <f t="shared" si="168"/>
        <v>5.9000000000000004E-2</v>
      </c>
      <c r="Q145" s="473">
        <f t="shared" si="168"/>
        <v>5.91E-2</v>
      </c>
      <c r="R145" s="473">
        <f t="shared" si="168"/>
        <v>5.9000000000000004E-2</v>
      </c>
      <c r="S145" s="473">
        <f t="shared" si="168"/>
        <v>5.91E-2</v>
      </c>
      <c r="T145" s="473">
        <f t="shared" si="168"/>
        <v>5.9000000000000004E-2</v>
      </c>
      <c r="U145" s="473">
        <f t="shared" si="168"/>
        <v>5.91E-2</v>
      </c>
      <c r="V145" s="473">
        <f t="shared" si="168"/>
        <v>5.9000000000000004E-2</v>
      </c>
      <c r="W145" s="473">
        <f t="shared" si="168"/>
        <v>5.91E-2</v>
      </c>
      <c r="X145" s="473">
        <f t="shared" si="168"/>
        <v>2.9500000000000002E-2</v>
      </c>
      <c r="Y145" s="473">
        <f t="shared" ref="Y145:CJ145" si="169">MACRS_GDS_150_15($E$63,Y114)</f>
        <v>0</v>
      </c>
      <c r="Z145" s="473">
        <f t="shared" si="169"/>
        <v>0</v>
      </c>
      <c r="AA145" s="473">
        <f t="shared" si="169"/>
        <v>0</v>
      </c>
      <c r="AB145" s="473">
        <f t="shared" si="169"/>
        <v>0</v>
      </c>
      <c r="AC145" s="473">
        <f t="shared" si="169"/>
        <v>0</v>
      </c>
      <c r="AD145" s="473">
        <f t="shared" si="169"/>
        <v>0</v>
      </c>
      <c r="AE145" s="473">
        <f t="shared" si="169"/>
        <v>0</v>
      </c>
      <c r="AF145" s="473">
        <f t="shared" si="169"/>
        <v>0</v>
      </c>
      <c r="AG145" s="473">
        <f t="shared" si="169"/>
        <v>0</v>
      </c>
      <c r="AH145" s="473">
        <f t="shared" si="169"/>
        <v>0</v>
      </c>
      <c r="AI145" s="473">
        <f t="shared" si="169"/>
        <v>0</v>
      </c>
      <c r="AJ145" s="473">
        <f t="shared" si="169"/>
        <v>0</v>
      </c>
      <c r="AK145" s="473">
        <f t="shared" si="169"/>
        <v>0</v>
      </c>
      <c r="AL145" s="473">
        <f t="shared" si="169"/>
        <v>0</v>
      </c>
      <c r="AM145" s="473">
        <f t="shared" si="169"/>
        <v>0</v>
      </c>
      <c r="AN145" s="473">
        <f t="shared" si="169"/>
        <v>0</v>
      </c>
      <c r="AO145" s="473">
        <f t="shared" si="169"/>
        <v>0</v>
      </c>
      <c r="AP145" s="473">
        <f t="shared" si="169"/>
        <v>0</v>
      </c>
      <c r="AQ145" s="473">
        <f t="shared" si="169"/>
        <v>0</v>
      </c>
      <c r="AR145" s="473">
        <f t="shared" si="169"/>
        <v>0</v>
      </c>
      <c r="AS145" s="473">
        <f t="shared" si="169"/>
        <v>0</v>
      </c>
      <c r="AT145" s="473">
        <f t="shared" si="169"/>
        <v>0</v>
      </c>
      <c r="AU145" s="473">
        <f t="shared" si="169"/>
        <v>0</v>
      </c>
      <c r="AV145" s="473">
        <f t="shared" si="169"/>
        <v>0</v>
      </c>
      <c r="AW145" s="473">
        <f t="shared" si="169"/>
        <v>0</v>
      </c>
      <c r="AX145" s="473">
        <f t="shared" si="169"/>
        <v>0</v>
      </c>
      <c r="AY145" s="473">
        <f t="shared" si="169"/>
        <v>0</v>
      </c>
      <c r="AZ145" s="473">
        <f t="shared" si="169"/>
        <v>0</v>
      </c>
      <c r="BA145" s="473">
        <f t="shared" si="169"/>
        <v>0</v>
      </c>
      <c r="BB145" s="473">
        <f t="shared" si="169"/>
        <v>0</v>
      </c>
      <c r="BC145" s="473">
        <f t="shared" si="169"/>
        <v>0</v>
      </c>
      <c r="BD145" s="473">
        <f t="shared" si="169"/>
        <v>0</v>
      </c>
      <c r="BE145" s="473">
        <f t="shared" si="169"/>
        <v>0</v>
      </c>
      <c r="BF145" s="473">
        <f t="shared" si="169"/>
        <v>0</v>
      </c>
      <c r="BG145" s="473">
        <f t="shared" si="169"/>
        <v>0</v>
      </c>
      <c r="BH145" s="473">
        <f t="shared" si="169"/>
        <v>0</v>
      </c>
      <c r="BI145" s="473">
        <f t="shared" si="169"/>
        <v>0</v>
      </c>
      <c r="BJ145" s="473">
        <f t="shared" si="169"/>
        <v>0</v>
      </c>
      <c r="BK145" s="473">
        <f t="shared" si="169"/>
        <v>0</v>
      </c>
      <c r="BL145" s="473">
        <f t="shared" si="169"/>
        <v>0</v>
      </c>
      <c r="BM145" s="473">
        <f t="shared" si="169"/>
        <v>0</v>
      </c>
      <c r="BN145" s="473">
        <f t="shared" si="169"/>
        <v>0</v>
      </c>
      <c r="BO145" s="473">
        <f t="shared" si="169"/>
        <v>0</v>
      </c>
      <c r="BP145" s="473">
        <f t="shared" si="169"/>
        <v>0</v>
      </c>
      <c r="BQ145" s="473">
        <f t="shared" si="169"/>
        <v>0</v>
      </c>
      <c r="BR145" s="473">
        <f t="shared" si="169"/>
        <v>0</v>
      </c>
      <c r="BS145" s="473">
        <f t="shared" si="169"/>
        <v>0</v>
      </c>
      <c r="BT145" s="473">
        <f t="shared" si="169"/>
        <v>0</v>
      </c>
      <c r="BU145" s="473">
        <f t="shared" si="169"/>
        <v>0</v>
      </c>
      <c r="BV145" s="473">
        <f t="shared" si="169"/>
        <v>0</v>
      </c>
      <c r="BW145" s="473">
        <f t="shared" si="169"/>
        <v>0</v>
      </c>
      <c r="BX145" s="473">
        <f t="shared" si="169"/>
        <v>0</v>
      </c>
      <c r="BY145" s="473">
        <f t="shared" si="169"/>
        <v>0</v>
      </c>
      <c r="BZ145" s="473">
        <f t="shared" si="169"/>
        <v>0</v>
      </c>
      <c r="CA145" s="473">
        <f t="shared" si="169"/>
        <v>0</v>
      </c>
      <c r="CB145" s="473">
        <f t="shared" si="169"/>
        <v>0</v>
      </c>
      <c r="CC145" s="473">
        <f t="shared" si="169"/>
        <v>0</v>
      </c>
      <c r="CD145" s="473">
        <f t="shared" si="169"/>
        <v>0</v>
      </c>
      <c r="CE145" s="473">
        <f t="shared" si="169"/>
        <v>0</v>
      </c>
      <c r="CF145" s="473">
        <f t="shared" si="169"/>
        <v>0</v>
      </c>
      <c r="CG145" s="473">
        <f t="shared" si="169"/>
        <v>0</v>
      </c>
      <c r="CH145" s="473">
        <f t="shared" si="169"/>
        <v>0</v>
      </c>
      <c r="CI145" s="473">
        <f t="shared" si="169"/>
        <v>0</v>
      </c>
      <c r="CJ145" s="473">
        <f t="shared" si="169"/>
        <v>0</v>
      </c>
      <c r="CK145" s="473">
        <f t="shared" ref="CK145:CZ145" si="170">MACRS_GDS_150_15($E$63,CK114)</f>
        <v>0</v>
      </c>
      <c r="CL145" s="473">
        <f t="shared" si="170"/>
        <v>0</v>
      </c>
      <c r="CM145" s="473">
        <f t="shared" si="170"/>
        <v>0</v>
      </c>
      <c r="CN145" s="473">
        <f t="shared" si="170"/>
        <v>0</v>
      </c>
      <c r="CO145" s="473">
        <f t="shared" si="170"/>
        <v>0</v>
      </c>
      <c r="CP145" s="473">
        <f t="shared" si="170"/>
        <v>0</v>
      </c>
      <c r="CQ145" s="473">
        <f t="shared" si="170"/>
        <v>0</v>
      </c>
      <c r="CR145" s="473">
        <f t="shared" si="170"/>
        <v>0</v>
      </c>
      <c r="CS145" s="473">
        <f t="shared" si="170"/>
        <v>0</v>
      </c>
      <c r="CT145" s="473">
        <f t="shared" si="170"/>
        <v>0</v>
      </c>
      <c r="CU145" s="473">
        <f t="shared" si="170"/>
        <v>0</v>
      </c>
      <c r="CV145" s="473">
        <f t="shared" si="170"/>
        <v>0</v>
      </c>
      <c r="CW145" s="473">
        <f t="shared" si="170"/>
        <v>0</v>
      </c>
      <c r="CX145" s="473">
        <f t="shared" si="170"/>
        <v>0</v>
      </c>
      <c r="CY145" s="473">
        <f t="shared" si="170"/>
        <v>0</v>
      </c>
      <c r="CZ145" s="473">
        <f t="shared" si="170"/>
        <v>0</v>
      </c>
    </row>
    <row r="146" spans="1:111" x14ac:dyDescent="0.35">
      <c r="A146" s="113"/>
      <c r="B146" s="98"/>
      <c r="C146" s="473">
        <f t="shared" si="163"/>
        <v>1.0000000000000002</v>
      </c>
      <c r="D146" s="147" t="s">
        <v>668</v>
      </c>
      <c r="E146" s="473">
        <f>MACRS_GDS_150_20($E$63,E114)</f>
        <v>0</v>
      </c>
      <c r="F146" s="473">
        <f t="shared" ref="F146:BQ146" si="171">MACRS_GDS_150_20($E$63,F114)</f>
        <v>0</v>
      </c>
      <c r="G146" s="473">
        <f t="shared" si="171"/>
        <v>0</v>
      </c>
      <c r="H146" s="473">
        <f t="shared" si="171"/>
        <v>0</v>
      </c>
      <c r="I146" s="473">
        <f t="shared" si="171"/>
        <v>3.7499999999999999E-2</v>
      </c>
      <c r="J146" s="473">
        <f t="shared" si="171"/>
        <v>7.2190000000000004E-2</v>
      </c>
      <c r="K146" s="473">
        <f t="shared" si="171"/>
        <v>6.6769999999999996E-2</v>
      </c>
      <c r="L146" s="473">
        <f t="shared" si="171"/>
        <v>6.1769999999999999E-2</v>
      </c>
      <c r="M146" s="473">
        <f t="shared" si="171"/>
        <v>5.713E-2</v>
      </c>
      <c r="N146" s="473">
        <f t="shared" si="171"/>
        <v>5.2850000000000001E-2</v>
      </c>
      <c r="O146" s="473">
        <f t="shared" si="171"/>
        <v>4.888E-2</v>
      </c>
      <c r="P146" s="473">
        <f t="shared" si="171"/>
        <v>4.5220000000000003E-2</v>
      </c>
      <c r="Q146" s="473">
        <f t="shared" si="171"/>
        <v>4.462E-2</v>
      </c>
      <c r="R146" s="473">
        <f t="shared" si="171"/>
        <v>4.4610000000000004E-2</v>
      </c>
      <c r="S146" s="473">
        <f t="shared" si="171"/>
        <v>4.462E-2</v>
      </c>
      <c r="T146" s="473">
        <f t="shared" si="171"/>
        <v>4.4610000000000004E-2</v>
      </c>
      <c r="U146" s="473">
        <f t="shared" si="171"/>
        <v>4.462E-2</v>
      </c>
      <c r="V146" s="473">
        <f t="shared" si="171"/>
        <v>4.4610000000000004E-2</v>
      </c>
      <c r="W146" s="473">
        <f t="shared" si="171"/>
        <v>4.462E-2</v>
      </c>
      <c r="X146" s="473">
        <f t="shared" si="171"/>
        <v>4.4610000000000004E-2</v>
      </c>
      <c r="Y146" s="473">
        <f t="shared" si="171"/>
        <v>4.462E-2</v>
      </c>
      <c r="Z146" s="473">
        <f t="shared" si="171"/>
        <v>4.4610000000000004E-2</v>
      </c>
      <c r="AA146" s="473">
        <f t="shared" si="171"/>
        <v>4.462E-2</v>
      </c>
      <c r="AB146" s="473">
        <f>MACRS_GDS_150_20($E$63,AB114)</f>
        <v>4.4610000000000004E-2</v>
      </c>
      <c r="AC146" s="473">
        <f t="shared" si="171"/>
        <v>2.231E-2</v>
      </c>
      <c r="AD146" s="473">
        <f t="shared" si="171"/>
        <v>0</v>
      </c>
      <c r="AE146" s="473">
        <f t="shared" si="171"/>
        <v>0</v>
      </c>
      <c r="AF146" s="473">
        <f t="shared" si="171"/>
        <v>0</v>
      </c>
      <c r="AG146" s="473">
        <f t="shared" si="171"/>
        <v>0</v>
      </c>
      <c r="AH146" s="473">
        <f t="shared" si="171"/>
        <v>0</v>
      </c>
      <c r="AI146" s="473">
        <f t="shared" si="171"/>
        <v>0</v>
      </c>
      <c r="AJ146" s="473">
        <f t="shared" si="171"/>
        <v>0</v>
      </c>
      <c r="AK146" s="473">
        <f t="shared" si="171"/>
        <v>0</v>
      </c>
      <c r="AL146" s="473">
        <f t="shared" si="171"/>
        <v>0</v>
      </c>
      <c r="AM146" s="473">
        <f t="shared" si="171"/>
        <v>0</v>
      </c>
      <c r="AN146" s="473">
        <f t="shared" si="171"/>
        <v>0</v>
      </c>
      <c r="AO146" s="473">
        <f t="shared" si="171"/>
        <v>0</v>
      </c>
      <c r="AP146" s="473">
        <f t="shared" si="171"/>
        <v>0</v>
      </c>
      <c r="AQ146" s="473">
        <f t="shared" si="171"/>
        <v>0</v>
      </c>
      <c r="AR146" s="473">
        <f t="shared" si="171"/>
        <v>0</v>
      </c>
      <c r="AS146" s="473">
        <f t="shared" si="171"/>
        <v>0</v>
      </c>
      <c r="AT146" s="473">
        <f t="shared" si="171"/>
        <v>0</v>
      </c>
      <c r="AU146" s="473">
        <f t="shared" si="171"/>
        <v>0</v>
      </c>
      <c r="AV146" s="473">
        <f t="shared" si="171"/>
        <v>0</v>
      </c>
      <c r="AW146" s="473">
        <f t="shared" si="171"/>
        <v>0</v>
      </c>
      <c r="AX146" s="473">
        <f t="shared" si="171"/>
        <v>0</v>
      </c>
      <c r="AY146" s="473">
        <f t="shared" si="171"/>
        <v>0</v>
      </c>
      <c r="AZ146" s="473">
        <f t="shared" si="171"/>
        <v>0</v>
      </c>
      <c r="BA146" s="473">
        <f t="shared" si="171"/>
        <v>0</v>
      </c>
      <c r="BB146" s="473">
        <f t="shared" si="171"/>
        <v>0</v>
      </c>
      <c r="BC146" s="473">
        <f t="shared" si="171"/>
        <v>0</v>
      </c>
      <c r="BD146" s="473">
        <f t="shared" si="171"/>
        <v>0</v>
      </c>
      <c r="BE146" s="473">
        <f t="shared" si="171"/>
        <v>0</v>
      </c>
      <c r="BF146" s="473">
        <f t="shared" si="171"/>
        <v>0</v>
      </c>
      <c r="BG146" s="473">
        <f t="shared" si="171"/>
        <v>0</v>
      </c>
      <c r="BH146" s="473">
        <f t="shared" si="171"/>
        <v>0</v>
      </c>
      <c r="BI146" s="473">
        <f t="shared" si="171"/>
        <v>0</v>
      </c>
      <c r="BJ146" s="473">
        <f t="shared" si="171"/>
        <v>0</v>
      </c>
      <c r="BK146" s="473">
        <f t="shared" si="171"/>
        <v>0</v>
      </c>
      <c r="BL146" s="473">
        <f t="shared" si="171"/>
        <v>0</v>
      </c>
      <c r="BM146" s="473">
        <f t="shared" si="171"/>
        <v>0</v>
      </c>
      <c r="BN146" s="473">
        <f t="shared" si="171"/>
        <v>0</v>
      </c>
      <c r="BO146" s="473">
        <f t="shared" si="171"/>
        <v>0</v>
      </c>
      <c r="BP146" s="473">
        <f t="shared" si="171"/>
        <v>0</v>
      </c>
      <c r="BQ146" s="473">
        <f t="shared" si="171"/>
        <v>0</v>
      </c>
      <c r="BR146" s="473">
        <f t="shared" ref="BR146:CZ146" si="172">MACRS_GDS_150_20($E$63,BR114)</f>
        <v>0</v>
      </c>
      <c r="BS146" s="473">
        <f t="shared" si="172"/>
        <v>0</v>
      </c>
      <c r="BT146" s="473">
        <f t="shared" si="172"/>
        <v>0</v>
      </c>
      <c r="BU146" s="473">
        <f t="shared" si="172"/>
        <v>0</v>
      </c>
      <c r="BV146" s="473">
        <f t="shared" si="172"/>
        <v>0</v>
      </c>
      <c r="BW146" s="473">
        <f t="shared" si="172"/>
        <v>0</v>
      </c>
      <c r="BX146" s="473">
        <f t="shared" si="172"/>
        <v>0</v>
      </c>
      <c r="BY146" s="473">
        <f t="shared" si="172"/>
        <v>0</v>
      </c>
      <c r="BZ146" s="473">
        <f t="shared" si="172"/>
        <v>0</v>
      </c>
      <c r="CA146" s="473">
        <f t="shared" si="172"/>
        <v>0</v>
      </c>
      <c r="CB146" s="473">
        <f t="shared" si="172"/>
        <v>0</v>
      </c>
      <c r="CC146" s="473">
        <f t="shared" si="172"/>
        <v>0</v>
      </c>
      <c r="CD146" s="473">
        <f t="shared" si="172"/>
        <v>0</v>
      </c>
      <c r="CE146" s="473">
        <f t="shared" si="172"/>
        <v>0</v>
      </c>
      <c r="CF146" s="473">
        <f t="shared" si="172"/>
        <v>0</v>
      </c>
      <c r="CG146" s="473">
        <f t="shared" si="172"/>
        <v>0</v>
      </c>
      <c r="CH146" s="473">
        <f t="shared" si="172"/>
        <v>0</v>
      </c>
      <c r="CI146" s="473">
        <f t="shared" si="172"/>
        <v>0</v>
      </c>
      <c r="CJ146" s="473">
        <f t="shared" si="172"/>
        <v>0</v>
      </c>
      <c r="CK146" s="473">
        <f t="shared" si="172"/>
        <v>0</v>
      </c>
      <c r="CL146" s="473">
        <f t="shared" si="172"/>
        <v>0</v>
      </c>
      <c r="CM146" s="473">
        <f t="shared" si="172"/>
        <v>0</v>
      </c>
      <c r="CN146" s="473">
        <f t="shared" si="172"/>
        <v>0</v>
      </c>
      <c r="CO146" s="473">
        <f t="shared" si="172"/>
        <v>0</v>
      </c>
      <c r="CP146" s="473">
        <f t="shared" si="172"/>
        <v>0</v>
      </c>
      <c r="CQ146" s="473">
        <f t="shared" si="172"/>
        <v>0</v>
      </c>
      <c r="CR146" s="473">
        <f t="shared" si="172"/>
        <v>0</v>
      </c>
      <c r="CS146" s="473">
        <f t="shared" si="172"/>
        <v>0</v>
      </c>
      <c r="CT146" s="473">
        <f t="shared" si="172"/>
        <v>0</v>
      </c>
      <c r="CU146" s="473">
        <f t="shared" si="172"/>
        <v>0</v>
      </c>
      <c r="CV146" s="473">
        <f t="shared" si="172"/>
        <v>0</v>
      </c>
      <c r="CW146" s="473">
        <f t="shared" si="172"/>
        <v>0</v>
      </c>
      <c r="CX146" s="473">
        <f t="shared" si="172"/>
        <v>0</v>
      </c>
      <c r="CY146" s="473">
        <f t="shared" si="172"/>
        <v>0</v>
      </c>
      <c r="CZ146" s="473">
        <f t="shared" si="172"/>
        <v>0</v>
      </c>
    </row>
    <row r="147" spans="1:111" x14ac:dyDescent="0.35">
      <c r="A147" s="113"/>
      <c r="B147" s="98"/>
      <c r="C147" s="473">
        <f t="shared" si="163"/>
        <v>0.99999999999999989</v>
      </c>
      <c r="D147" s="147" t="s">
        <v>669</v>
      </c>
      <c r="E147" s="473">
        <f>MACRS_GDS_SL_15($E$63,E114)</f>
        <v>0</v>
      </c>
      <c r="F147" s="473">
        <f t="shared" ref="F147:BQ147" si="173">MACRS_GDS_SL_15($E$63,F114)</f>
        <v>0</v>
      </c>
      <c r="G147" s="473">
        <f t="shared" si="173"/>
        <v>0</v>
      </c>
      <c r="H147" s="473">
        <f t="shared" si="173"/>
        <v>0</v>
      </c>
      <c r="I147" s="473">
        <f t="shared" si="173"/>
        <v>3.3300000000000003E-2</v>
      </c>
      <c r="J147" s="473">
        <f t="shared" si="173"/>
        <v>6.6699999999999995E-2</v>
      </c>
      <c r="K147" s="473">
        <f t="shared" si="173"/>
        <v>6.6699999999999995E-2</v>
      </c>
      <c r="L147" s="473">
        <f t="shared" si="173"/>
        <v>6.6699999999999995E-2</v>
      </c>
      <c r="M147" s="473">
        <f t="shared" si="173"/>
        <v>6.6699999999999995E-2</v>
      </c>
      <c r="N147" s="473">
        <f t="shared" si="173"/>
        <v>6.6699999999999995E-2</v>
      </c>
      <c r="O147" s="473">
        <f t="shared" si="173"/>
        <v>6.6699999999999995E-2</v>
      </c>
      <c r="P147" s="473">
        <f t="shared" si="173"/>
        <v>6.6600000000000006E-2</v>
      </c>
      <c r="Q147" s="473">
        <f t="shared" si="173"/>
        <v>6.6699999999999995E-2</v>
      </c>
      <c r="R147" s="473">
        <f t="shared" si="173"/>
        <v>6.6600000000000006E-2</v>
      </c>
      <c r="S147" s="473">
        <f t="shared" si="173"/>
        <v>6.6699999999999995E-2</v>
      </c>
      <c r="T147" s="473">
        <f t="shared" si="173"/>
        <v>6.6600000000000006E-2</v>
      </c>
      <c r="U147" s="473">
        <f t="shared" si="173"/>
        <v>6.6699999999999995E-2</v>
      </c>
      <c r="V147" s="473">
        <f t="shared" si="173"/>
        <v>6.6600000000000006E-2</v>
      </c>
      <c r="W147" s="473">
        <f t="shared" si="173"/>
        <v>6.6699999999999995E-2</v>
      </c>
      <c r="X147" s="473">
        <f t="shared" si="173"/>
        <v>3.3300000000000003E-2</v>
      </c>
      <c r="Y147" s="473">
        <f t="shared" si="173"/>
        <v>0</v>
      </c>
      <c r="Z147" s="473">
        <f t="shared" si="173"/>
        <v>0</v>
      </c>
      <c r="AA147" s="473">
        <f t="shared" si="173"/>
        <v>0</v>
      </c>
      <c r="AB147" s="473">
        <f t="shared" si="173"/>
        <v>0</v>
      </c>
      <c r="AC147" s="473">
        <f t="shared" si="173"/>
        <v>0</v>
      </c>
      <c r="AD147" s="473">
        <f t="shared" si="173"/>
        <v>0</v>
      </c>
      <c r="AE147" s="473">
        <f t="shared" si="173"/>
        <v>0</v>
      </c>
      <c r="AF147" s="473">
        <f t="shared" si="173"/>
        <v>0</v>
      </c>
      <c r="AG147" s="473">
        <f t="shared" si="173"/>
        <v>0</v>
      </c>
      <c r="AH147" s="473">
        <f t="shared" si="173"/>
        <v>0</v>
      </c>
      <c r="AI147" s="473">
        <f t="shared" si="173"/>
        <v>0</v>
      </c>
      <c r="AJ147" s="473">
        <f t="shared" si="173"/>
        <v>0</v>
      </c>
      <c r="AK147" s="473">
        <f t="shared" si="173"/>
        <v>0</v>
      </c>
      <c r="AL147" s="473">
        <f t="shared" si="173"/>
        <v>0</v>
      </c>
      <c r="AM147" s="473">
        <f t="shared" si="173"/>
        <v>0</v>
      </c>
      <c r="AN147" s="473">
        <f t="shared" si="173"/>
        <v>0</v>
      </c>
      <c r="AO147" s="473">
        <f t="shared" si="173"/>
        <v>0</v>
      </c>
      <c r="AP147" s="473">
        <f t="shared" si="173"/>
        <v>0</v>
      </c>
      <c r="AQ147" s="473">
        <f t="shared" si="173"/>
        <v>0</v>
      </c>
      <c r="AR147" s="473">
        <f t="shared" si="173"/>
        <v>0</v>
      </c>
      <c r="AS147" s="473">
        <f t="shared" si="173"/>
        <v>0</v>
      </c>
      <c r="AT147" s="473">
        <f t="shared" si="173"/>
        <v>0</v>
      </c>
      <c r="AU147" s="473">
        <f t="shared" si="173"/>
        <v>0</v>
      </c>
      <c r="AV147" s="473">
        <f t="shared" si="173"/>
        <v>0</v>
      </c>
      <c r="AW147" s="473">
        <f t="shared" si="173"/>
        <v>0</v>
      </c>
      <c r="AX147" s="473">
        <f t="shared" si="173"/>
        <v>0</v>
      </c>
      <c r="AY147" s="473">
        <f t="shared" si="173"/>
        <v>0</v>
      </c>
      <c r="AZ147" s="473">
        <f t="shared" si="173"/>
        <v>0</v>
      </c>
      <c r="BA147" s="473">
        <f t="shared" si="173"/>
        <v>0</v>
      </c>
      <c r="BB147" s="473">
        <f t="shared" si="173"/>
        <v>0</v>
      </c>
      <c r="BC147" s="473">
        <f t="shared" si="173"/>
        <v>0</v>
      </c>
      <c r="BD147" s="473">
        <f t="shared" si="173"/>
        <v>0</v>
      </c>
      <c r="BE147" s="473">
        <f t="shared" si="173"/>
        <v>0</v>
      </c>
      <c r="BF147" s="473">
        <f t="shared" si="173"/>
        <v>0</v>
      </c>
      <c r="BG147" s="473">
        <f t="shared" si="173"/>
        <v>0</v>
      </c>
      <c r="BH147" s="473">
        <f t="shared" si="173"/>
        <v>0</v>
      </c>
      <c r="BI147" s="473">
        <f t="shared" si="173"/>
        <v>0</v>
      </c>
      <c r="BJ147" s="473">
        <f t="shared" si="173"/>
        <v>0</v>
      </c>
      <c r="BK147" s="473">
        <f t="shared" si="173"/>
        <v>0</v>
      </c>
      <c r="BL147" s="473">
        <f t="shared" si="173"/>
        <v>0</v>
      </c>
      <c r="BM147" s="473">
        <f t="shared" si="173"/>
        <v>0</v>
      </c>
      <c r="BN147" s="473">
        <f t="shared" si="173"/>
        <v>0</v>
      </c>
      <c r="BO147" s="473">
        <f t="shared" si="173"/>
        <v>0</v>
      </c>
      <c r="BP147" s="473">
        <f t="shared" si="173"/>
        <v>0</v>
      </c>
      <c r="BQ147" s="473">
        <f t="shared" si="173"/>
        <v>0</v>
      </c>
      <c r="BR147" s="473">
        <f t="shared" ref="BR147:CZ147" si="174">MACRS_GDS_SL_15($E$63,BR114)</f>
        <v>0</v>
      </c>
      <c r="BS147" s="473">
        <f t="shared" si="174"/>
        <v>0</v>
      </c>
      <c r="BT147" s="473">
        <f t="shared" si="174"/>
        <v>0</v>
      </c>
      <c r="BU147" s="473">
        <f t="shared" si="174"/>
        <v>0</v>
      </c>
      <c r="BV147" s="473">
        <f t="shared" si="174"/>
        <v>0</v>
      </c>
      <c r="BW147" s="473">
        <f t="shared" si="174"/>
        <v>0</v>
      </c>
      <c r="BX147" s="473">
        <f t="shared" si="174"/>
        <v>0</v>
      </c>
      <c r="BY147" s="473">
        <f t="shared" si="174"/>
        <v>0</v>
      </c>
      <c r="BZ147" s="473">
        <f t="shared" si="174"/>
        <v>0</v>
      </c>
      <c r="CA147" s="473">
        <f t="shared" si="174"/>
        <v>0</v>
      </c>
      <c r="CB147" s="473">
        <f t="shared" si="174"/>
        <v>0</v>
      </c>
      <c r="CC147" s="473">
        <f t="shared" si="174"/>
        <v>0</v>
      </c>
      <c r="CD147" s="473">
        <f t="shared" si="174"/>
        <v>0</v>
      </c>
      <c r="CE147" s="473">
        <f t="shared" si="174"/>
        <v>0</v>
      </c>
      <c r="CF147" s="473">
        <f t="shared" si="174"/>
        <v>0</v>
      </c>
      <c r="CG147" s="473">
        <f t="shared" si="174"/>
        <v>0</v>
      </c>
      <c r="CH147" s="473">
        <f t="shared" si="174"/>
        <v>0</v>
      </c>
      <c r="CI147" s="473">
        <f t="shared" si="174"/>
        <v>0</v>
      </c>
      <c r="CJ147" s="473">
        <f t="shared" si="174"/>
        <v>0</v>
      </c>
      <c r="CK147" s="473">
        <f t="shared" si="174"/>
        <v>0</v>
      </c>
      <c r="CL147" s="473">
        <f t="shared" si="174"/>
        <v>0</v>
      </c>
      <c r="CM147" s="473">
        <f t="shared" si="174"/>
        <v>0</v>
      </c>
      <c r="CN147" s="473">
        <f t="shared" si="174"/>
        <v>0</v>
      </c>
      <c r="CO147" s="473">
        <f t="shared" si="174"/>
        <v>0</v>
      </c>
      <c r="CP147" s="473">
        <f t="shared" si="174"/>
        <v>0</v>
      </c>
      <c r="CQ147" s="473">
        <f t="shared" si="174"/>
        <v>0</v>
      </c>
      <c r="CR147" s="473">
        <f t="shared" si="174"/>
        <v>0</v>
      </c>
      <c r="CS147" s="473">
        <f t="shared" si="174"/>
        <v>0</v>
      </c>
      <c r="CT147" s="473">
        <f t="shared" si="174"/>
        <v>0</v>
      </c>
      <c r="CU147" s="473">
        <f t="shared" si="174"/>
        <v>0</v>
      </c>
      <c r="CV147" s="473">
        <f t="shared" si="174"/>
        <v>0</v>
      </c>
      <c r="CW147" s="473">
        <f t="shared" si="174"/>
        <v>0</v>
      </c>
      <c r="CX147" s="473">
        <f t="shared" si="174"/>
        <v>0</v>
      </c>
      <c r="CY147" s="473">
        <f t="shared" si="174"/>
        <v>0</v>
      </c>
      <c r="CZ147" s="473">
        <f t="shared" si="174"/>
        <v>0</v>
      </c>
    </row>
    <row r="148" spans="1:111" x14ac:dyDescent="0.35">
      <c r="A148" s="113"/>
      <c r="B148" s="98"/>
      <c r="C148" s="473">
        <f t="shared" si="163"/>
        <v>1.0000000000000002</v>
      </c>
      <c r="D148" s="147" t="s">
        <v>670</v>
      </c>
      <c r="E148" s="473">
        <f>MACRS_GDS_SL_20($E$63,E114)</f>
        <v>0</v>
      </c>
      <c r="F148" s="473">
        <f t="shared" ref="F148:BQ148" si="175">MACRS_GDS_SL_20($E$63,F114)</f>
        <v>0</v>
      </c>
      <c r="G148" s="473">
        <f t="shared" si="175"/>
        <v>0</v>
      </c>
      <c r="H148" s="473">
        <f t="shared" si="175"/>
        <v>0</v>
      </c>
      <c r="I148" s="473">
        <f t="shared" si="175"/>
        <v>2.5000000000000001E-2</v>
      </c>
      <c r="J148" s="473">
        <f t="shared" si="175"/>
        <v>0.05</v>
      </c>
      <c r="K148" s="473">
        <f t="shared" si="175"/>
        <v>0.05</v>
      </c>
      <c r="L148" s="473">
        <f t="shared" si="175"/>
        <v>0.05</v>
      </c>
      <c r="M148" s="473">
        <f t="shared" si="175"/>
        <v>0.05</v>
      </c>
      <c r="N148" s="473">
        <f t="shared" si="175"/>
        <v>0.05</v>
      </c>
      <c r="O148" s="473">
        <f t="shared" si="175"/>
        <v>0.05</v>
      </c>
      <c r="P148" s="473">
        <f t="shared" si="175"/>
        <v>0.05</v>
      </c>
      <c r="Q148" s="473">
        <f t="shared" si="175"/>
        <v>0.05</v>
      </c>
      <c r="R148" s="473">
        <f t="shared" si="175"/>
        <v>0.05</v>
      </c>
      <c r="S148" s="473">
        <f t="shared" si="175"/>
        <v>0.05</v>
      </c>
      <c r="T148" s="473">
        <f t="shared" si="175"/>
        <v>0.05</v>
      </c>
      <c r="U148" s="473">
        <f t="shared" si="175"/>
        <v>0.05</v>
      </c>
      <c r="V148" s="473">
        <f t="shared" si="175"/>
        <v>0.05</v>
      </c>
      <c r="W148" s="473">
        <f t="shared" si="175"/>
        <v>0.05</v>
      </c>
      <c r="X148" s="473">
        <f t="shared" si="175"/>
        <v>0.05</v>
      </c>
      <c r="Y148" s="473">
        <f t="shared" si="175"/>
        <v>0.05</v>
      </c>
      <c r="Z148" s="473">
        <f t="shared" si="175"/>
        <v>0.05</v>
      </c>
      <c r="AA148" s="473">
        <f t="shared" si="175"/>
        <v>0.05</v>
      </c>
      <c r="AB148" s="473">
        <f t="shared" si="175"/>
        <v>0.05</v>
      </c>
      <c r="AC148" s="473">
        <f t="shared" si="175"/>
        <v>2.5000000000000001E-2</v>
      </c>
      <c r="AD148" s="473">
        <f t="shared" si="175"/>
        <v>0</v>
      </c>
      <c r="AE148" s="473">
        <f t="shared" si="175"/>
        <v>0</v>
      </c>
      <c r="AF148" s="473">
        <f t="shared" si="175"/>
        <v>0</v>
      </c>
      <c r="AG148" s="473">
        <f t="shared" si="175"/>
        <v>0</v>
      </c>
      <c r="AH148" s="473">
        <f t="shared" si="175"/>
        <v>0</v>
      </c>
      <c r="AI148" s="473">
        <f t="shared" si="175"/>
        <v>0</v>
      </c>
      <c r="AJ148" s="473">
        <f t="shared" si="175"/>
        <v>0</v>
      </c>
      <c r="AK148" s="473">
        <f t="shared" si="175"/>
        <v>0</v>
      </c>
      <c r="AL148" s="473">
        <f t="shared" si="175"/>
        <v>0</v>
      </c>
      <c r="AM148" s="473">
        <f t="shared" si="175"/>
        <v>0</v>
      </c>
      <c r="AN148" s="473">
        <f t="shared" si="175"/>
        <v>0</v>
      </c>
      <c r="AO148" s="473">
        <f t="shared" si="175"/>
        <v>0</v>
      </c>
      <c r="AP148" s="473">
        <f t="shared" si="175"/>
        <v>0</v>
      </c>
      <c r="AQ148" s="473">
        <f t="shared" si="175"/>
        <v>0</v>
      </c>
      <c r="AR148" s="473">
        <f t="shared" si="175"/>
        <v>0</v>
      </c>
      <c r="AS148" s="473">
        <f t="shared" si="175"/>
        <v>0</v>
      </c>
      <c r="AT148" s="473">
        <f t="shared" si="175"/>
        <v>0</v>
      </c>
      <c r="AU148" s="473">
        <f t="shared" si="175"/>
        <v>0</v>
      </c>
      <c r="AV148" s="473">
        <f t="shared" si="175"/>
        <v>0</v>
      </c>
      <c r="AW148" s="473">
        <f t="shared" si="175"/>
        <v>0</v>
      </c>
      <c r="AX148" s="473">
        <f t="shared" si="175"/>
        <v>0</v>
      </c>
      <c r="AY148" s="473">
        <f t="shared" si="175"/>
        <v>0</v>
      </c>
      <c r="AZ148" s="473">
        <f t="shared" si="175"/>
        <v>0</v>
      </c>
      <c r="BA148" s="473">
        <f t="shared" si="175"/>
        <v>0</v>
      </c>
      <c r="BB148" s="473">
        <f t="shared" si="175"/>
        <v>0</v>
      </c>
      <c r="BC148" s="473">
        <f t="shared" si="175"/>
        <v>0</v>
      </c>
      <c r="BD148" s="473">
        <f t="shared" si="175"/>
        <v>0</v>
      </c>
      <c r="BE148" s="473">
        <f t="shared" si="175"/>
        <v>0</v>
      </c>
      <c r="BF148" s="473">
        <f t="shared" si="175"/>
        <v>0</v>
      </c>
      <c r="BG148" s="473">
        <f t="shared" si="175"/>
        <v>0</v>
      </c>
      <c r="BH148" s="473">
        <f t="shared" si="175"/>
        <v>0</v>
      </c>
      <c r="BI148" s="473">
        <f t="shared" si="175"/>
        <v>0</v>
      </c>
      <c r="BJ148" s="473">
        <f t="shared" si="175"/>
        <v>0</v>
      </c>
      <c r="BK148" s="473">
        <f t="shared" si="175"/>
        <v>0</v>
      </c>
      <c r="BL148" s="473">
        <f t="shared" si="175"/>
        <v>0</v>
      </c>
      <c r="BM148" s="473">
        <f t="shared" si="175"/>
        <v>0</v>
      </c>
      <c r="BN148" s="473">
        <f t="shared" si="175"/>
        <v>0</v>
      </c>
      <c r="BO148" s="473">
        <f t="shared" si="175"/>
        <v>0</v>
      </c>
      <c r="BP148" s="473">
        <f t="shared" si="175"/>
        <v>0</v>
      </c>
      <c r="BQ148" s="473">
        <f t="shared" si="175"/>
        <v>0</v>
      </c>
      <c r="BR148" s="473">
        <f t="shared" ref="BR148:CZ148" si="176">MACRS_GDS_SL_20($E$63,BR114)</f>
        <v>0</v>
      </c>
      <c r="BS148" s="473">
        <f t="shared" si="176"/>
        <v>0</v>
      </c>
      <c r="BT148" s="473">
        <f t="shared" si="176"/>
        <v>0</v>
      </c>
      <c r="BU148" s="473">
        <f t="shared" si="176"/>
        <v>0</v>
      </c>
      <c r="BV148" s="473">
        <f t="shared" si="176"/>
        <v>0</v>
      </c>
      <c r="BW148" s="473">
        <f t="shared" si="176"/>
        <v>0</v>
      </c>
      <c r="BX148" s="473">
        <f t="shared" si="176"/>
        <v>0</v>
      </c>
      <c r="BY148" s="473">
        <f t="shared" si="176"/>
        <v>0</v>
      </c>
      <c r="BZ148" s="473">
        <f t="shared" si="176"/>
        <v>0</v>
      </c>
      <c r="CA148" s="473">
        <f t="shared" si="176"/>
        <v>0</v>
      </c>
      <c r="CB148" s="473">
        <f t="shared" si="176"/>
        <v>0</v>
      </c>
      <c r="CC148" s="473">
        <f t="shared" si="176"/>
        <v>0</v>
      </c>
      <c r="CD148" s="473">
        <f t="shared" si="176"/>
        <v>0</v>
      </c>
      <c r="CE148" s="473">
        <f t="shared" si="176"/>
        <v>0</v>
      </c>
      <c r="CF148" s="473">
        <f t="shared" si="176"/>
        <v>0</v>
      </c>
      <c r="CG148" s="473">
        <f t="shared" si="176"/>
        <v>0</v>
      </c>
      <c r="CH148" s="473">
        <f t="shared" si="176"/>
        <v>0</v>
      </c>
      <c r="CI148" s="473">
        <f t="shared" si="176"/>
        <v>0</v>
      </c>
      <c r="CJ148" s="473">
        <f t="shared" si="176"/>
        <v>0</v>
      </c>
      <c r="CK148" s="473">
        <f t="shared" si="176"/>
        <v>0</v>
      </c>
      <c r="CL148" s="473">
        <f t="shared" si="176"/>
        <v>0</v>
      </c>
      <c r="CM148" s="473">
        <f t="shared" si="176"/>
        <v>0</v>
      </c>
      <c r="CN148" s="473">
        <f t="shared" si="176"/>
        <v>0</v>
      </c>
      <c r="CO148" s="473">
        <f t="shared" si="176"/>
        <v>0</v>
      </c>
      <c r="CP148" s="473">
        <f t="shared" si="176"/>
        <v>0</v>
      </c>
      <c r="CQ148" s="473">
        <f t="shared" si="176"/>
        <v>0</v>
      </c>
      <c r="CR148" s="473">
        <f t="shared" si="176"/>
        <v>0</v>
      </c>
      <c r="CS148" s="473">
        <f t="shared" si="176"/>
        <v>0</v>
      </c>
      <c r="CT148" s="473">
        <f t="shared" si="176"/>
        <v>0</v>
      </c>
      <c r="CU148" s="473">
        <f t="shared" si="176"/>
        <v>0</v>
      </c>
      <c r="CV148" s="473">
        <f t="shared" si="176"/>
        <v>0</v>
      </c>
      <c r="CW148" s="473">
        <f t="shared" si="176"/>
        <v>0</v>
      </c>
      <c r="CX148" s="473">
        <f t="shared" si="176"/>
        <v>0</v>
      </c>
      <c r="CY148" s="473">
        <f t="shared" si="176"/>
        <v>0</v>
      </c>
      <c r="CZ148" s="473">
        <f t="shared" si="176"/>
        <v>0</v>
      </c>
    </row>
    <row r="149" spans="1:111" ht="13.3" thickBot="1" x14ac:dyDescent="0.4">
      <c r="A149" s="113"/>
      <c r="B149" s="104"/>
      <c r="C149" s="574">
        <f t="shared" si="163"/>
        <v>147296739.22715732</v>
      </c>
      <c r="D149" s="152" t="str">
        <f>"Depreciation Schedule "&amp;IF(E54="SL","(straight line, ","(150% declining balance, ")&amp;IF(E55=20,"20 year recov. per.)","15 year recov. per.)")</f>
        <v>Depreciation Schedule (150% declining balance, 15 year recov. per.)</v>
      </c>
      <c r="E149" s="191">
        <f>IF(E114&lt;=$E$65,IF(UPPER($E$54)="SL",IF($E$55=20,$C$144*E148,$C$144*E147),IF($E$55=20,$C$144*E146,$C$144*E145)),0)</f>
        <v>0</v>
      </c>
      <c r="F149" s="191">
        <f t="shared" ref="F149:BQ149" si="177">IF(F114&lt;=$E$65,IF(UPPER($E$54)="SL",IF($E$55=20,$C$144*F148,$C$144*F147),IF($E$55=20,$C$144*F146,$C$144*F145)),0)</f>
        <v>0</v>
      </c>
      <c r="G149" s="191">
        <f t="shared" si="177"/>
        <v>0</v>
      </c>
      <c r="H149" s="191">
        <f t="shared" si="177"/>
        <v>0</v>
      </c>
      <c r="I149" s="191">
        <f>IF(I114&lt;=$E$65,IF(UPPER($E$54)="SL",IF($E$55=20,$C$144*I148,$C$144*I147),IF($E$55=20,$C$144*I146,$C$144*I145)),0)</f>
        <v>9283798.0100313425</v>
      </c>
      <c r="J149" s="191">
        <f t="shared" si="177"/>
        <v>17639216.219059549</v>
      </c>
      <c r="K149" s="191">
        <f t="shared" si="177"/>
        <v>15875294.597153597</v>
      </c>
      <c r="L149" s="191">
        <f t="shared" si="177"/>
        <v>14297048.935448267</v>
      </c>
      <c r="M149" s="191">
        <f t="shared" si="177"/>
        <v>12867344.04190344</v>
      </c>
      <c r="N149" s="191">
        <f t="shared" si="177"/>
        <v>11567612.320499055</v>
      </c>
      <c r="O149" s="191">
        <f t="shared" si="177"/>
        <v>10954881.651836986</v>
      </c>
      <c r="P149" s="191">
        <f t="shared" si="177"/>
        <v>10954881.651836986</v>
      </c>
      <c r="Q149" s="191">
        <f t="shared" si="177"/>
        <v>10973449.247857047</v>
      </c>
      <c r="R149" s="191">
        <f t="shared" si="177"/>
        <v>10954881.651836986</v>
      </c>
      <c r="S149" s="191">
        <f t="shared" si="177"/>
        <v>10973449.247857047</v>
      </c>
      <c r="T149" s="191">
        <f t="shared" si="177"/>
        <v>10954881.651836986</v>
      </c>
      <c r="U149" s="191">
        <f t="shared" si="177"/>
        <v>0</v>
      </c>
      <c r="V149" s="191">
        <f t="shared" si="177"/>
        <v>0</v>
      </c>
      <c r="W149" s="191">
        <f t="shared" si="177"/>
        <v>0</v>
      </c>
      <c r="X149" s="191">
        <f t="shared" si="177"/>
        <v>0</v>
      </c>
      <c r="Y149" s="191">
        <f t="shared" si="177"/>
        <v>0</v>
      </c>
      <c r="Z149" s="191">
        <f t="shared" si="177"/>
        <v>0</v>
      </c>
      <c r="AA149" s="191">
        <f t="shared" si="177"/>
        <v>0</v>
      </c>
      <c r="AB149" s="191">
        <f t="shared" si="177"/>
        <v>0</v>
      </c>
      <c r="AC149" s="191">
        <f t="shared" si="177"/>
        <v>0</v>
      </c>
      <c r="AD149" s="191">
        <f t="shared" si="177"/>
        <v>0</v>
      </c>
      <c r="AE149" s="191">
        <f t="shared" si="177"/>
        <v>0</v>
      </c>
      <c r="AF149" s="191">
        <f t="shared" si="177"/>
        <v>0</v>
      </c>
      <c r="AG149" s="191">
        <f t="shared" si="177"/>
        <v>0</v>
      </c>
      <c r="AH149" s="191">
        <f t="shared" si="177"/>
        <v>0</v>
      </c>
      <c r="AI149" s="191">
        <f t="shared" si="177"/>
        <v>0</v>
      </c>
      <c r="AJ149" s="191">
        <f t="shared" si="177"/>
        <v>0</v>
      </c>
      <c r="AK149" s="191">
        <f t="shared" si="177"/>
        <v>0</v>
      </c>
      <c r="AL149" s="191">
        <f t="shared" si="177"/>
        <v>0</v>
      </c>
      <c r="AM149" s="191">
        <f t="shared" si="177"/>
        <v>0</v>
      </c>
      <c r="AN149" s="191">
        <f t="shared" si="177"/>
        <v>0</v>
      </c>
      <c r="AO149" s="191">
        <f t="shared" si="177"/>
        <v>0</v>
      </c>
      <c r="AP149" s="191">
        <f t="shared" si="177"/>
        <v>0</v>
      </c>
      <c r="AQ149" s="191">
        <f t="shared" si="177"/>
        <v>0</v>
      </c>
      <c r="AR149" s="191">
        <f t="shared" si="177"/>
        <v>0</v>
      </c>
      <c r="AS149" s="191">
        <f t="shared" si="177"/>
        <v>0</v>
      </c>
      <c r="AT149" s="191">
        <f t="shared" si="177"/>
        <v>0</v>
      </c>
      <c r="AU149" s="191">
        <f t="shared" si="177"/>
        <v>0</v>
      </c>
      <c r="AV149" s="191">
        <f t="shared" si="177"/>
        <v>0</v>
      </c>
      <c r="AW149" s="191">
        <f t="shared" si="177"/>
        <v>0</v>
      </c>
      <c r="AX149" s="191">
        <f t="shared" si="177"/>
        <v>0</v>
      </c>
      <c r="AY149" s="191">
        <f t="shared" si="177"/>
        <v>0</v>
      </c>
      <c r="AZ149" s="191">
        <f t="shared" si="177"/>
        <v>0</v>
      </c>
      <c r="BA149" s="191">
        <f t="shared" si="177"/>
        <v>0</v>
      </c>
      <c r="BB149" s="191">
        <f t="shared" si="177"/>
        <v>0</v>
      </c>
      <c r="BC149" s="191">
        <f t="shared" si="177"/>
        <v>0</v>
      </c>
      <c r="BD149" s="191">
        <f t="shared" si="177"/>
        <v>0</v>
      </c>
      <c r="BE149" s="191">
        <f t="shared" si="177"/>
        <v>0</v>
      </c>
      <c r="BF149" s="191">
        <f t="shared" si="177"/>
        <v>0</v>
      </c>
      <c r="BG149" s="191">
        <f t="shared" si="177"/>
        <v>0</v>
      </c>
      <c r="BH149" s="191">
        <f t="shared" si="177"/>
        <v>0</v>
      </c>
      <c r="BI149" s="191">
        <f t="shared" si="177"/>
        <v>0</v>
      </c>
      <c r="BJ149" s="191">
        <f t="shared" si="177"/>
        <v>0</v>
      </c>
      <c r="BK149" s="191">
        <f t="shared" si="177"/>
        <v>0</v>
      </c>
      <c r="BL149" s="191">
        <f t="shared" si="177"/>
        <v>0</v>
      </c>
      <c r="BM149" s="191">
        <f t="shared" si="177"/>
        <v>0</v>
      </c>
      <c r="BN149" s="191">
        <f t="shared" si="177"/>
        <v>0</v>
      </c>
      <c r="BO149" s="191">
        <f t="shared" si="177"/>
        <v>0</v>
      </c>
      <c r="BP149" s="191">
        <f t="shared" si="177"/>
        <v>0</v>
      </c>
      <c r="BQ149" s="191">
        <f t="shared" si="177"/>
        <v>0</v>
      </c>
      <c r="BR149" s="191">
        <f t="shared" ref="BR149:CZ149" si="178">IF(BR114&lt;=$E$65,IF(UPPER($E$54)="SL",IF($E$55=20,$C$144*BR148,$C$144*BR147),IF($E$55=20,$C$144*BR146,$C$144*BR145)),0)</f>
        <v>0</v>
      </c>
      <c r="BS149" s="191">
        <f t="shared" si="178"/>
        <v>0</v>
      </c>
      <c r="BT149" s="191">
        <f t="shared" si="178"/>
        <v>0</v>
      </c>
      <c r="BU149" s="191">
        <f t="shared" si="178"/>
        <v>0</v>
      </c>
      <c r="BV149" s="191">
        <f t="shared" si="178"/>
        <v>0</v>
      </c>
      <c r="BW149" s="191">
        <f t="shared" si="178"/>
        <v>0</v>
      </c>
      <c r="BX149" s="191">
        <f t="shared" si="178"/>
        <v>0</v>
      </c>
      <c r="BY149" s="191">
        <f t="shared" si="178"/>
        <v>0</v>
      </c>
      <c r="BZ149" s="191">
        <f t="shared" si="178"/>
        <v>0</v>
      </c>
      <c r="CA149" s="191">
        <f t="shared" si="178"/>
        <v>0</v>
      </c>
      <c r="CB149" s="191">
        <f t="shared" si="178"/>
        <v>0</v>
      </c>
      <c r="CC149" s="191">
        <f t="shared" si="178"/>
        <v>0</v>
      </c>
      <c r="CD149" s="191">
        <f t="shared" si="178"/>
        <v>0</v>
      </c>
      <c r="CE149" s="191">
        <f t="shared" si="178"/>
        <v>0</v>
      </c>
      <c r="CF149" s="191">
        <f t="shared" si="178"/>
        <v>0</v>
      </c>
      <c r="CG149" s="191">
        <f t="shared" si="178"/>
        <v>0</v>
      </c>
      <c r="CH149" s="191">
        <f t="shared" si="178"/>
        <v>0</v>
      </c>
      <c r="CI149" s="191">
        <f t="shared" si="178"/>
        <v>0</v>
      </c>
      <c r="CJ149" s="191">
        <f t="shared" si="178"/>
        <v>0</v>
      </c>
      <c r="CK149" s="191">
        <f t="shared" si="178"/>
        <v>0</v>
      </c>
      <c r="CL149" s="191">
        <f t="shared" si="178"/>
        <v>0</v>
      </c>
      <c r="CM149" s="191">
        <f t="shared" si="178"/>
        <v>0</v>
      </c>
      <c r="CN149" s="191">
        <f t="shared" si="178"/>
        <v>0</v>
      </c>
      <c r="CO149" s="191">
        <f t="shared" si="178"/>
        <v>0</v>
      </c>
      <c r="CP149" s="191">
        <f t="shared" si="178"/>
        <v>0</v>
      </c>
      <c r="CQ149" s="191">
        <f t="shared" si="178"/>
        <v>0</v>
      </c>
      <c r="CR149" s="191">
        <f t="shared" si="178"/>
        <v>0</v>
      </c>
      <c r="CS149" s="191">
        <f t="shared" si="178"/>
        <v>0</v>
      </c>
      <c r="CT149" s="191">
        <f t="shared" si="178"/>
        <v>0</v>
      </c>
      <c r="CU149" s="191">
        <f t="shared" si="178"/>
        <v>0</v>
      </c>
      <c r="CV149" s="191">
        <f t="shared" si="178"/>
        <v>0</v>
      </c>
      <c r="CW149" s="191">
        <f t="shared" si="178"/>
        <v>0</v>
      </c>
      <c r="CX149" s="191">
        <f t="shared" si="178"/>
        <v>0</v>
      </c>
      <c r="CY149" s="191">
        <f t="shared" si="178"/>
        <v>0</v>
      </c>
      <c r="CZ149" s="191">
        <f t="shared" si="178"/>
        <v>0</v>
      </c>
    </row>
    <row r="150" spans="1:111" s="105" customFormat="1" ht="13.3" thickBot="1" x14ac:dyDescent="0.4">
      <c r="B150" s="109"/>
      <c r="C150" s="125"/>
      <c r="D150" s="98"/>
      <c r="E150" s="116"/>
      <c r="F150" s="116"/>
      <c r="G150" s="116"/>
      <c r="H150" s="203"/>
      <c r="I150" s="203"/>
      <c r="J150" s="203"/>
      <c r="K150" s="203"/>
      <c r="L150" s="203"/>
      <c r="M150" s="203"/>
      <c r="N150" s="203"/>
      <c r="O150" s="203"/>
      <c r="P150" s="203"/>
      <c r="Q150" s="203"/>
      <c r="R150" s="203"/>
      <c r="S150" s="203"/>
      <c r="T150" s="203"/>
      <c r="U150" s="203"/>
      <c r="V150" s="203"/>
      <c r="W150" s="203"/>
      <c r="X150" s="203"/>
      <c r="Y150" s="203"/>
      <c r="Z150" s="116"/>
      <c r="AA150" s="116"/>
      <c r="AB150" s="116"/>
      <c r="AC150" s="116"/>
      <c r="AD150" s="116"/>
      <c r="AE150" s="116"/>
      <c r="AF150" s="116"/>
      <c r="AG150" s="116"/>
      <c r="AH150" s="116"/>
      <c r="AI150" s="116"/>
      <c r="AJ150" s="116"/>
      <c r="AK150" s="116"/>
      <c r="AL150" s="116"/>
      <c r="AM150" s="116"/>
      <c r="AN150" s="116"/>
      <c r="AO150" s="116"/>
      <c r="AP150" s="116"/>
      <c r="AQ150" s="116"/>
      <c r="AR150" s="116"/>
      <c r="AS150" s="116"/>
      <c r="AT150" s="116"/>
      <c r="AU150" s="116"/>
      <c r="AV150" s="116"/>
      <c r="AW150" s="116"/>
      <c r="AX150" s="116"/>
      <c r="AY150" s="116"/>
      <c r="AZ150" s="116"/>
      <c r="BA150" s="116"/>
      <c r="BB150" s="116"/>
      <c r="BC150" s="116"/>
      <c r="BD150" s="116"/>
      <c r="BE150" s="116"/>
      <c r="BF150" s="116"/>
      <c r="BG150" s="116"/>
      <c r="BH150" s="116"/>
      <c r="BI150" s="116"/>
      <c r="BJ150" s="116"/>
      <c r="BK150" s="116"/>
      <c r="BL150" s="116"/>
      <c r="BM150" s="116"/>
      <c r="BN150" s="116"/>
      <c r="BO150" s="116"/>
      <c r="BP150" s="116"/>
      <c r="BQ150" s="116"/>
      <c r="BR150" s="116"/>
      <c r="BS150" s="116"/>
      <c r="BT150" s="116"/>
      <c r="BU150" s="116"/>
      <c r="BV150" s="116"/>
      <c r="BW150" s="116"/>
      <c r="BX150" s="116"/>
      <c r="BY150" s="116"/>
      <c r="BZ150" s="116"/>
      <c r="CA150" s="116"/>
      <c r="CB150" s="116"/>
      <c r="CC150" s="116"/>
      <c r="CD150" s="116"/>
      <c r="CE150" s="116"/>
      <c r="CF150" s="116"/>
      <c r="CG150" s="116"/>
      <c r="CH150" s="116"/>
      <c r="CI150" s="116"/>
      <c r="CJ150" s="116"/>
      <c r="CK150" s="116"/>
      <c r="CL150" s="116"/>
      <c r="CM150" s="116"/>
      <c r="CN150" s="116"/>
      <c r="CO150" s="116"/>
      <c r="CP150" s="116"/>
      <c r="CQ150" s="116"/>
      <c r="CR150" s="116"/>
      <c r="CS150" s="116"/>
      <c r="CT150" s="116"/>
      <c r="CU150" s="116"/>
      <c r="CV150" s="116"/>
      <c r="CW150" s="116"/>
      <c r="CX150" s="116"/>
      <c r="CY150" s="116"/>
      <c r="CZ150" s="116"/>
    </row>
    <row r="151" spans="1:111" x14ac:dyDescent="0.35">
      <c r="A151" s="113"/>
      <c r="B151" s="231" t="s">
        <v>493</v>
      </c>
      <c r="C151" s="136" t="s">
        <v>166</v>
      </c>
      <c r="D151" s="136"/>
      <c r="E151" s="119"/>
      <c r="F151" s="119"/>
      <c r="G151" s="119"/>
      <c r="H151" s="204"/>
      <c r="I151" s="204"/>
      <c r="J151" s="204"/>
      <c r="K151" s="204"/>
      <c r="L151" s="204"/>
      <c r="M151" s="204"/>
      <c r="N151" s="204"/>
      <c r="O151" s="204"/>
      <c r="P151" s="204"/>
      <c r="Q151" s="204"/>
      <c r="R151" s="204"/>
      <c r="S151" s="204"/>
      <c r="T151" s="204"/>
      <c r="U151" s="204"/>
      <c r="V151" s="204"/>
      <c r="W151" s="204"/>
      <c r="X151" s="204"/>
      <c r="Y151" s="204"/>
      <c r="Z151" s="119"/>
      <c r="AA151" s="119"/>
      <c r="AB151" s="119"/>
      <c r="AC151" s="119"/>
      <c r="AD151" s="119"/>
      <c r="AE151" s="119"/>
      <c r="AF151" s="119"/>
      <c r="AG151" s="119"/>
      <c r="AH151" s="119"/>
      <c r="AI151" s="119"/>
      <c r="AJ151" s="119"/>
      <c r="AK151" s="119"/>
      <c r="AL151" s="119"/>
      <c r="AM151" s="119"/>
      <c r="AN151" s="119"/>
      <c r="AO151" s="119"/>
      <c r="AP151" s="119"/>
      <c r="AQ151" s="119"/>
      <c r="AR151" s="119"/>
      <c r="AS151" s="119"/>
      <c r="AT151" s="119"/>
      <c r="AU151" s="119"/>
      <c r="AV151" s="119"/>
      <c r="AW151" s="119"/>
      <c r="AX151" s="119"/>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08"/>
      <c r="DB151" s="108"/>
      <c r="DC151" s="108"/>
      <c r="DD151" s="108"/>
      <c r="DE151" s="108"/>
      <c r="DF151" s="108"/>
      <c r="DG151" s="108"/>
    </row>
    <row r="152" spans="1:111" x14ac:dyDescent="0.35">
      <c r="A152" s="113"/>
      <c r="B152" s="117"/>
      <c r="C152" s="126"/>
      <c r="D152" s="120"/>
      <c r="E152" s="120"/>
      <c r="F152" s="120"/>
      <c r="G152" s="120"/>
      <c r="H152" s="205"/>
      <c r="I152" s="205"/>
      <c r="J152" s="205"/>
      <c r="K152" s="205"/>
      <c r="L152" s="205"/>
      <c r="M152" s="205"/>
      <c r="N152" s="205"/>
      <c r="O152" s="205"/>
      <c r="P152" s="205"/>
      <c r="Q152" s="205"/>
      <c r="R152" s="205"/>
      <c r="S152" s="205"/>
      <c r="T152" s="205"/>
      <c r="U152" s="205"/>
      <c r="V152" s="205"/>
      <c r="W152" s="205"/>
      <c r="X152" s="205"/>
      <c r="Y152" s="205"/>
      <c r="Z152" s="120"/>
      <c r="AA152" s="120"/>
      <c r="AB152" s="120"/>
      <c r="AC152" s="120"/>
      <c r="AD152" s="120"/>
      <c r="AE152" s="120"/>
      <c r="AF152" s="120"/>
      <c r="AG152" s="120"/>
      <c r="AH152" s="120"/>
      <c r="AI152" s="120"/>
      <c r="AJ152" s="120"/>
      <c r="AK152" s="120"/>
      <c r="AL152" s="120"/>
      <c r="AM152" s="120"/>
      <c r="AN152" s="120"/>
      <c r="AO152" s="120"/>
      <c r="AP152" s="120"/>
      <c r="AQ152" s="120"/>
      <c r="AR152" s="120"/>
      <c r="AS152" s="120"/>
      <c r="AT152" s="120"/>
      <c r="AU152" s="120"/>
      <c r="AV152" s="120"/>
      <c r="AW152" s="120"/>
      <c r="AX152" s="120"/>
      <c r="AY152" s="120"/>
      <c r="AZ152" s="120"/>
      <c r="BA152" s="120"/>
      <c r="BB152" s="120"/>
      <c r="BC152" s="120"/>
      <c r="BD152" s="120"/>
      <c r="BE152" s="120"/>
      <c r="BF152" s="120"/>
      <c r="BG152" s="120"/>
      <c r="BH152" s="120"/>
      <c r="BI152" s="120"/>
      <c r="BJ152" s="120"/>
      <c r="BK152" s="120"/>
      <c r="BL152" s="120"/>
      <c r="BM152" s="120"/>
      <c r="BN152" s="120"/>
      <c r="BO152" s="120"/>
      <c r="BP152" s="120"/>
      <c r="BQ152" s="120"/>
      <c r="BR152" s="120"/>
      <c r="BS152" s="120"/>
      <c r="BT152" s="120"/>
      <c r="BU152" s="120"/>
      <c r="BV152" s="120"/>
      <c r="BW152" s="120"/>
      <c r="BX152" s="120"/>
      <c r="BY152" s="120"/>
      <c r="BZ152" s="120"/>
      <c r="CA152" s="120"/>
      <c r="CB152" s="120"/>
      <c r="CC152" s="120"/>
      <c r="CD152" s="120"/>
      <c r="CE152" s="120"/>
      <c r="CF152" s="120"/>
      <c r="CG152" s="120"/>
      <c r="CH152" s="120"/>
      <c r="CI152" s="120"/>
      <c r="CJ152" s="120"/>
      <c r="CK152" s="120"/>
      <c r="CL152" s="120"/>
      <c r="CM152" s="120"/>
      <c r="CN152" s="120"/>
      <c r="CO152" s="120"/>
      <c r="CP152" s="120"/>
      <c r="CQ152" s="120"/>
      <c r="CR152" s="120"/>
      <c r="CS152" s="120"/>
      <c r="CT152" s="120"/>
      <c r="CU152" s="120"/>
      <c r="CV152" s="120"/>
      <c r="CW152" s="120"/>
      <c r="CX152" s="120"/>
      <c r="CY152" s="120"/>
      <c r="CZ152" s="120"/>
    </row>
    <row r="153" spans="1:111" x14ac:dyDescent="0.35">
      <c r="B153" s="98"/>
      <c r="C153" s="723" t="s">
        <v>157</v>
      </c>
      <c r="D153" s="571" t="s">
        <v>158</v>
      </c>
      <c r="E153" s="569">
        <f>$E$60</f>
        <v>2056</v>
      </c>
      <c r="F153" s="569">
        <f>E153+1</f>
        <v>2057</v>
      </c>
      <c r="G153" s="569">
        <f t="shared" ref="G153:G154" si="179">F153+1</f>
        <v>2058</v>
      </c>
      <c r="H153" s="569">
        <f t="shared" ref="H153:H154" si="180">G153+1</f>
        <v>2059</v>
      </c>
      <c r="I153" s="569">
        <f t="shared" ref="I153:I154" si="181">H153+1</f>
        <v>2060</v>
      </c>
      <c r="J153" s="569">
        <f t="shared" ref="J153:J154" si="182">I153+1</f>
        <v>2061</v>
      </c>
      <c r="K153" s="569">
        <f t="shared" ref="K153:K154" si="183">J153+1</f>
        <v>2062</v>
      </c>
      <c r="L153" s="569">
        <f t="shared" ref="L153:L154" si="184">K153+1</f>
        <v>2063</v>
      </c>
      <c r="M153" s="569">
        <f t="shared" ref="M153:M154" si="185">L153+1</f>
        <v>2064</v>
      </c>
      <c r="N153" s="569">
        <f t="shared" ref="N153:N154" si="186">M153+1</f>
        <v>2065</v>
      </c>
      <c r="O153" s="569">
        <f t="shared" ref="O153:O154" si="187">N153+1</f>
        <v>2066</v>
      </c>
      <c r="P153" s="139">
        <f t="shared" ref="P153:P154" si="188">O153+1</f>
        <v>2067</v>
      </c>
      <c r="Q153" s="139">
        <f t="shared" ref="Q153:Q154" si="189">P153+1</f>
        <v>2068</v>
      </c>
      <c r="R153" s="139">
        <f t="shared" ref="R153:R154" si="190">Q153+1</f>
        <v>2069</v>
      </c>
      <c r="S153" s="139">
        <f t="shared" ref="S153:S154" si="191">R153+1</f>
        <v>2070</v>
      </c>
      <c r="T153" s="139">
        <f t="shared" ref="T153:T154" si="192">S153+1</f>
        <v>2071</v>
      </c>
      <c r="U153" s="139">
        <f t="shared" ref="U153:U154" si="193">T153+1</f>
        <v>2072</v>
      </c>
      <c r="V153" s="139">
        <f t="shared" ref="V153:V154" si="194">U153+1</f>
        <v>2073</v>
      </c>
      <c r="W153" s="139">
        <f t="shared" ref="W153:W154" si="195">V153+1</f>
        <v>2074</v>
      </c>
      <c r="X153" s="139">
        <f t="shared" ref="X153:X154" si="196">W153+1</f>
        <v>2075</v>
      </c>
      <c r="Y153" s="139">
        <f t="shared" ref="Y153:Y154" si="197">X153+1</f>
        <v>2076</v>
      </c>
      <c r="Z153" s="139">
        <f t="shared" ref="Z153:Z154" si="198">Y153+1</f>
        <v>2077</v>
      </c>
      <c r="AA153" s="139">
        <f t="shared" ref="AA153:AA154" si="199">Z153+1</f>
        <v>2078</v>
      </c>
      <c r="AB153" s="139">
        <f t="shared" ref="AB153:AB154" si="200">AA153+1</f>
        <v>2079</v>
      </c>
      <c r="AC153" s="139">
        <f t="shared" ref="AC153:AC154" si="201">AB153+1</f>
        <v>2080</v>
      </c>
      <c r="AD153" s="139">
        <f t="shared" ref="AD153:AD154" si="202">AC153+1</f>
        <v>2081</v>
      </c>
      <c r="AE153" s="139">
        <f t="shared" ref="AE153:AE154" si="203">AD153+1</f>
        <v>2082</v>
      </c>
      <c r="AF153" s="139">
        <f t="shared" ref="AF153:AF154" si="204">AE153+1</f>
        <v>2083</v>
      </c>
      <c r="AG153" s="139">
        <f t="shared" ref="AG153:AG154" si="205">AF153+1</f>
        <v>2084</v>
      </c>
      <c r="AH153" s="139">
        <f t="shared" ref="AH153:AH154" si="206">AG153+1</f>
        <v>2085</v>
      </c>
      <c r="AI153" s="139">
        <f t="shared" ref="AI153:AI154" si="207">AH153+1</f>
        <v>2086</v>
      </c>
      <c r="AJ153" s="139">
        <f t="shared" ref="AJ153:AJ154" si="208">AI153+1</f>
        <v>2087</v>
      </c>
      <c r="AK153" s="139">
        <f t="shared" ref="AK153:AK154" si="209">AJ153+1</f>
        <v>2088</v>
      </c>
      <c r="AL153" s="139">
        <f t="shared" ref="AL153:AL154" si="210">AK153+1</f>
        <v>2089</v>
      </c>
      <c r="AM153" s="139">
        <f t="shared" ref="AM153:AM154" si="211">AL153+1</f>
        <v>2090</v>
      </c>
      <c r="AN153" s="139">
        <f t="shared" ref="AN153:AN154" si="212">AM153+1</f>
        <v>2091</v>
      </c>
      <c r="AO153" s="139">
        <f t="shared" ref="AO153:AO154" si="213">AN153+1</f>
        <v>2092</v>
      </c>
      <c r="AP153" s="139">
        <f t="shared" ref="AP153:AP154" si="214">AO153+1</f>
        <v>2093</v>
      </c>
      <c r="AQ153" s="139">
        <f t="shared" ref="AQ153:AQ154" si="215">AP153+1</f>
        <v>2094</v>
      </c>
      <c r="AR153" s="139">
        <f t="shared" ref="AR153:AR154" si="216">AQ153+1</f>
        <v>2095</v>
      </c>
      <c r="AS153" s="139">
        <f t="shared" ref="AS153:AS154" si="217">AR153+1</f>
        <v>2096</v>
      </c>
      <c r="AT153" s="139">
        <f t="shared" ref="AT153:AT154" si="218">AS153+1</f>
        <v>2097</v>
      </c>
      <c r="AU153" s="139">
        <f t="shared" ref="AU153:AU154" si="219">AT153+1</f>
        <v>2098</v>
      </c>
      <c r="AV153" s="139">
        <f t="shared" ref="AV153:AV154" si="220">AU153+1</f>
        <v>2099</v>
      </c>
      <c r="AW153" s="139">
        <f t="shared" ref="AW153:AW154" si="221">AV153+1</f>
        <v>2100</v>
      </c>
      <c r="AX153" s="139">
        <f t="shared" ref="AX153:AX154" si="222">AW153+1</f>
        <v>2101</v>
      </c>
      <c r="AY153" s="139">
        <f t="shared" ref="AY153:AY154" si="223">AX153+1</f>
        <v>2102</v>
      </c>
      <c r="AZ153" s="139">
        <f t="shared" ref="AZ153:AZ154" si="224">AY153+1</f>
        <v>2103</v>
      </c>
      <c r="BA153" s="139">
        <f t="shared" ref="BA153:BA154" si="225">AZ153+1</f>
        <v>2104</v>
      </c>
      <c r="BB153" s="139">
        <f t="shared" ref="BB153:BB154" si="226">BA153+1</f>
        <v>2105</v>
      </c>
      <c r="BC153" s="139">
        <f t="shared" ref="BC153:BC154" si="227">BB153+1</f>
        <v>2106</v>
      </c>
      <c r="BD153" s="139">
        <f t="shared" ref="BD153:BD154" si="228">BC153+1</f>
        <v>2107</v>
      </c>
      <c r="BE153" s="139">
        <f t="shared" ref="BE153:BE154" si="229">BD153+1</f>
        <v>2108</v>
      </c>
      <c r="BF153" s="139">
        <f t="shared" ref="BF153:BF154" si="230">BE153+1</f>
        <v>2109</v>
      </c>
      <c r="BG153" s="139">
        <f t="shared" ref="BG153:BG154" si="231">BF153+1</f>
        <v>2110</v>
      </c>
      <c r="BH153" s="139">
        <f t="shared" ref="BH153:BH154" si="232">BG153+1</f>
        <v>2111</v>
      </c>
      <c r="BI153" s="139">
        <f t="shared" ref="BI153:BI154" si="233">BH153+1</f>
        <v>2112</v>
      </c>
      <c r="BJ153" s="139">
        <f t="shared" ref="BJ153:BJ154" si="234">BI153+1</f>
        <v>2113</v>
      </c>
      <c r="BK153" s="139">
        <f t="shared" ref="BK153:BK154" si="235">BJ153+1</f>
        <v>2114</v>
      </c>
      <c r="BL153" s="139">
        <f t="shared" ref="BL153:BL154" si="236">BK153+1</f>
        <v>2115</v>
      </c>
      <c r="BM153" s="139">
        <f t="shared" ref="BM153:BM154" si="237">BL153+1</f>
        <v>2116</v>
      </c>
      <c r="BN153" s="139">
        <f t="shared" ref="BN153:BN154" si="238">BM153+1</f>
        <v>2117</v>
      </c>
      <c r="BO153" s="139">
        <f t="shared" ref="BO153:BO154" si="239">BN153+1</f>
        <v>2118</v>
      </c>
      <c r="BP153" s="139">
        <f t="shared" ref="BP153:BP154" si="240">BO153+1</f>
        <v>2119</v>
      </c>
      <c r="BQ153" s="139">
        <f t="shared" ref="BQ153:BQ154" si="241">BP153+1</f>
        <v>2120</v>
      </c>
      <c r="BR153" s="139">
        <f t="shared" ref="BR153:BR154" si="242">BQ153+1</f>
        <v>2121</v>
      </c>
      <c r="BS153" s="139">
        <f t="shared" ref="BS153:BS154" si="243">BR153+1</f>
        <v>2122</v>
      </c>
      <c r="BT153" s="139">
        <f t="shared" ref="BT153:BT154" si="244">BS153+1</f>
        <v>2123</v>
      </c>
      <c r="BU153" s="139">
        <f t="shared" ref="BU153:BU154" si="245">BT153+1</f>
        <v>2124</v>
      </c>
      <c r="BV153" s="139">
        <f t="shared" ref="BV153:BV154" si="246">BU153+1</f>
        <v>2125</v>
      </c>
      <c r="BW153" s="139">
        <f t="shared" ref="BW153:BW154" si="247">BV153+1</f>
        <v>2126</v>
      </c>
      <c r="BX153" s="139">
        <f t="shared" ref="BX153:BX154" si="248">BW153+1</f>
        <v>2127</v>
      </c>
      <c r="BY153" s="139">
        <f t="shared" ref="BY153:BY154" si="249">BX153+1</f>
        <v>2128</v>
      </c>
      <c r="BZ153" s="139">
        <f t="shared" ref="BZ153:BZ154" si="250">BY153+1</f>
        <v>2129</v>
      </c>
      <c r="CA153" s="139">
        <f t="shared" ref="CA153:CA154" si="251">BZ153+1</f>
        <v>2130</v>
      </c>
      <c r="CB153" s="139">
        <f t="shared" ref="CB153:CB154" si="252">CA153+1</f>
        <v>2131</v>
      </c>
      <c r="CC153" s="139">
        <f t="shared" ref="CC153:CC154" si="253">CB153+1</f>
        <v>2132</v>
      </c>
      <c r="CD153" s="139">
        <f t="shared" ref="CD153:CD154" si="254">CC153+1</f>
        <v>2133</v>
      </c>
      <c r="CE153" s="139">
        <f t="shared" ref="CE153:CE154" si="255">CD153+1</f>
        <v>2134</v>
      </c>
      <c r="CF153" s="139">
        <f t="shared" ref="CF153:CF154" si="256">CE153+1</f>
        <v>2135</v>
      </c>
      <c r="CG153" s="139">
        <f t="shared" ref="CG153:CG154" si="257">CF153+1</f>
        <v>2136</v>
      </c>
      <c r="CH153" s="139">
        <f t="shared" ref="CH153:CH154" si="258">CG153+1</f>
        <v>2137</v>
      </c>
      <c r="CI153" s="139">
        <f t="shared" ref="CI153:CI154" si="259">CH153+1</f>
        <v>2138</v>
      </c>
      <c r="CJ153" s="139">
        <f t="shared" ref="CJ153:CJ154" si="260">CI153+1</f>
        <v>2139</v>
      </c>
      <c r="CK153" s="139">
        <f t="shared" ref="CK153:CK154" si="261">CJ153+1</f>
        <v>2140</v>
      </c>
      <c r="CL153" s="139">
        <f t="shared" ref="CL153:CL154" si="262">CK153+1</f>
        <v>2141</v>
      </c>
      <c r="CM153" s="139">
        <f t="shared" ref="CM153:CM154" si="263">CL153+1</f>
        <v>2142</v>
      </c>
      <c r="CN153" s="139">
        <f t="shared" ref="CN153:CN154" si="264">CM153+1</f>
        <v>2143</v>
      </c>
      <c r="CO153" s="139">
        <f t="shared" ref="CO153:CO154" si="265">CN153+1</f>
        <v>2144</v>
      </c>
      <c r="CP153" s="139">
        <f t="shared" ref="CP153:CP154" si="266">CO153+1</f>
        <v>2145</v>
      </c>
      <c r="CQ153" s="139">
        <f t="shared" ref="CQ153:CQ154" si="267">CP153+1</f>
        <v>2146</v>
      </c>
      <c r="CR153" s="139">
        <f t="shared" ref="CR153:CR154" si="268">CQ153+1</f>
        <v>2147</v>
      </c>
      <c r="CS153" s="139">
        <f t="shared" ref="CS153:CS154" si="269">CR153+1</f>
        <v>2148</v>
      </c>
      <c r="CT153" s="139">
        <f t="shared" ref="CT153:CT154" si="270">CS153+1</f>
        <v>2149</v>
      </c>
      <c r="CU153" s="139">
        <f t="shared" ref="CU153:CU154" si="271">CT153+1</f>
        <v>2150</v>
      </c>
      <c r="CV153" s="139">
        <f t="shared" ref="CV153:CV154" si="272">CU153+1</f>
        <v>2151</v>
      </c>
      <c r="CW153" s="139">
        <f t="shared" ref="CW153:CW154" si="273">CV153+1</f>
        <v>2152</v>
      </c>
      <c r="CX153" s="139">
        <f t="shared" ref="CX153:CX154" si="274">CW153+1</f>
        <v>2153</v>
      </c>
      <c r="CY153" s="139">
        <f t="shared" ref="CY153:CY154" si="275">CX153+1</f>
        <v>2154</v>
      </c>
      <c r="CZ153" s="139">
        <f t="shared" ref="CZ153:CZ154" si="276">CY153+1</f>
        <v>2155</v>
      </c>
    </row>
    <row r="154" spans="1:111" x14ac:dyDescent="0.35">
      <c r="A154" s="113"/>
      <c r="B154" s="98"/>
      <c r="C154" s="723"/>
      <c r="D154" s="572" t="s">
        <v>159</v>
      </c>
      <c r="E154" s="570">
        <v>1</v>
      </c>
      <c r="F154" s="570">
        <f>E154+1</f>
        <v>2</v>
      </c>
      <c r="G154" s="570">
        <f t="shared" si="179"/>
        <v>3</v>
      </c>
      <c r="H154" s="570">
        <f t="shared" si="180"/>
        <v>4</v>
      </c>
      <c r="I154" s="570">
        <f t="shared" si="181"/>
        <v>5</v>
      </c>
      <c r="J154" s="570">
        <f t="shared" si="182"/>
        <v>6</v>
      </c>
      <c r="K154" s="570">
        <f t="shared" si="183"/>
        <v>7</v>
      </c>
      <c r="L154" s="570">
        <f t="shared" si="184"/>
        <v>8</v>
      </c>
      <c r="M154" s="570">
        <f t="shared" si="185"/>
        <v>9</v>
      </c>
      <c r="N154" s="570">
        <f t="shared" si="186"/>
        <v>10</v>
      </c>
      <c r="O154" s="570">
        <f t="shared" si="187"/>
        <v>11</v>
      </c>
      <c r="P154" s="138">
        <f t="shared" si="188"/>
        <v>12</v>
      </c>
      <c r="Q154" s="138">
        <f t="shared" si="189"/>
        <v>13</v>
      </c>
      <c r="R154" s="138">
        <f t="shared" si="190"/>
        <v>14</v>
      </c>
      <c r="S154" s="138">
        <f t="shared" si="191"/>
        <v>15</v>
      </c>
      <c r="T154" s="138">
        <f t="shared" si="192"/>
        <v>16</v>
      </c>
      <c r="U154" s="138">
        <f t="shared" si="193"/>
        <v>17</v>
      </c>
      <c r="V154" s="138">
        <f t="shared" si="194"/>
        <v>18</v>
      </c>
      <c r="W154" s="138">
        <f t="shared" si="195"/>
        <v>19</v>
      </c>
      <c r="X154" s="138">
        <f t="shared" si="196"/>
        <v>20</v>
      </c>
      <c r="Y154" s="138">
        <f t="shared" si="197"/>
        <v>21</v>
      </c>
      <c r="Z154" s="138">
        <f t="shared" si="198"/>
        <v>22</v>
      </c>
      <c r="AA154" s="138">
        <f t="shared" si="199"/>
        <v>23</v>
      </c>
      <c r="AB154" s="138">
        <f t="shared" si="200"/>
        <v>24</v>
      </c>
      <c r="AC154" s="138">
        <f t="shared" si="201"/>
        <v>25</v>
      </c>
      <c r="AD154" s="138">
        <f t="shared" si="202"/>
        <v>26</v>
      </c>
      <c r="AE154" s="138">
        <f t="shared" si="203"/>
        <v>27</v>
      </c>
      <c r="AF154" s="138">
        <f t="shared" si="204"/>
        <v>28</v>
      </c>
      <c r="AG154" s="138">
        <f t="shared" si="205"/>
        <v>29</v>
      </c>
      <c r="AH154" s="138">
        <f t="shared" si="206"/>
        <v>30</v>
      </c>
      <c r="AI154" s="138">
        <f t="shared" si="207"/>
        <v>31</v>
      </c>
      <c r="AJ154" s="138">
        <f t="shared" si="208"/>
        <v>32</v>
      </c>
      <c r="AK154" s="138">
        <f t="shared" si="209"/>
        <v>33</v>
      </c>
      <c r="AL154" s="138">
        <f t="shared" si="210"/>
        <v>34</v>
      </c>
      <c r="AM154" s="138">
        <f t="shared" si="211"/>
        <v>35</v>
      </c>
      <c r="AN154" s="138">
        <f t="shared" si="212"/>
        <v>36</v>
      </c>
      <c r="AO154" s="138">
        <f t="shared" si="213"/>
        <v>37</v>
      </c>
      <c r="AP154" s="138">
        <f t="shared" si="214"/>
        <v>38</v>
      </c>
      <c r="AQ154" s="138">
        <f t="shared" si="215"/>
        <v>39</v>
      </c>
      <c r="AR154" s="138">
        <f t="shared" si="216"/>
        <v>40</v>
      </c>
      <c r="AS154" s="138">
        <f t="shared" si="217"/>
        <v>41</v>
      </c>
      <c r="AT154" s="138">
        <f t="shared" si="218"/>
        <v>42</v>
      </c>
      <c r="AU154" s="138">
        <f t="shared" si="219"/>
        <v>43</v>
      </c>
      <c r="AV154" s="138">
        <f t="shared" si="220"/>
        <v>44</v>
      </c>
      <c r="AW154" s="138">
        <f t="shared" si="221"/>
        <v>45</v>
      </c>
      <c r="AX154" s="138">
        <f t="shared" si="222"/>
        <v>46</v>
      </c>
      <c r="AY154" s="138">
        <f t="shared" si="223"/>
        <v>47</v>
      </c>
      <c r="AZ154" s="138">
        <f t="shared" si="224"/>
        <v>48</v>
      </c>
      <c r="BA154" s="138">
        <f t="shared" si="225"/>
        <v>49</v>
      </c>
      <c r="BB154" s="138">
        <f t="shared" si="226"/>
        <v>50</v>
      </c>
      <c r="BC154" s="138">
        <f t="shared" si="227"/>
        <v>51</v>
      </c>
      <c r="BD154" s="138">
        <f t="shared" si="228"/>
        <v>52</v>
      </c>
      <c r="BE154" s="138">
        <f t="shared" si="229"/>
        <v>53</v>
      </c>
      <c r="BF154" s="138">
        <f t="shared" si="230"/>
        <v>54</v>
      </c>
      <c r="BG154" s="138">
        <f t="shared" si="231"/>
        <v>55</v>
      </c>
      <c r="BH154" s="138">
        <f t="shared" si="232"/>
        <v>56</v>
      </c>
      <c r="BI154" s="138">
        <f t="shared" si="233"/>
        <v>57</v>
      </c>
      <c r="BJ154" s="138">
        <f t="shared" si="234"/>
        <v>58</v>
      </c>
      <c r="BK154" s="138">
        <f t="shared" si="235"/>
        <v>59</v>
      </c>
      <c r="BL154" s="138">
        <f t="shared" si="236"/>
        <v>60</v>
      </c>
      <c r="BM154" s="138">
        <f t="shared" si="237"/>
        <v>61</v>
      </c>
      <c r="BN154" s="138">
        <f t="shared" si="238"/>
        <v>62</v>
      </c>
      <c r="BO154" s="138">
        <f t="shared" si="239"/>
        <v>63</v>
      </c>
      <c r="BP154" s="138">
        <f t="shared" si="240"/>
        <v>64</v>
      </c>
      <c r="BQ154" s="138">
        <f t="shared" si="241"/>
        <v>65</v>
      </c>
      <c r="BR154" s="138">
        <f t="shared" si="242"/>
        <v>66</v>
      </c>
      <c r="BS154" s="138">
        <f t="shared" si="243"/>
        <v>67</v>
      </c>
      <c r="BT154" s="138">
        <f t="shared" si="244"/>
        <v>68</v>
      </c>
      <c r="BU154" s="138">
        <f t="shared" si="245"/>
        <v>69</v>
      </c>
      <c r="BV154" s="138">
        <f t="shared" si="246"/>
        <v>70</v>
      </c>
      <c r="BW154" s="138">
        <f t="shared" si="247"/>
        <v>71</v>
      </c>
      <c r="BX154" s="138">
        <f t="shared" si="248"/>
        <v>72</v>
      </c>
      <c r="BY154" s="138">
        <f t="shared" si="249"/>
        <v>73</v>
      </c>
      <c r="BZ154" s="138">
        <f t="shared" si="250"/>
        <v>74</v>
      </c>
      <c r="CA154" s="138">
        <f t="shared" si="251"/>
        <v>75</v>
      </c>
      <c r="CB154" s="138">
        <f t="shared" si="252"/>
        <v>76</v>
      </c>
      <c r="CC154" s="138">
        <f t="shared" si="253"/>
        <v>77</v>
      </c>
      <c r="CD154" s="138">
        <f t="shared" si="254"/>
        <v>78</v>
      </c>
      <c r="CE154" s="138">
        <f t="shared" si="255"/>
        <v>79</v>
      </c>
      <c r="CF154" s="138">
        <f t="shared" si="256"/>
        <v>80</v>
      </c>
      <c r="CG154" s="138">
        <f t="shared" si="257"/>
        <v>81</v>
      </c>
      <c r="CH154" s="138">
        <f t="shared" si="258"/>
        <v>82</v>
      </c>
      <c r="CI154" s="138">
        <f t="shared" si="259"/>
        <v>83</v>
      </c>
      <c r="CJ154" s="138">
        <f t="shared" si="260"/>
        <v>84</v>
      </c>
      <c r="CK154" s="138">
        <f t="shared" si="261"/>
        <v>85</v>
      </c>
      <c r="CL154" s="138">
        <f t="shared" si="262"/>
        <v>86</v>
      </c>
      <c r="CM154" s="138">
        <f t="shared" si="263"/>
        <v>87</v>
      </c>
      <c r="CN154" s="138">
        <f t="shared" si="264"/>
        <v>88</v>
      </c>
      <c r="CO154" s="138">
        <f t="shared" si="265"/>
        <v>89</v>
      </c>
      <c r="CP154" s="138">
        <f t="shared" si="266"/>
        <v>90</v>
      </c>
      <c r="CQ154" s="138">
        <f t="shared" si="267"/>
        <v>91</v>
      </c>
      <c r="CR154" s="138">
        <f t="shared" si="268"/>
        <v>92</v>
      </c>
      <c r="CS154" s="138">
        <f t="shared" si="269"/>
        <v>93</v>
      </c>
      <c r="CT154" s="138">
        <f t="shared" si="270"/>
        <v>94</v>
      </c>
      <c r="CU154" s="138">
        <f t="shared" si="271"/>
        <v>95</v>
      </c>
      <c r="CV154" s="138">
        <f t="shared" si="272"/>
        <v>96</v>
      </c>
      <c r="CW154" s="138">
        <f t="shared" si="273"/>
        <v>97</v>
      </c>
      <c r="CX154" s="138">
        <f t="shared" si="274"/>
        <v>98</v>
      </c>
      <c r="CY154" s="138">
        <f t="shared" si="275"/>
        <v>99</v>
      </c>
      <c r="CZ154" s="138">
        <f t="shared" si="276"/>
        <v>100</v>
      </c>
    </row>
    <row r="155" spans="1:111" x14ac:dyDescent="0.35">
      <c r="A155" s="113"/>
      <c r="B155" s="98"/>
      <c r="C155" s="723"/>
      <c r="D155" s="98"/>
      <c r="E155" s="98"/>
      <c r="F155" s="98"/>
      <c r="G155" s="98"/>
      <c r="H155" s="98"/>
      <c r="I155" s="98"/>
      <c r="J155" s="98"/>
      <c r="K155" s="98"/>
      <c r="L155" s="98"/>
      <c r="M155" s="98"/>
      <c r="N155" s="98"/>
      <c r="O155" s="98"/>
      <c r="P155" s="107"/>
      <c r="Q155" s="107"/>
      <c r="R155" s="107"/>
      <c r="S155" s="107"/>
      <c r="T155" s="107"/>
      <c r="U155" s="107"/>
      <c r="V155" s="107"/>
      <c r="W155" s="107"/>
      <c r="X155" s="107"/>
      <c r="Y155" s="107"/>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c r="BD155" s="98"/>
      <c r="BE155" s="98"/>
      <c r="BF155" s="98"/>
      <c r="BG155" s="98"/>
      <c r="BH155" s="98"/>
      <c r="BI155" s="98"/>
      <c r="BJ155" s="98"/>
      <c r="BK155" s="98"/>
      <c r="BL155" s="98"/>
      <c r="BM155" s="98"/>
      <c r="BN155" s="98"/>
      <c r="BO155" s="98"/>
      <c r="BP155" s="98"/>
      <c r="BQ155" s="98"/>
      <c r="BR155" s="98"/>
      <c r="BS155" s="98"/>
      <c r="BT155" s="98"/>
      <c r="BU155" s="98"/>
      <c r="BV155" s="98"/>
      <c r="BW155" s="98"/>
      <c r="BX155" s="98"/>
      <c r="BY155" s="98"/>
      <c r="BZ155" s="98"/>
      <c r="CA155" s="98"/>
      <c r="CB155" s="98"/>
      <c r="CC155" s="98"/>
      <c r="CD155" s="98"/>
      <c r="CE155" s="98"/>
      <c r="CF155" s="98"/>
      <c r="CG155" s="98"/>
      <c r="CH155" s="98"/>
      <c r="CI155" s="98"/>
      <c r="CJ155" s="98"/>
      <c r="CK155" s="98"/>
      <c r="CL155" s="98"/>
      <c r="CM155" s="98"/>
      <c r="CN155" s="98"/>
      <c r="CO155" s="98"/>
      <c r="CP155" s="98"/>
      <c r="CQ155" s="98"/>
      <c r="CR155" s="98"/>
      <c r="CS155" s="98"/>
      <c r="CT155" s="98"/>
      <c r="CU155" s="98"/>
      <c r="CV155" s="98"/>
      <c r="CW155" s="98"/>
      <c r="CX155" s="98"/>
      <c r="CY155" s="98"/>
      <c r="CZ155" s="98"/>
    </row>
    <row r="156" spans="1:111" x14ac:dyDescent="0.35">
      <c r="A156" s="113"/>
      <c r="B156" s="117"/>
      <c r="C156" s="126"/>
      <c r="D156" s="105" t="s">
        <v>168</v>
      </c>
      <c r="E156" s="149" t="str">
        <f>IF(AND(E114&gt;=$E$63,E114&lt;=$E$64),"Oper Period","NA")</f>
        <v>NA</v>
      </c>
      <c r="F156" s="149" t="str">
        <f t="shared" ref="F156:BQ156" si="277">IF(AND(F114&gt;=$E$63,F114&lt;=$E$64),"Oper Period","NA")</f>
        <v>NA</v>
      </c>
      <c r="G156" s="149" t="str">
        <f t="shared" si="277"/>
        <v>NA</v>
      </c>
      <c r="H156" s="149" t="str">
        <f t="shared" si="277"/>
        <v>NA</v>
      </c>
      <c r="I156" s="149" t="str">
        <f t="shared" si="277"/>
        <v>Oper Period</v>
      </c>
      <c r="J156" s="149" t="str">
        <f t="shared" si="277"/>
        <v>Oper Period</v>
      </c>
      <c r="K156" s="149" t="str">
        <f t="shared" si="277"/>
        <v>Oper Period</v>
      </c>
      <c r="L156" s="149" t="str">
        <f t="shared" si="277"/>
        <v>Oper Period</v>
      </c>
      <c r="M156" s="149" t="str">
        <f t="shared" si="277"/>
        <v>Oper Period</v>
      </c>
      <c r="N156" s="149" t="str">
        <f t="shared" si="277"/>
        <v>Oper Period</v>
      </c>
      <c r="O156" s="149" t="str">
        <f t="shared" si="277"/>
        <v>Oper Period</v>
      </c>
      <c r="P156" s="149" t="str">
        <f t="shared" si="277"/>
        <v>Oper Period</v>
      </c>
      <c r="Q156" s="149" t="str">
        <f t="shared" si="277"/>
        <v>Oper Period</v>
      </c>
      <c r="R156" s="149" t="str">
        <f t="shared" si="277"/>
        <v>Oper Period</v>
      </c>
      <c r="S156" s="149" t="str">
        <f t="shared" si="277"/>
        <v>Oper Period</v>
      </c>
      <c r="T156" s="149" t="str">
        <f t="shared" si="277"/>
        <v>Oper Period</v>
      </c>
      <c r="U156" s="149" t="str">
        <f t="shared" si="277"/>
        <v>NA</v>
      </c>
      <c r="V156" s="149" t="str">
        <f t="shared" si="277"/>
        <v>NA</v>
      </c>
      <c r="W156" s="149" t="str">
        <f t="shared" si="277"/>
        <v>NA</v>
      </c>
      <c r="X156" s="149" t="str">
        <f t="shared" si="277"/>
        <v>NA</v>
      </c>
      <c r="Y156" s="149" t="str">
        <f t="shared" si="277"/>
        <v>NA</v>
      </c>
      <c r="Z156" s="149" t="str">
        <f t="shared" si="277"/>
        <v>NA</v>
      </c>
      <c r="AA156" s="149" t="str">
        <f t="shared" si="277"/>
        <v>NA</v>
      </c>
      <c r="AB156" s="149" t="str">
        <f t="shared" si="277"/>
        <v>NA</v>
      </c>
      <c r="AC156" s="149" t="str">
        <f t="shared" si="277"/>
        <v>NA</v>
      </c>
      <c r="AD156" s="149" t="str">
        <f t="shared" si="277"/>
        <v>NA</v>
      </c>
      <c r="AE156" s="149" t="str">
        <f t="shared" si="277"/>
        <v>NA</v>
      </c>
      <c r="AF156" s="149" t="str">
        <f t="shared" si="277"/>
        <v>NA</v>
      </c>
      <c r="AG156" s="149" t="str">
        <f t="shared" si="277"/>
        <v>NA</v>
      </c>
      <c r="AH156" s="149" t="str">
        <f t="shared" si="277"/>
        <v>NA</v>
      </c>
      <c r="AI156" s="149" t="str">
        <f t="shared" si="277"/>
        <v>NA</v>
      </c>
      <c r="AJ156" s="149" t="str">
        <f t="shared" si="277"/>
        <v>NA</v>
      </c>
      <c r="AK156" s="149" t="str">
        <f t="shared" si="277"/>
        <v>NA</v>
      </c>
      <c r="AL156" s="149" t="str">
        <f t="shared" si="277"/>
        <v>NA</v>
      </c>
      <c r="AM156" s="149" t="str">
        <f t="shared" si="277"/>
        <v>NA</v>
      </c>
      <c r="AN156" s="149" t="str">
        <f t="shared" si="277"/>
        <v>NA</v>
      </c>
      <c r="AO156" s="149" t="str">
        <f t="shared" si="277"/>
        <v>NA</v>
      </c>
      <c r="AP156" s="149" t="str">
        <f t="shared" si="277"/>
        <v>NA</v>
      </c>
      <c r="AQ156" s="149" t="str">
        <f t="shared" si="277"/>
        <v>NA</v>
      </c>
      <c r="AR156" s="149" t="str">
        <f t="shared" si="277"/>
        <v>NA</v>
      </c>
      <c r="AS156" s="149" t="str">
        <f t="shared" si="277"/>
        <v>NA</v>
      </c>
      <c r="AT156" s="149" t="str">
        <f t="shared" si="277"/>
        <v>NA</v>
      </c>
      <c r="AU156" s="149" t="str">
        <f t="shared" si="277"/>
        <v>NA</v>
      </c>
      <c r="AV156" s="149" t="str">
        <f t="shared" si="277"/>
        <v>NA</v>
      </c>
      <c r="AW156" s="149" t="str">
        <f t="shared" si="277"/>
        <v>NA</v>
      </c>
      <c r="AX156" s="149" t="str">
        <f t="shared" si="277"/>
        <v>NA</v>
      </c>
      <c r="AY156" s="149" t="str">
        <f t="shared" si="277"/>
        <v>NA</v>
      </c>
      <c r="AZ156" s="149" t="str">
        <f t="shared" si="277"/>
        <v>NA</v>
      </c>
      <c r="BA156" s="149" t="str">
        <f t="shared" si="277"/>
        <v>NA</v>
      </c>
      <c r="BB156" s="149" t="str">
        <f t="shared" si="277"/>
        <v>NA</v>
      </c>
      <c r="BC156" s="149" t="str">
        <f t="shared" si="277"/>
        <v>NA</v>
      </c>
      <c r="BD156" s="149" t="str">
        <f t="shared" si="277"/>
        <v>NA</v>
      </c>
      <c r="BE156" s="149" t="str">
        <f t="shared" si="277"/>
        <v>NA</v>
      </c>
      <c r="BF156" s="149" t="str">
        <f t="shared" si="277"/>
        <v>NA</v>
      </c>
      <c r="BG156" s="149" t="str">
        <f t="shared" si="277"/>
        <v>NA</v>
      </c>
      <c r="BH156" s="149" t="str">
        <f t="shared" si="277"/>
        <v>NA</v>
      </c>
      <c r="BI156" s="149" t="str">
        <f t="shared" si="277"/>
        <v>NA</v>
      </c>
      <c r="BJ156" s="149" t="str">
        <f t="shared" si="277"/>
        <v>NA</v>
      </c>
      <c r="BK156" s="149" t="str">
        <f t="shared" si="277"/>
        <v>NA</v>
      </c>
      <c r="BL156" s="149" t="str">
        <f t="shared" si="277"/>
        <v>NA</v>
      </c>
      <c r="BM156" s="149" t="str">
        <f t="shared" si="277"/>
        <v>NA</v>
      </c>
      <c r="BN156" s="149" t="str">
        <f t="shared" si="277"/>
        <v>NA</v>
      </c>
      <c r="BO156" s="149" t="str">
        <f t="shared" si="277"/>
        <v>NA</v>
      </c>
      <c r="BP156" s="149" t="str">
        <f t="shared" si="277"/>
        <v>NA</v>
      </c>
      <c r="BQ156" s="149" t="str">
        <f t="shared" si="277"/>
        <v>NA</v>
      </c>
      <c r="BR156" s="149" t="str">
        <f t="shared" ref="BR156:CZ156" si="278">IF(AND(BR114&gt;=$E$63,BR114&lt;=$E$64),"Oper Period","NA")</f>
        <v>NA</v>
      </c>
      <c r="BS156" s="149" t="str">
        <f t="shared" si="278"/>
        <v>NA</v>
      </c>
      <c r="BT156" s="149" t="str">
        <f t="shared" si="278"/>
        <v>NA</v>
      </c>
      <c r="BU156" s="149" t="str">
        <f t="shared" si="278"/>
        <v>NA</v>
      </c>
      <c r="BV156" s="149" t="str">
        <f t="shared" si="278"/>
        <v>NA</v>
      </c>
      <c r="BW156" s="149" t="str">
        <f t="shared" si="278"/>
        <v>NA</v>
      </c>
      <c r="BX156" s="149" t="str">
        <f t="shared" si="278"/>
        <v>NA</v>
      </c>
      <c r="BY156" s="149" t="str">
        <f t="shared" si="278"/>
        <v>NA</v>
      </c>
      <c r="BZ156" s="149" t="str">
        <f t="shared" si="278"/>
        <v>NA</v>
      </c>
      <c r="CA156" s="149" t="str">
        <f t="shared" si="278"/>
        <v>NA</v>
      </c>
      <c r="CB156" s="149" t="str">
        <f t="shared" si="278"/>
        <v>NA</v>
      </c>
      <c r="CC156" s="149" t="str">
        <f t="shared" si="278"/>
        <v>NA</v>
      </c>
      <c r="CD156" s="149" t="str">
        <f t="shared" si="278"/>
        <v>NA</v>
      </c>
      <c r="CE156" s="149" t="str">
        <f t="shared" si="278"/>
        <v>NA</v>
      </c>
      <c r="CF156" s="149" t="str">
        <f t="shared" si="278"/>
        <v>NA</v>
      </c>
      <c r="CG156" s="149" t="str">
        <f t="shared" si="278"/>
        <v>NA</v>
      </c>
      <c r="CH156" s="149" t="str">
        <f t="shared" si="278"/>
        <v>NA</v>
      </c>
      <c r="CI156" s="149" t="str">
        <f t="shared" si="278"/>
        <v>NA</v>
      </c>
      <c r="CJ156" s="149" t="str">
        <f t="shared" si="278"/>
        <v>NA</v>
      </c>
      <c r="CK156" s="149" t="str">
        <f t="shared" si="278"/>
        <v>NA</v>
      </c>
      <c r="CL156" s="149" t="str">
        <f t="shared" si="278"/>
        <v>NA</v>
      </c>
      <c r="CM156" s="149" t="str">
        <f t="shared" si="278"/>
        <v>NA</v>
      </c>
      <c r="CN156" s="149" t="str">
        <f t="shared" si="278"/>
        <v>NA</v>
      </c>
      <c r="CO156" s="149" t="str">
        <f t="shared" si="278"/>
        <v>NA</v>
      </c>
      <c r="CP156" s="149" t="str">
        <f t="shared" si="278"/>
        <v>NA</v>
      </c>
      <c r="CQ156" s="149" t="str">
        <f t="shared" si="278"/>
        <v>NA</v>
      </c>
      <c r="CR156" s="149" t="str">
        <f t="shared" si="278"/>
        <v>NA</v>
      </c>
      <c r="CS156" s="149" t="str">
        <f t="shared" si="278"/>
        <v>NA</v>
      </c>
      <c r="CT156" s="149" t="str">
        <f t="shared" si="278"/>
        <v>NA</v>
      </c>
      <c r="CU156" s="149" t="str">
        <f t="shared" si="278"/>
        <v>NA</v>
      </c>
      <c r="CV156" s="149" t="str">
        <f t="shared" si="278"/>
        <v>NA</v>
      </c>
      <c r="CW156" s="149" t="str">
        <f t="shared" si="278"/>
        <v>NA</v>
      </c>
      <c r="CX156" s="149" t="str">
        <f t="shared" si="278"/>
        <v>NA</v>
      </c>
      <c r="CY156" s="149" t="str">
        <f t="shared" si="278"/>
        <v>NA</v>
      </c>
      <c r="CZ156" s="149" t="str">
        <f t="shared" si="278"/>
        <v>NA</v>
      </c>
    </row>
    <row r="157" spans="1:111" x14ac:dyDescent="0.35">
      <c r="A157" s="113"/>
      <c r="B157" s="117"/>
      <c r="C157" s="126">
        <f>SUM(E157:CZ157)</f>
        <v>45960000</v>
      </c>
      <c r="D157" s="105" t="s">
        <v>671</v>
      </c>
      <c r="E157" s="148">
        <f>IF(E156="Oper Period",$E$69,0)</f>
        <v>0</v>
      </c>
      <c r="F157" s="148">
        <f t="shared" ref="F157:BQ157" si="279">IF(F156="Oper Period",$E$69,0)</f>
        <v>0</v>
      </c>
      <c r="G157" s="148">
        <f t="shared" si="279"/>
        <v>0</v>
      </c>
      <c r="H157" s="148">
        <f t="shared" si="279"/>
        <v>0</v>
      </c>
      <c r="I157" s="148">
        <f t="shared" si="279"/>
        <v>3830000</v>
      </c>
      <c r="J157" s="148">
        <f t="shared" si="279"/>
        <v>3830000</v>
      </c>
      <c r="K157" s="148">
        <f t="shared" si="279"/>
        <v>3830000</v>
      </c>
      <c r="L157" s="148">
        <f t="shared" si="279"/>
        <v>3830000</v>
      </c>
      <c r="M157" s="148">
        <f t="shared" si="279"/>
        <v>3830000</v>
      </c>
      <c r="N157" s="148">
        <f t="shared" si="279"/>
        <v>3830000</v>
      </c>
      <c r="O157" s="148">
        <f t="shared" si="279"/>
        <v>3830000</v>
      </c>
      <c r="P157" s="148">
        <f t="shared" si="279"/>
        <v>3830000</v>
      </c>
      <c r="Q157" s="148">
        <f t="shared" si="279"/>
        <v>3830000</v>
      </c>
      <c r="R157" s="148">
        <f t="shared" si="279"/>
        <v>3830000</v>
      </c>
      <c r="S157" s="148">
        <f t="shared" si="279"/>
        <v>3830000</v>
      </c>
      <c r="T157" s="148">
        <f t="shared" si="279"/>
        <v>3830000</v>
      </c>
      <c r="U157" s="148">
        <f t="shared" si="279"/>
        <v>0</v>
      </c>
      <c r="V157" s="148">
        <f t="shared" si="279"/>
        <v>0</v>
      </c>
      <c r="W157" s="148">
        <f t="shared" si="279"/>
        <v>0</v>
      </c>
      <c r="X157" s="148">
        <f t="shared" si="279"/>
        <v>0</v>
      </c>
      <c r="Y157" s="148">
        <f t="shared" si="279"/>
        <v>0</v>
      </c>
      <c r="Z157" s="148">
        <f t="shared" si="279"/>
        <v>0</v>
      </c>
      <c r="AA157" s="148">
        <f t="shared" si="279"/>
        <v>0</v>
      </c>
      <c r="AB157" s="148">
        <f t="shared" si="279"/>
        <v>0</v>
      </c>
      <c r="AC157" s="148">
        <f t="shared" si="279"/>
        <v>0</v>
      </c>
      <c r="AD157" s="148">
        <f t="shared" si="279"/>
        <v>0</v>
      </c>
      <c r="AE157" s="148">
        <f t="shared" si="279"/>
        <v>0</v>
      </c>
      <c r="AF157" s="148">
        <f t="shared" si="279"/>
        <v>0</v>
      </c>
      <c r="AG157" s="148">
        <f t="shared" si="279"/>
        <v>0</v>
      </c>
      <c r="AH157" s="148">
        <f t="shared" si="279"/>
        <v>0</v>
      </c>
      <c r="AI157" s="148">
        <f t="shared" si="279"/>
        <v>0</v>
      </c>
      <c r="AJ157" s="148">
        <f t="shared" si="279"/>
        <v>0</v>
      </c>
      <c r="AK157" s="148">
        <f t="shared" si="279"/>
        <v>0</v>
      </c>
      <c r="AL157" s="148">
        <f t="shared" si="279"/>
        <v>0</v>
      </c>
      <c r="AM157" s="148">
        <f t="shared" si="279"/>
        <v>0</v>
      </c>
      <c r="AN157" s="148">
        <f t="shared" si="279"/>
        <v>0</v>
      </c>
      <c r="AO157" s="148">
        <f t="shared" si="279"/>
        <v>0</v>
      </c>
      <c r="AP157" s="148">
        <f t="shared" si="279"/>
        <v>0</v>
      </c>
      <c r="AQ157" s="148">
        <f t="shared" si="279"/>
        <v>0</v>
      </c>
      <c r="AR157" s="148">
        <f t="shared" si="279"/>
        <v>0</v>
      </c>
      <c r="AS157" s="148">
        <f t="shared" si="279"/>
        <v>0</v>
      </c>
      <c r="AT157" s="148">
        <f t="shared" si="279"/>
        <v>0</v>
      </c>
      <c r="AU157" s="148">
        <f t="shared" si="279"/>
        <v>0</v>
      </c>
      <c r="AV157" s="148">
        <f t="shared" si="279"/>
        <v>0</v>
      </c>
      <c r="AW157" s="148">
        <f t="shared" si="279"/>
        <v>0</v>
      </c>
      <c r="AX157" s="148">
        <f t="shared" si="279"/>
        <v>0</v>
      </c>
      <c r="AY157" s="148">
        <f t="shared" si="279"/>
        <v>0</v>
      </c>
      <c r="AZ157" s="148">
        <f t="shared" si="279"/>
        <v>0</v>
      </c>
      <c r="BA157" s="148">
        <f t="shared" si="279"/>
        <v>0</v>
      </c>
      <c r="BB157" s="148">
        <f t="shared" si="279"/>
        <v>0</v>
      </c>
      <c r="BC157" s="148">
        <f t="shared" si="279"/>
        <v>0</v>
      </c>
      <c r="BD157" s="148">
        <f t="shared" si="279"/>
        <v>0</v>
      </c>
      <c r="BE157" s="148">
        <f t="shared" si="279"/>
        <v>0</v>
      </c>
      <c r="BF157" s="148">
        <f t="shared" si="279"/>
        <v>0</v>
      </c>
      <c r="BG157" s="148">
        <f t="shared" si="279"/>
        <v>0</v>
      </c>
      <c r="BH157" s="148">
        <f t="shared" si="279"/>
        <v>0</v>
      </c>
      <c r="BI157" s="148">
        <f t="shared" si="279"/>
        <v>0</v>
      </c>
      <c r="BJ157" s="148">
        <f t="shared" si="279"/>
        <v>0</v>
      </c>
      <c r="BK157" s="148">
        <f t="shared" si="279"/>
        <v>0</v>
      </c>
      <c r="BL157" s="148">
        <f t="shared" si="279"/>
        <v>0</v>
      </c>
      <c r="BM157" s="148">
        <f t="shared" si="279"/>
        <v>0</v>
      </c>
      <c r="BN157" s="148">
        <f t="shared" si="279"/>
        <v>0</v>
      </c>
      <c r="BO157" s="148">
        <f t="shared" si="279"/>
        <v>0</v>
      </c>
      <c r="BP157" s="148">
        <f t="shared" si="279"/>
        <v>0</v>
      </c>
      <c r="BQ157" s="148">
        <f t="shared" si="279"/>
        <v>0</v>
      </c>
      <c r="BR157" s="148">
        <f t="shared" ref="BR157:CZ157" si="280">IF(BR156="Oper Period",$E$69,0)</f>
        <v>0</v>
      </c>
      <c r="BS157" s="148">
        <f t="shared" si="280"/>
        <v>0</v>
      </c>
      <c r="BT157" s="148">
        <f t="shared" si="280"/>
        <v>0</v>
      </c>
      <c r="BU157" s="148">
        <f t="shared" si="280"/>
        <v>0</v>
      </c>
      <c r="BV157" s="148">
        <f t="shared" si="280"/>
        <v>0</v>
      </c>
      <c r="BW157" s="148">
        <f t="shared" si="280"/>
        <v>0</v>
      </c>
      <c r="BX157" s="148">
        <f t="shared" si="280"/>
        <v>0</v>
      </c>
      <c r="BY157" s="148">
        <f t="shared" si="280"/>
        <v>0</v>
      </c>
      <c r="BZ157" s="148">
        <f t="shared" si="280"/>
        <v>0</v>
      </c>
      <c r="CA157" s="148">
        <f t="shared" si="280"/>
        <v>0</v>
      </c>
      <c r="CB157" s="148">
        <f t="shared" si="280"/>
        <v>0</v>
      </c>
      <c r="CC157" s="148">
        <f t="shared" si="280"/>
        <v>0</v>
      </c>
      <c r="CD157" s="148">
        <f t="shared" si="280"/>
        <v>0</v>
      </c>
      <c r="CE157" s="148">
        <f t="shared" si="280"/>
        <v>0</v>
      </c>
      <c r="CF157" s="148">
        <f t="shared" si="280"/>
        <v>0</v>
      </c>
      <c r="CG157" s="148">
        <f t="shared" si="280"/>
        <v>0</v>
      </c>
      <c r="CH157" s="148">
        <f t="shared" si="280"/>
        <v>0</v>
      </c>
      <c r="CI157" s="148">
        <f t="shared" si="280"/>
        <v>0</v>
      </c>
      <c r="CJ157" s="148">
        <f t="shared" si="280"/>
        <v>0</v>
      </c>
      <c r="CK157" s="148">
        <f t="shared" si="280"/>
        <v>0</v>
      </c>
      <c r="CL157" s="148">
        <f t="shared" si="280"/>
        <v>0</v>
      </c>
      <c r="CM157" s="148">
        <f t="shared" si="280"/>
        <v>0</v>
      </c>
      <c r="CN157" s="148">
        <f t="shared" si="280"/>
        <v>0</v>
      </c>
      <c r="CO157" s="148">
        <f t="shared" si="280"/>
        <v>0</v>
      </c>
      <c r="CP157" s="148">
        <f t="shared" si="280"/>
        <v>0</v>
      </c>
      <c r="CQ157" s="148">
        <f t="shared" si="280"/>
        <v>0</v>
      </c>
      <c r="CR157" s="148">
        <f t="shared" si="280"/>
        <v>0</v>
      </c>
      <c r="CS157" s="148">
        <f t="shared" si="280"/>
        <v>0</v>
      </c>
      <c r="CT157" s="148">
        <f t="shared" si="280"/>
        <v>0</v>
      </c>
      <c r="CU157" s="148">
        <f t="shared" si="280"/>
        <v>0</v>
      </c>
      <c r="CV157" s="148">
        <f t="shared" si="280"/>
        <v>0</v>
      </c>
      <c r="CW157" s="148">
        <f t="shared" si="280"/>
        <v>0</v>
      </c>
      <c r="CX157" s="148">
        <f t="shared" si="280"/>
        <v>0</v>
      </c>
      <c r="CY157" s="148">
        <f t="shared" si="280"/>
        <v>0</v>
      </c>
      <c r="CZ157" s="148">
        <f t="shared" si="280"/>
        <v>0</v>
      </c>
    </row>
    <row r="158" spans="1:111" x14ac:dyDescent="0.35">
      <c r="A158" s="113"/>
      <c r="B158" s="117"/>
      <c r="C158" s="126"/>
      <c r="D158" s="105" t="s">
        <v>167</v>
      </c>
      <c r="E158" s="151">
        <f>$E$10*E108</f>
        <v>8.4837326344486748</v>
      </c>
      <c r="F158" s="151">
        <f t="shared" ref="F158:AJ158" si="281">$E$10*F108</f>
        <v>8.6534072871376484</v>
      </c>
      <c r="G158" s="151">
        <f t="shared" si="281"/>
        <v>8.8264754328803985</v>
      </c>
      <c r="H158" s="151">
        <f t="shared" si="281"/>
        <v>9.0030049415380091</v>
      </c>
      <c r="I158" s="151">
        <f t="shared" si="281"/>
        <v>9.1830650403687688</v>
      </c>
      <c r="J158" s="151">
        <f t="shared" si="281"/>
        <v>9.366726341176145</v>
      </c>
      <c r="K158" s="151">
        <f t="shared" si="281"/>
        <v>9.5540608679996666</v>
      </c>
      <c r="L158" s="151">
        <f t="shared" si="281"/>
        <v>9.745142085359662</v>
      </c>
      <c r="M158" s="151">
        <f t="shared" si="281"/>
        <v>9.9400449270668521</v>
      </c>
      <c r="N158" s="151">
        <f t="shared" si="281"/>
        <v>10.138845825608191</v>
      </c>
      <c r="O158" s="151">
        <f t="shared" si="281"/>
        <v>10.341622742120352</v>
      </c>
      <c r="P158" s="207">
        <f t="shared" si="281"/>
        <v>10.54845519696276</v>
      </c>
      <c r="Q158" s="207">
        <f t="shared" si="281"/>
        <v>10.759424300902015</v>
      </c>
      <c r="R158" s="207">
        <f t="shared" si="281"/>
        <v>10.974612786920057</v>
      </c>
      <c r="S158" s="207">
        <f t="shared" si="281"/>
        <v>11.194105042658455</v>
      </c>
      <c r="T158" s="207">
        <f t="shared" si="281"/>
        <v>11.417987143511628</v>
      </c>
      <c r="U158" s="207">
        <f t="shared" si="281"/>
        <v>11.646346886381858</v>
      </c>
      <c r="V158" s="207">
        <f t="shared" si="281"/>
        <v>11.879273824109497</v>
      </c>
      <c r="W158" s="207">
        <f t="shared" si="281"/>
        <v>12.116859300591683</v>
      </c>
      <c r="X158" s="207">
        <f t="shared" si="281"/>
        <v>12.359196486603519</v>
      </c>
      <c r="Y158" s="207">
        <f t="shared" si="281"/>
        <v>12.606380416335591</v>
      </c>
      <c r="Z158" s="151">
        <f t="shared" si="281"/>
        <v>12.858508024662301</v>
      </c>
      <c r="AA158" s="151">
        <f t="shared" si="281"/>
        <v>13.115678185155547</v>
      </c>
      <c r="AB158" s="151">
        <f t="shared" si="281"/>
        <v>13.377991748858658</v>
      </c>
      <c r="AC158" s="151">
        <f t="shared" si="281"/>
        <v>13.645551583835832</v>
      </c>
      <c r="AD158" s="151">
        <f t="shared" si="281"/>
        <v>13.918462615512549</v>
      </c>
      <c r="AE158" s="151">
        <f t="shared" si="281"/>
        <v>14.1968318678228</v>
      </c>
      <c r="AF158" s="151">
        <f t="shared" si="281"/>
        <v>14.480768505179256</v>
      </c>
      <c r="AG158" s="151">
        <f t="shared" si="281"/>
        <v>14.770383875282839</v>
      </c>
      <c r="AH158" s="151">
        <f t="shared" si="281"/>
        <v>15.065791552788498</v>
      </c>
      <c r="AI158" s="151">
        <f t="shared" si="281"/>
        <v>15.367107383844264</v>
      </c>
      <c r="AJ158" s="151">
        <f t="shared" si="281"/>
        <v>15.674449531521153</v>
      </c>
      <c r="AK158" s="151">
        <f t="shared" ref="AK158:BP158" si="282">$E$10*AK108</f>
        <v>15.987938522151577</v>
      </c>
      <c r="AL158" s="151">
        <f t="shared" si="282"/>
        <v>16.307697292594607</v>
      </c>
      <c r="AM158" s="151">
        <f t="shared" si="282"/>
        <v>16.633851238446496</v>
      </c>
      <c r="AN158" s="151">
        <f t="shared" si="282"/>
        <v>16.966528263215427</v>
      </c>
      <c r="AO158" s="151">
        <f t="shared" si="282"/>
        <v>17.305858828479735</v>
      </c>
      <c r="AP158" s="151">
        <f t="shared" si="282"/>
        <v>17.651976005049331</v>
      </c>
      <c r="AQ158" s="151">
        <f t="shared" si="282"/>
        <v>18.005015525150316</v>
      </c>
      <c r="AR158" s="151">
        <f t="shared" si="282"/>
        <v>18.365115835653324</v>
      </c>
      <c r="AS158" s="151">
        <f t="shared" si="282"/>
        <v>18.732418152366392</v>
      </c>
      <c r="AT158" s="151">
        <f t="shared" si="282"/>
        <v>19.10706651541372</v>
      </c>
      <c r="AU158" s="151">
        <f t="shared" si="282"/>
        <v>19.489207845721989</v>
      </c>
      <c r="AV158" s="151">
        <f t="shared" si="282"/>
        <v>19.87899200263643</v>
      </c>
      <c r="AW158" s="151">
        <f t="shared" si="282"/>
        <v>20.276571842689162</v>
      </c>
      <c r="AX158" s="151">
        <f t="shared" si="282"/>
        <v>20.682103279542943</v>
      </c>
      <c r="AY158" s="151">
        <f t="shared" si="282"/>
        <v>21.0957453451338</v>
      </c>
      <c r="AZ158" s="151">
        <f t="shared" si="282"/>
        <v>21.517660252036482</v>
      </c>
      <c r="BA158" s="151">
        <f t="shared" si="282"/>
        <v>21.948013457077206</v>
      </c>
      <c r="BB158" s="151">
        <f t="shared" si="282"/>
        <v>22.386973726218752</v>
      </c>
      <c r="BC158" s="151">
        <f t="shared" si="282"/>
        <v>22.834713200743124</v>
      </c>
      <c r="BD158" s="151">
        <f t="shared" si="282"/>
        <v>23.291407464757988</v>
      </c>
      <c r="BE158" s="151">
        <f t="shared" si="282"/>
        <v>23.757235614053151</v>
      </c>
      <c r="BF158" s="151">
        <f t="shared" si="282"/>
        <v>24.232380326334212</v>
      </c>
      <c r="BG158" s="151">
        <f t="shared" si="282"/>
        <v>24.717027932860898</v>
      </c>
      <c r="BH158" s="151">
        <f t="shared" si="282"/>
        <v>25.211368491518112</v>
      </c>
      <c r="BI158" s="151">
        <f t="shared" si="282"/>
        <v>25.715595861348479</v>
      </c>
      <c r="BJ158" s="151">
        <f t="shared" si="282"/>
        <v>26.229907778575448</v>
      </c>
      <c r="BK158" s="151">
        <f t="shared" si="282"/>
        <v>26.754505934146948</v>
      </c>
      <c r="BL158" s="151">
        <f t="shared" si="282"/>
        <v>27.289596052829896</v>
      </c>
      <c r="BM158" s="151">
        <f t="shared" si="282"/>
        <v>27.83538797388649</v>
      </c>
      <c r="BN158" s="151">
        <f t="shared" si="282"/>
        <v>28.392095733364219</v>
      </c>
      <c r="BO158" s="151">
        <f t="shared" si="282"/>
        <v>28.959937648031506</v>
      </c>
      <c r="BP158" s="151">
        <f t="shared" si="282"/>
        <v>29.539136400992138</v>
      </c>
      <c r="BQ158" s="151">
        <f t="shared" ref="BQ158:CZ158" si="283">$E$10*BQ108</f>
        <v>30.129919129011977</v>
      </c>
      <c r="BR158" s="151">
        <f t="shared" si="283"/>
        <v>30.732517511592221</v>
      </c>
      <c r="BS158" s="151">
        <f t="shared" si="283"/>
        <v>31.347167861824051</v>
      </c>
      <c r="BT158" s="151">
        <f t="shared" si="283"/>
        <v>31.974111219060543</v>
      </c>
      <c r="BU158" s="151">
        <f t="shared" si="283"/>
        <v>32.613593443441751</v>
      </c>
      <c r="BV158" s="151">
        <f t="shared" si="283"/>
        <v>33.265865312310588</v>
      </c>
      <c r="BW158" s="151">
        <f t="shared" si="283"/>
        <v>33.931182618556797</v>
      </c>
      <c r="BX158" s="151">
        <f t="shared" si="283"/>
        <v>34.60980627092794</v>
      </c>
      <c r="BY158" s="151">
        <f t="shared" si="283"/>
        <v>35.302002396346488</v>
      </c>
      <c r="BZ158" s="151">
        <f t="shared" si="283"/>
        <v>36.008042444273421</v>
      </c>
      <c r="CA158" s="151">
        <f t="shared" si="283"/>
        <v>36.728203293158884</v>
      </c>
      <c r="CB158" s="151">
        <f t="shared" si="283"/>
        <v>37.462767359022067</v>
      </c>
      <c r="CC158" s="151">
        <f t="shared" si="283"/>
        <v>38.212022706202504</v>
      </c>
      <c r="CD158" s="151">
        <f t="shared" si="283"/>
        <v>38.97626316032656</v>
      </c>
      <c r="CE158" s="151">
        <f t="shared" si="283"/>
        <v>39.755788423533083</v>
      </c>
      <c r="CF158" s="151">
        <f t="shared" si="283"/>
        <v>40.550904192003756</v>
      </c>
      <c r="CG158" s="151">
        <f t="shared" si="283"/>
        <v>41.361922275843824</v>
      </c>
      <c r="CH158" s="151">
        <f t="shared" si="283"/>
        <v>42.189160721360707</v>
      </c>
      <c r="CI158" s="151">
        <f t="shared" si="283"/>
        <v>43.032943935787905</v>
      </c>
      <c r="CJ158" s="151">
        <f t="shared" si="283"/>
        <v>43.893602814503673</v>
      </c>
      <c r="CK158" s="151">
        <f t="shared" si="283"/>
        <v>44.771474870793746</v>
      </c>
      <c r="CL158" s="151">
        <f t="shared" si="283"/>
        <v>45.666904368209629</v>
      </c>
      <c r="CM158" s="151">
        <f t="shared" si="283"/>
        <v>46.580242455573817</v>
      </c>
      <c r="CN158" s="151">
        <f t="shared" si="283"/>
        <v>47.51184730468529</v>
      </c>
      <c r="CO158" s="151">
        <f t="shared" si="283"/>
        <v>48.462084250779</v>
      </c>
      <c r="CP158" s="151">
        <f t="shared" si="283"/>
        <v>49.431325935794575</v>
      </c>
      <c r="CQ158" s="151">
        <f t="shared" si="283"/>
        <v>50.419952454510465</v>
      </c>
      <c r="CR158" s="151">
        <f t="shared" si="283"/>
        <v>51.428351503600673</v>
      </c>
      <c r="CS158" s="151">
        <f t="shared" si="283"/>
        <v>52.456918533672692</v>
      </c>
      <c r="CT158" s="151">
        <f t="shared" si="283"/>
        <v>53.506056904346146</v>
      </c>
      <c r="CU158" s="151">
        <f t="shared" si="283"/>
        <v>54.576178042433057</v>
      </c>
      <c r="CV158" s="151">
        <f t="shared" si="283"/>
        <v>55.667701603281728</v>
      </c>
      <c r="CW158" s="151">
        <f t="shared" si="283"/>
        <v>56.781055635347357</v>
      </c>
      <c r="CX158" s="151">
        <f t="shared" si="283"/>
        <v>57.916676748054314</v>
      </c>
      <c r="CY158" s="151">
        <f t="shared" si="283"/>
        <v>59.075010283015381</v>
      </c>
      <c r="CZ158" s="151">
        <f t="shared" si="283"/>
        <v>60.256510488675708</v>
      </c>
    </row>
    <row r="159" spans="1:111" x14ac:dyDescent="0.35">
      <c r="A159" s="113"/>
      <c r="B159" s="117"/>
      <c r="C159" s="126">
        <f>SUM(E159:CZ159)</f>
        <v>471718473.51150692</v>
      </c>
      <c r="D159" s="105" t="s">
        <v>672</v>
      </c>
      <c r="E159" s="148">
        <f>E158*E157</f>
        <v>0</v>
      </c>
      <c r="F159" s="148">
        <f t="shared" ref="F159:BQ159" si="284">F158*F157</f>
        <v>0</v>
      </c>
      <c r="G159" s="148">
        <f t="shared" si="284"/>
        <v>0</v>
      </c>
      <c r="H159" s="148">
        <f>H158*H157</f>
        <v>0</v>
      </c>
      <c r="I159" s="148">
        <f>I158*I157</f>
        <v>35171139.104612388</v>
      </c>
      <c r="J159" s="148">
        <f t="shared" si="284"/>
        <v>35874561.886704639</v>
      </c>
      <c r="K159" s="148">
        <f t="shared" si="284"/>
        <v>36592053.124438725</v>
      </c>
      <c r="L159" s="148">
        <f t="shared" si="284"/>
        <v>37323894.186927505</v>
      </c>
      <c r="M159" s="148">
        <f t="shared" si="284"/>
        <v>38070372.070666045</v>
      </c>
      <c r="N159" s="148">
        <f t="shared" si="284"/>
        <v>38831779.512079373</v>
      </c>
      <c r="O159" s="148">
        <f t="shared" si="284"/>
        <v>39608415.102320947</v>
      </c>
      <c r="P159" s="206">
        <f t="shared" si="284"/>
        <v>40400583.404367372</v>
      </c>
      <c r="Q159" s="206">
        <f t="shared" si="284"/>
        <v>41208595.072454721</v>
      </c>
      <c r="R159" s="206">
        <f t="shared" si="284"/>
        <v>42032766.97390382</v>
      </c>
      <c r="S159" s="206">
        <f t="shared" si="284"/>
        <v>42873422.313381881</v>
      </c>
      <c r="T159" s="206">
        <f t="shared" si="284"/>
        <v>43730890.75964953</v>
      </c>
      <c r="U159" s="206">
        <f t="shared" si="284"/>
        <v>0</v>
      </c>
      <c r="V159" s="206">
        <f t="shared" si="284"/>
        <v>0</v>
      </c>
      <c r="W159" s="206">
        <f t="shared" si="284"/>
        <v>0</v>
      </c>
      <c r="X159" s="206">
        <f t="shared" si="284"/>
        <v>0</v>
      </c>
      <c r="Y159" s="206">
        <f t="shared" si="284"/>
        <v>0</v>
      </c>
      <c r="Z159" s="148">
        <f t="shared" si="284"/>
        <v>0</v>
      </c>
      <c r="AA159" s="148">
        <f t="shared" si="284"/>
        <v>0</v>
      </c>
      <c r="AB159" s="148">
        <f t="shared" si="284"/>
        <v>0</v>
      </c>
      <c r="AC159" s="148">
        <f t="shared" si="284"/>
        <v>0</v>
      </c>
      <c r="AD159" s="148">
        <f t="shared" si="284"/>
        <v>0</v>
      </c>
      <c r="AE159" s="148">
        <f t="shared" si="284"/>
        <v>0</v>
      </c>
      <c r="AF159" s="148">
        <f t="shared" si="284"/>
        <v>0</v>
      </c>
      <c r="AG159" s="148">
        <f t="shared" si="284"/>
        <v>0</v>
      </c>
      <c r="AH159" s="148">
        <f t="shared" si="284"/>
        <v>0</v>
      </c>
      <c r="AI159" s="148">
        <f t="shared" si="284"/>
        <v>0</v>
      </c>
      <c r="AJ159" s="148">
        <f t="shared" si="284"/>
        <v>0</v>
      </c>
      <c r="AK159" s="148">
        <f t="shared" si="284"/>
        <v>0</v>
      </c>
      <c r="AL159" s="148">
        <f t="shared" si="284"/>
        <v>0</v>
      </c>
      <c r="AM159" s="148">
        <f t="shared" si="284"/>
        <v>0</v>
      </c>
      <c r="AN159" s="148">
        <f t="shared" si="284"/>
        <v>0</v>
      </c>
      <c r="AO159" s="148">
        <f t="shared" si="284"/>
        <v>0</v>
      </c>
      <c r="AP159" s="148">
        <f t="shared" si="284"/>
        <v>0</v>
      </c>
      <c r="AQ159" s="148">
        <f t="shared" si="284"/>
        <v>0</v>
      </c>
      <c r="AR159" s="148">
        <f t="shared" si="284"/>
        <v>0</v>
      </c>
      <c r="AS159" s="148">
        <f t="shared" si="284"/>
        <v>0</v>
      </c>
      <c r="AT159" s="148">
        <f t="shared" si="284"/>
        <v>0</v>
      </c>
      <c r="AU159" s="148">
        <f t="shared" si="284"/>
        <v>0</v>
      </c>
      <c r="AV159" s="148">
        <f t="shared" si="284"/>
        <v>0</v>
      </c>
      <c r="AW159" s="148">
        <f t="shared" si="284"/>
        <v>0</v>
      </c>
      <c r="AX159" s="148">
        <f t="shared" si="284"/>
        <v>0</v>
      </c>
      <c r="AY159" s="148">
        <f t="shared" si="284"/>
        <v>0</v>
      </c>
      <c r="AZ159" s="148">
        <f t="shared" si="284"/>
        <v>0</v>
      </c>
      <c r="BA159" s="148">
        <f t="shared" si="284"/>
        <v>0</v>
      </c>
      <c r="BB159" s="148">
        <f t="shared" si="284"/>
        <v>0</v>
      </c>
      <c r="BC159" s="148">
        <f t="shared" si="284"/>
        <v>0</v>
      </c>
      <c r="BD159" s="148">
        <f t="shared" si="284"/>
        <v>0</v>
      </c>
      <c r="BE159" s="148">
        <f t="shared" si="284"/>
        <v>0</v>
      </c>
      <c r="BF159" s="148">
        <f t="shared" si="284"/>
        <v>0</v>
      </c>
      <c r="BG159" s="148">
        <f t="shared" si="284"/>
        <v>0</v>
      </c>
      <c r="BH159" s="148">
        <f t="shared" si="284"/>
        <v>0</v>
      </c>
      <c r="BI159" s="148">
        <f t="shared" si="284"/>
        <v>0</v>
      </c>
      <c r="BJ159" s="148">
        <f t="shared" si="284"/>
        <v>0</v>
      </c>
      <c r="BK159" s="148">
        <f t="shared" si="284"/>
        <v>0</v>
      </c>
      <c r="BL159" s="148">
        <f t="shared" si="284"/>
        <v>0</v>
      </c>
      <c r="BM159" s="148">
        <f t="shared" si="284"/>
        <v>0</v>
      </c>
      <c r="BN159" s="148">
        <f t="shared" si="284"/>
        <v>0</v>
      </c>
      <c r="BO159" s="148">
        <f t="shared" si="284"/>
        <v>0</v>
      </c>
      <c r="BP159" s="148">
        <f t="shared" si="284"/>
        <v>0</v>
      </c>
      <c r="BQ159" s="148">
        <f t="shared" si="284"/>
        <v>0</v>
      </c>
      <c r="BR159" s="148">
        <f t="shared" ref="BR159:CZ159" si="285">BR158*BR157</f>
        <v>0</v>
      </c>
      <c r="BS159" s="148">
        <f t="shared" si="285"/>
        <v>0</v>
      </c>
      <c r="BT159" s="148">
        <f t="shared" si="285"/>
        <v>0</v>
      </c>
      <c r="BU159" s="148">
        <f t="shared" si="285"/>
        <v>0</v>
      </c>
      <c r="BV159" s="148">
        <f t="shared" si="285"/>
        <v>0</v>
      </c>
      <c r="BW159" s="148">
        <f t="shared" si="285"/>
        <v>0</v>
      </c>
      <c r="BX159" s="148">
        <f t="shared" si="285"/>
        <v>0</v>
      </c>
      <c r="BY159" s="148">
        <f t="shared" si="285"/>
        <v>0</v>
      </c>
      <c r="BZ159" s="148">
        <f t="shared" si="285"/>
        <v>0</v>
      </c>
      <c r="CA159" s="148">
        <f t="shared" si="285"/>
        <v>0</v>
      </c>
      <c r="CB159" s="148">
        <f t="shared" si="285"/>
        <v>0</v>
      </c>
      <c r="CC159" s="148">
        <f t="shared" si="285"/>
        <v>0</v>
      </c>
      <c r="CD159" s="148">
        <f t="shared" si="285"/>
        <v>0</v>
      </c>
      <c r="CE159" s="148">
        <f t="shared" si="285"/>
        <v>0</v>
      </c>
      <c r="CF159" s="148">
        <f t="shared" si="285"/>
        <v>0</v>
      </c>
      <c r="CG159" s="148">
        <f t="shared" si="285"/>
        <v>0</v>
      </c>
      <c r="CH159" s="148">
        <f t="shared" si="285"/>
        <v>0</v>
      </c>
      <c r="CI159" s="148">
        <f t="shared" si="285"/>
        <v>0</v>
      </c>
      <c r="CJ159" s="148">
        <f t="shared" si="285"/>
        <v>0</v>
      </c>
      <c r="CK159" s="148">
        <f t="shared" si="285"/>
        <v>0</v>
      </c>
      <c r="CL159" s="148">
        <f t="shared" si="285"/>
        <v>0</v>
      </c>
      <c r="CM159" s="148">
        <f t="shared" si="285"/>
        <v>0</v>
      </c>
      <c r="CN159" s="148">
        <f t="shared" si="285"/>
        <v>0</v>
      </c>
      <c r="CO159" s="148">
        <f t="shared" si="285"/>
        <v>0</v>
      </c>
      <c r="CP159" s="148">
        <f t="shared" si="285"/>
        <v>0</v>
      </c>
      <c r="CQ159" s="148">
        <f t="shared" si="285"/>
        <v>0</v>
      </c>
      <c r="CR159" s="148">
        <f t="shared" si="285"/>
        <v>0</v>
      </c>
      <c r="CS159" s="148">
        <f t="shared" si="285"/>
        <v>0</v>
      </c>
      <c r="CT159" s="148">
        <f t="shared" si="285"/>
        <v>0</v>
      </c>
      <c r="CU159" s="148">
        <f t="shared" si="285"/>
        <v>0</v>
      </c>
      <c r="CV159" s="148">
        <f t="shared" si="285"/>
        <v>0</v>
      </c>
      <c r="CW159" s="148">
        <f t="shared" si="285"/>
        <v>0</v>
      </c>
      <c r="CX159" s="148">
        <f t="shared" si="285"/>
        <v>0</v>
      </c>
      <c r="CY159" s="148">
        <f t="shared" si="285"/>
        <v>0</v>
      </c>
      <c r="CZ159" s="148">
        <f t="shared" si="285"/>
        <v>0</v>
      </c>
    </row>
    <row r="160" spans="1:111" x14ac:dyDescent="0.35">
      <c r="A160" s="113"/>
      <c r="B160" s="117"/>
      <c r="C160" s="126"/>
      <c r="D160" s="105"/>
      <c r="E160" s="148"/>
      <c r="F160" s="148"/>
      <c r="G160" s="148"/>
      <c r="H160" s="148"/>
      <c r="I160" s="148"/>
      <c r="J160" s="148"/>
      <c r="K160" s="148"/>
      <c r="L160" s="148"/>
      <c r="M160" s="148"/>
      <c r="N160" s="148"/>
      <c r="O160" s="148"/>
      <c r="P160" s="206"/>
      <c r="Q160" s="206"/>
      <c r="R160" s="206"/>
      <c r="S160" s="206"/>
      <c r="T160" s="206"/>
      <c r="U160" s="206"/>
      <c r="V160" s="206"/>
      <c r="W160" s="206"/>
      <c r="X160" s="206"/>
      <c r="Y160" s="206"/>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c r="BI160" s="148"/>
      <c r="BJ160" s="148"/>
      <c r="BK160" s="148"/>
      <c r="BL160" s="148"/>
      <c r="BM160" s="148"/>
      <c r="BN160" s="148"/>
      <c r="BO160" s="148"/>
      <c r="BP160" s="148"/>
      <c r="BQ160" s="148"/>
      <c r="BR160" s="148"/>
      <c r="BS160" s="148"/>
      <c r="BT160" s="148"/>
      <c r="BU160" s="148"/>
      <c r="BV160" s="148"/>
      <c r="BW160" s="148"/>
      <c r="BX160" s="148"/>
      <c r="BY160" s="148"/>
      <c r="BZ160" s="148"/>
      <c r="CA160" s="148"/>
      <c r="CB160" s="148"/>
      <c r="CC160" s="148"/>
      <c r="CD160" s="148"/>
      <c r="CE160" s="148"/>
      <c r="CF160" s="148"/>
      <c r="CG160" s="148"/>
      <c r="CH160" s="148"/>
      <c r="CI160" s="148"/>
      <c r="CJ160" s="148"/>
      <c r="CK160" s="148"/>
      <c r="CL160" s="148"/>
      <c r="CM160" s="148"/>
      <c r="CN160" s="148"/>
      <c r="CO160" s="148"/>
      <c r="CP160" s="148"/>
      <c r="CQ160" s="148"/>
      <c r="CR160" s="148"/>
      <c r="CS160" s="148"/>
      <c r="CT160" s="148"/>
      <c r="CU160" s="148"/>
      <c r="CV160" s="148"/>
      <c r="CW160" s="148"/>
      <c r="CX160" s="148"/>
      <c r="CY160" s="148"/>
      <c r="CZ160" s="148"/>
    </row>
    <row r="161" spans="1:104" x14ac:dyDescent="0.35">
      <c r="A161" s="113"/>
      <c r="B161" s="117"/>
      <c r="C161" s="126">
        <f>SUM(E161:CZ161)</f>
        <v>159940800</v>
      </c>
      <c r="D161" s="105" t="s">
        <v>673</v>
      </c>
      <c r="E161" s="148">
        <f>E159/E108</f>
        <v>0</v>
      </c>
      <c r="F161" s="148">
        <f t="shared" ref="F161:AJ161" si="286">F159/F108</f>
        <v>0</v>
      </c>
      <c r="G161" s="148">
        <f t="shared" si="286"/>
        <v>0</v>
      </c>
      <c r="H161" s="148">
        <f>H159/H108</f>
        <v>0</v>
      </c>
      <c r="I161" s="148">
        <f t="shared" si="286"/>
        <v>13328400</v>
      </c>
      <c r="J161" s="148">
        <f t="shared" si="286"/>
        <v>13328400.000000002</v>
      </c>
      <c r="K161" s="148">
        <f t="shared" si="286"/>
        <v>13328400.000000002</v>
      </c>
      <c r="L161" s="148">
        <f t="shared" si="286"/>
        <v>13328400</v>
      </c>
      <c r="M161" s="148">
        <f t="shared" si="286"/>
        <v>13328400</v>
      </c>
      <c r="N161" s="148">
        <f t="shared" si="286"/>
        <v>13328400</v>
      </c>
      <c r="O161" s="148">
        <f t="shared" si="286"/>
        <v>13328400</v>
      </c>
      <c r="P161" s="206">
        <f t="shared" si="286"/>
        <v>13328400</v>
      </c>
      <c r="Q161" s="206">
        <f t="shared" si="286"/>
        <v>13328400.000000002</v>
      </c>
      <c r="R161" s="206">
        <f t="shared" si="286"/>
        <v>13328400.000000002</v>
      </c>
      <c r="S161" s="206">
        <f t="shared" si="286"/>
        <v>13328399.999999998</v>
      </c>
      <c r="T161" s="206">
        <f t="shared" si="286"/>
        <v>13328400</v>
      </c>
      <c r="U161" s="206">
        <f t="shared" si="286"/>
        <v>0</v>
      </c>
      <c r="V161" s="206">
        <f t="shared" si="286"/>
        <v>0</v>
      </c>
      <c r="W161" s="206">
        <f t="shared" si="286"/>
        <v>0</v>
      </c>
      <c r="X161" s="206">
        <f t="shared" si="286"/>
        <v>0</v>
      </c>
      <c r="Y161" s="206">
        <f t="shared" si="286"/>
        <v>0</v>
      </c>
      <c r="Z161" s="148">
        <f t="shared" si="286"/>
        <v>0</v>
      </c>
      <c r="AA161" s="148">
        <f t="shared" si="286"/>
        <v>0</v>
      </c>
      <c r="AB161" s="148">
        <f t="shared" si="286"/>
        <v>0</v>
      </c>
      <c r="AC161" s="148">
        <f t="shared" si="286"/>
        <v>0</v>
      </c>
      <c r="AD161" s="148">
        <f t="shared" si="286"/>
        <v>0</v>
      </c>
      <c r="AE161" s="148">
        <f t="shared" si="286"/>
        <v>0</v>
      </c>
      <c r="AF161" s="148">
        <f t="shared" si="286"/>
        <v>0</v>
      </c>
      <c r="AG161" s="148">
        <f t="shared" si="286"/>
        <v>0</v>
      </c>
      <c r="AH161" s="148">
        <f t="shared" si="286"/>
        <v>0</v>
      </c>
      <c r="AI161" s="148">
        <f t="shared" si="286"/>
        <v>0</v>
      </c>
      <c r="AJ161" s="148">
        <f t="shared" si="286"/>
        <v>0</v>
      </c>
      <c r="AK161" s="148">
        <f t="shared" ref="AK161:BP161" si="287">AK159/AK108</f>
        <v>0</v>
      </c>
      <c r="AL161" s="148">
        <f t="shared" si="287"/>
        <v>0</v>
      </c>
      <c r="AM161" s="148">
        <f t="shared" si="287"/>
        <v>0</v>
      </c>
      <c r="AN161" s="148">
        <f t="shared" si="287"/>
        <v>0</v>
      </c>
      <c r="AO161" s="148">
        <f t="shared" si="287"/>
        <v>0</v>
      </c>
      <c r="AP161" s="148">
        <f t="shared" si="287"/>
        <v>0</v>
      </c>
      <c r="AQ161" s="148">
        <f t="shared" si="287"/>
        <v>0</v>
      </c>
      <c r="AR161" s="148">
        <f t="shared" si="287"/>
        <v>0</v>
      </c>
      <c r="AS161" s="148">
        <f t="shared" si="287"/>
        <v>0</v>
      </c>
      <c r="AT161" s="148">
        <f t="shared" si="287"/>
        <v>0</v>
      </c>
      <c r="AU161" s="148">
        <f t="shared" si="287"/>
        <v>0</v>
      </c>
      <c r="AV161" s="148">
        <f t="shared" si="287"/>
        <v>0</v>
      </c>
      <c r="AW161" s="148">
        <f t="shared" si="287"/>
        <v>0</v>
      </c>
      <c r="AX161" s="148">
        <f t="shared" si="287"/>
        <v>0</v>
      </c>
      <c r="AY161" s="148">
        <f t="shared" si="287"/>
        <v>0</v>
      </c>
      <c r="AZ161" s="148">
        <f t="shared" si="287"/>
        <v>0</v>
      </c>
      <c r="BA161" s="148">
        <f t="shared" si="287"/>
        <v>0</v>
      </c>
      <c r="BB161" s="148">
        <f t="shared" si="287"/>
        <v>0</v>
      </c>
      <c r="BC161" s="148">
        <f t="shared" si="287"/>
        <v>0</v>
      </c>
      <c r="BD161" s="148">
        <f t="shared" si="287"/>
        <v>0</v>
      </c>
      <c r="BE161" s="148">
        <f t="shared" si="287"/>
        <v>0</v>
      </c>
      <c r="BF161" s="148">
        <f t="shared" si="287"/>
        <v>0</v>
      </c>
      <c r="BG161" s="148">
        <f t="shared" si="287"/>
        <v>0</v>
      </c>
      <c r="BH161" s="148">
        <f t="shared" si="287"/>
        <v>0</v>
      </c>
      <c r="BI161" s="148">
        <f t="shared" si="287"/>
        <v>0</v>
      </c>
      <c r="BJ161" s="148">
        <f t="shared" si="287"/>
        <v>0</v>
      </c>
      <c r="BK161" s="148">
        <f t="shared" si="287"/>
        <v>0</v>
      </c>
      <c r="BL161" s="148">
        <f t="shared" si="287"/>
        <v>0</v>
      </c>
      <c r="BM161" s="148">
        <f t="shared" si="287"/>
        <v>0</v>
      </c>
      <c r="BN161" s="148">
        <f t="shared" si="287"/>
        <v>0</v>
      </c>
      <c r="BO161" s="148">
        <f t="shared" si="287"/>
        <v>0</v>
      </c>
      <c r="BP161" s="148">
        <f t="shared" si="287"/>
        <v>0</v>
      </c>
      <c r="BQ161" s="148">
        <f t="shared" ref="BQ161:CZ161" si="288">BQ159/BQ108</f>
        <v>0</v>
      </c>
      <c r="BR161" s="148">
        <f t="shared" si="288"/>
        <v>0</v>
      </c>
      <c r="BS161" s="148">
        <f t="shared" si="288"/>
        <v>0</v>
      </c>
      <c r="BT161" s="148">
        <f t="shared" si="288"/>
        <v>0</v>
      </c>
      <c r="BU161" s="148">
        <f t="shared" si="288"/>
        <v>0</v>
      </c>
      <c r="BV161" s="148">
        <f t="shared" si="288"/>
        <v>0</v>
      </c>
      <c r="BW161" s="148">
        <f t="shared" si="288"/>
        <v>0</v>
      </c>
      <c r="BX161" s="148">
        <f t="shared" si="288"/>
        <v>0</v>
      </c>
      <c r="BY161" s="148">
        <f t="shared" si="288"/>
        <v>0</v>
      </c>
      <c r="BZ161" s="148">
        <f t="shared" si="288"/>
        <v>0</v>
      </c>
      <c r="CA161" s="148">
        <f t="shared" si="288"/>
        <v>0</v>
      </c>
      <c r="CB161" s="148">
        <f t="shared" si="288"/>
        <v>0</v>
      </c>
      <c r="CC161" s="148">
        <f t="shared" si="288"/>
        <v>0</v>
      </c>
      <c r="CD161" s="148">
        <f t="shared" si="288"/>
        <v>0</v>
      </c>
      <c r="CE161" s="148">
        <f t="shared" si="288"/>
        <v>0</v>
      </c>
      <c r="CF161" s="148">
        <f t="shared" si="288"/>
        <v>0</v>
      </c>
      <c r="CG161" s="148">
        <f t="shared" si="288"/>
        <v>0</v>
      </c>
      <c r="CH161" s="148">
        <f t="shared" si="288"/>
        <v>0</v>
      </c>
      <c r="CI161" s="148">
        <f t="shared" si="288"/>
        <v>0</v>
      </c>
      <c r="CJ161" s="148">
        <f t="shared" si="288"/>
        <v>0</v>
      </c>
      <c r="CK161" s="148">
        <f t="shared" si="288"/>
        <v>0</v>
      </c>
      <c r="CL161" s="148">
        <f t="shared" si="288"/>
        <v>0</v>
      </c>
      <c r="CM161" s="148">
        <f t="shared" si="288"/>
        <v>0</v>
      </c>
      <c r="CN161" s="148">
        <f t="shared" si="288"/>
        <v>0</v>
      </c>
      <c r="CO161" s="148">
        <f t="shared" si="288"/>
        <v>0</v>
      </c>
      <c r="CP161" s="148">
        <f t="shared" si="288"/>
        <v>0</v>
      </c>
      <c r="CQ161" s="148">
        <f t="shared" si="288"/>
        <v>0</v>
      </c>
      <c r="CR161" s="148">
        <f t="shared" si="288"/>
        <v>0</v>
      </c>
      <c r="CS161" s="148">
        <f t="shared" si="288"/>
        <v>0</v>
      </c>
      <c r="CT161" s="148">
        <f t="shared" si="288"/>
        <v>0</v>
      </c>
      <c r="CU161" s="148">
        <f t="shared" si="288"/>
        <v>0</v>
      </c>
      <c r="CV161" s="148">
        <f t="shared" si="288"/>
        <v>0</v>
      </c>
      <c r="CW161" s="148">
        <f t="shared" si="288"/>
        <v>0</v>
      </c>
      <c r="CX161" s="148">
        <f t="shared" si="288"/>
        <v>0</v>
      </c>
      <c r="CY161" s="148">
        <f t="shared" si="288"/>
        <v>0</v>
      </c>
      <c r="CZ161" s="148">
        <f t="shared" si="288"/>
        <v>0</v>
      </c>
    </row>
    <row r="162" spans="1:104" x14ac:dyDescent="0.35">
      <c r="A162" s="113"/>
      <c r="B162" s="117"/>
      <c r="C162" s="126">
        <f>SUM(E162:CZ162)</f>
        <v>168848624.59349027</v>
      </c>
      <c r="D162" s="98" t="s">
        <v>674</v>
      </c>
      <c r="E162" s="148">
        <f>E159/E109</f>
        <v>0</v>
      </c>
      <c r="F162" s="148">
        <f t="shared" ref="F162:AJ162" si="289">F159/F109</f>
        <v>0</v>
      </c>
      <c r="G162" s="148">
        <f t="shared" si="289"/>
        <v>0</v>
      </c>
      <c r="H162" s="148">
        <f t="shared" si="289"/>
        <v>0</v>
      </c>
      <c r="I162" s="148">
        <f t="shared" si="289"/>
        <v>22351894.739072278</v>
      </c>
      <c r="J162" s="148">
        <f t="shared" si="289"/>
        <v>20356189.851655111</v>
      </c>
      <c r="K162" s="148">
        <f t="shared" si="289"/>
        <v>18538672.90061447</v>
      </c>
      <c r="L162" s="148">
        <f t="shared" si="289"/>
        <v>16883434.248773895</v>
      </c>
      <c r="M162" s="148">
        <f t="shared" si="289"/>
        <v>15375984.762276221</v>
      </c>
      <c r="N162" s="148">
        <f t="shared" si="289"/>
        <v>14003128.979930133</v>
      </c>
      <c r="O162" s="148">
        <f t="shared" si="289"/>
        <v>12752849.606722079</v>
      </c>
      <c r="P162" s="148">
        <f t="shared" si="289"/>
        <v>11614202.320407609</v>
      </c>
      <c r="Q162" s="148">
        <f t="shared" si="289"/>
        <v>10577219.970371215</v>
      </c>
      <c r="R162" s="148">
        <f t="shared" si="289"/>
        <v>9632825.3301594984</v>
      </c>
      <c r="S162" s="148">
        <f t="shared" si="289"/>
        <v>8772751.6399666835</v>
      </c>
      <c r="T162" s="148">
        <f t="shared" si="289"/>
        <v>7989470.2435410889</v>
      </c>
      <c r="U162" s="148">
        <f t="shared" si="289"/>
        <v>0</v>
      </c>
      <c r="V162" s="148">
        <f t="shared" si="289"/>
        <v>0</v>
      </c>
      <c r="W162" s="148">
        <f t="shared" si="289"/>
        <v>0</v>
      </c>
      <c r="X162" s="148">
        <f t="shared" si="289"/>
        <v>0</v>
      </c>
      <c r="Y162" s="148">
        <f t="shared" si="289"/>
        <v>0</v>
      </c>
      <c r="Z162" s="148">
        <f t="shared" si="289"/>
        <v>0</v>
      </c>
      <c r="AA162" s="148">
        <f t="shared" si="289"/>
        <v>0</v>
      </c>
      <c r="AB162" s="148">
        <f t="shared" si="289"/>
        <v>0</v>
      </c>
      <c r="AC162" s="148">
        <f t="shared" si="289"/>
        <v>0</v>
      </c>
      <c r="AD162" s="148">
        <f t="shared" si="289"/>
        <v>0</v>
      </c>
      <c r="AE162" s="148">
        <f t="shared" si="289"/>
        <v>0</v>
      </c>
      <c r="AF162" s="148">
        <f t="shared" si="289"/>
        <v>0</v>
      </c>
      <c r="AG162" s="148">
        <f t="shared" si="289"/>
        <v>0</v>
      </c>
      <c r="AH162" s="148">
        <f t="shared" si="289"/>
        <v>0</v>
      </c>
      <c r="AI162" s="148">
        <f t="shared" si="289"/>
        <v>0</v>
      </c>
      <c r="AJ162" s="148">
        <f t="shared" si="289"/>
        <v>0</v>
      </c>
      <c r="AK162" s="148">
        <f t="shared" ref="AK162:BP162" si="290">AK159/AK109</f>
        <v>0</v>
      </c>
      <c r="AL162" s="148">
        <f t="shared" si="290"/>
        <v>0</v>
      </c>
      <c r="AM162" s="148">
        <f t="shared" si="290"/>
        <v>0</v>
      </c>
      <c r="AN162" s="148">
        <f t="shared" si="290"/>
        <v>0</v>
      </c>
      <c r="AO162" s="148">
        <f t="shared" si="290"/>
        <v>0</v>
      </c>
      <c r="AP162" s="148">
        <f t="shared" si="290"/>
        <v>0</v>
      </c>
      <c r="AQ162" s="148">
        <f t="shared" si="290"/>
        <v>0</v>
      </c>
      <c r="AR162" s="148">
        <f t="shared" si="290"/>
        <v>0</v>
      </c>
      <c r="AS162" s="148">
        <f t="shared" si="290"/>
        <v>0</v>
      </c>
      <c r="AT162" s="148">
        <f t="shared" si="290"/>
        <v>0</v>
      </c>
      <c r="AU162" s="148">
        <f t="shared" si="290"/>
        <v>0</v>
      </c>
      <c r="AV162" s="148">
        <f t="shared" si="290"/>
        <v>0</v>
      </c>
      <c r="AW162" s="148">
        <f t="shared" si="290"/>
        <v>0</v>
      </c>
      <c r="AX162" s="148">
        <f t="shared" si="290"/>
        <v>0</v>
      </c>
      <c r="AY162" s="148">
        <f t="shared" si="290"/>
        <v>0</v>
      </c>
      <c r="AZ162" s="148">
        <f t="shared" si="290"/>
        <v>0</v>
      </c>
      <c r="BA162" s="148">
        <f t="shared" si="290"/>
        <v>0</v>
      </c>
      <c r="BB162" s="148">
        <f t="shared" si="290"/>
        <v>0</v>
      </c>
      <c r="BC162" s="148">
        <f t="shared" si="290"/>
        <v>0</v>
      </c>
      <c r="BD162" s="148">
        <f t="shared" si="290"/>
        <v>0</v>
      </c>
      <c r="BE162" s="148">
        <f t="shared" si="290"/>
        <v>0</v>
      </c>
      <c r="BF162" s="148">
        <f t="shared" si="290"/>
        <v>0</v>
      </c>
      <c r="BG162" s="148">
        <f t="shared" si="290"/>
        <v>0</v>
      </c>
      <c r="BH162" s="148">
        <f t="shared" si="290"/>
        <v>0</v>
      </c>
      <c r="BI162" s="148">
        <f t="shared" si="290"/>
        <v>0</v>
      </c>
      <c r="BJ162" s="148">
        <f t="shared" si="290"/>
        <v>0</v>
      </c>
      <c r="BK162" s="148">
        <f t="shared" si="290"/>
        <v>0</v>
      </c>
      <c r="BL162" s="148">
        <f t="shared" si="290"/>
        <v>0</v>
      </c>
      <c r="BM162" s="148">
        <f t="shared" si="290"/>
        <v>0</v>
      </c>
      <c r="BN162" s="148">
        <f t="shared" si="290"/>
        <v>0</v>
      </c>
      <c r="BO162" s="148">
        <f t="shared" si="290"/>
        <v>0</v>
      </c>
      <c r="BP162" s="148">
        <f t="shared" si="290"/>
        <v>0</v>
      </c>
      <c r="BQ162" s="148">
        <f t="shared" ref="BQ162:CZ162" si="291">BQ159/BQ109</f>
        <v>0</v>
      </c>
      <c r="BR162" s="148">
        <f t="shared" si="291"/>
        <v>0</v>
      </c>
      <c r="BS162" s="148">
        <f t="shared" si="291"/>
        <v>0</v>
      </c>
      <c r="BT162" s="148">
        <f t="shared" si="291"/>
        <v>0</v>
      </c>
      <c r="BU162" s="148">
        <f t="shared" si="291"/>
        <v>0</v>
      </c>
      <c r="BV162" s="148">
        <f t="shared" si="291"/>
        <v>0</v>
      </c>
      <c r="BW162" s="148">
        <f t="shared" si="291"/>
        <v>0</v>
      </c>
      <c r="BX162" s="148">
        <f t="shared" si="291"/>
        <v>0</v>
      </c>
      <c r="BY162" s="148">
        <f t="shared" si="291"/>
        <v>0</v>
      </c>
      <c r="BZ162" s="148">
        <f t="shared" si="291"/>
        <v>0</v>
      </c>
      <c r="CA162" s="148">
        <f t="shared" si="291"/>
        <v>0</v>
      </c>
      <c r="CB162" s="148">
        <f t="shared" si="291"/>
        <v>0</v>
      </c>
      <c r="CC162" s="148">
        <f t="shared" si="291"/>
        <v>0</v>
      </c>
      <c r="CD162" s="148">
        <f t="shared" si="291"/>
        <v>0</v>
      </c>
      <c r="CE162" s="148">
        <f t="shared" si="291"/>
        <v>0</v>
      </c>
      <c r="CF162" s="148">
        <f t="shared" si="291"/>
        <v>0</v>
      </c>
      <c r="CG162" s="148">
        <f t="shared" si="291"/>
        <v>0</v>
      </c>
      <c r="CH162" s="148">
        <f t="shared" si="291"/>
        <v>0</v>
      </c>
      <c r="CI162" s="148">
        <f t="shared" si="291"/>
        <v>0</v>
      </c>
      <c r="CJ162" s="148">
        <f t="shared" si="291"/>
        <v>0</v>
      </c>
      <c r="CK162" s="148">
        <f t="shared" si="291"/>
        <v>0</v>
      </c>
      <c r="CL162" s="148">
        <f t="shared" si="291"/>
        <v>0</v>
      </c>
      <c r="CM162" s="148">
        <f t="shared" si="291"/>
        <v>0</v>
      </c>
      <c r="CN162" s="148">
        <f t="shared" si="291"/>
        <v>0</v>
      </c>
      <c r="CO162" s="148">
        <f t="shared" si="291"/>
        <v>0</v>
      </c>
      <c r="CP162" s="148">
        <f t="shared" si="291"/>
        <v>0</v>
      </c>
      <c r="CQ162" s="148">
        <f t="shared" si="291"/>
        <v>0</v>
      </c>
      <c r="CR162" s="148">
        <f t="shared" si="291"/>
        <v>0</v>
      </c>
      <c r="CS162" s="148">
        <f t="shared" si="291"/>
        <v>0</v>
      </c>
      <c r="CT162" s="148">
        <f t="shared" si="291"/>
        <v>0</v>
      </c>
      <c r="CU162" s="148">
        <f t="shared" si="291"/>
        <v>0</v>
      </c>
      <c r="CV162" s="148">
        <f t="shared" si="291"/>
        <v>0</v>
      </c>
      <c r="CW162" s="148">
        <f t="shared" si="291"/>
        <v>0</v>
      </c>
      <c r="CX162" s="148">
        <f t="shared" si="291"/>
        <v>0</v>
      </c>
      <c r="CY162" s="148">
        <f t="shared" si="291"/>
        <v>0</v>
      </c>
      <c r="CZ162" s="148">
        <f t="shared" si="291"/>
        <v>0</v>
      </c>
    </row>
    <row r="163" spans="1:104" x14ac:dyDescent="0.35">
      <c r="A163" s="113"/>
      <c r="B163" s="117"/>
      <c r="C163" s="126"/>
      <c r="D163" s="98"/>
      <c r="E163" s="127"/>
      <c r="F163" s="127"/>
      <c r="G163" s="127"/>
      <c r="H163" s="208"/>
      <c r="I163" s="208"/>
      <c r="J163" s="208"/>
      <c r="K163" s="208"/>
      <c r="L163" s="208"/>
      <c r="M163" s="208"/>
      <c r="N163" s="208"/>
      <c r="O163" s="208"/>
      <c r="P163" s="208"/>
      <c r="Q163" s="208"/>
      <c r="R163" s="208"/>
      <c r="S163" s="208"/>
      <c r="T163" s="208"/>
      <c r="U163" s="208"/>
      <c r="V163" s="208"/>
      <c r="W163" s="208"/>
      <c r="X163" s="208"/>
      <c r="Y163" s="208"/>
      <c r="Z163" s="127"/>
      <c r="AA163" s="127"/>
      <c r="AB163" s="127"/>
      <c r="AC163" s="127"/>
      <c r="AD163" s="127"/>
      <c r="AE163" s="127"/>
      <c r="AF163" s="127"/>
      <c r="AG163" s="127"/>
      <c r="AH163" s="127"/>
      <c r="AI163" s="127"/>
      <c r="AJ163" s="127"/>
      <c r="AK163" s="127"/>
      <c r="AL163" s="127"/>
      <c r="AM163" s="127"/>
      <c r="AN163" s="127"/>
      <c r="AO163" s="127"/>
      <c r="AP163" s="127"/>
      <c r="AQ163" s="127"/>
      <c r="AR163" s="127"/>
      <c r="AS163" s="127"/>
      <c r="AT163" s="127"/>
      <c r="AU163" s="127"/>
      <c r="AV163" s="127"/>
      <c r="AW163" s="127"/>
      <c r="AX163" s="127"/>
      <c r="AY163" s="127"/>
      <c r="AZ163" s="127"/>
      <c r="BA163" s="127"/>
      <c r="BB163" s="127"/>
      <c r="BC163" s="127"/>
      <c r="BD163" s="127"/>
      <c r="BE163" s="127"/>
      <c r="BF163" s="127"/>
      <c r="BG163" s="127"/>
      <c r="BH163" s="127"/>
      <c r="BI163" s="127"/>
      <c r="BJ163" s="127"/>
      <c r="BK163" s="127"/>
      <c r="BL163" s="127"/>
      <c r="BM163" s="127"/>
      <c r="BN163" s="127"/>
      <c r="BO163" s="127"/>
      <c r="BP163" s="127"/>
      <c r="BQ163" s="127"/>
      <c r="BR163" s="127"/>
      <c r="BS163" s="127"/>
      <c r="BT163" s="127"/>
      <c r="BU163" s="127"/>
      <c r="BV163" s="127"/>
      <c r="BW163" s="127"/>
      <c r="BX163" s="127"/>
      <c r="BY163" s="127"/>
      <c r="BZ163" s="127"/>
      <c r="CA163" s="127"/>
      <c r="CB163" s="127"/>
      <c r="CC163" s="127"/>
      <c r="CD163" s="127"/>
      <c r="CE163" s="127"/>
      <c r="CF163" s="127"/>
      <c r="CG163" s="127"/>
      <c r="CH163" s="127"/>
      <c r="CI163" s="127"/>
      <c r="CJ163" s="127"/>
      <c r="CK163" s="127"/>
      <c r="CL163" s="127"/>
      <c r="CM163" s="127"/>
      <c r="CN163" s="127"/>
      <c r="CO163" s="127"/>
      <c r="CP163" s="127"/>
      <c r="CQ163" s="127"/>
      <c r="CR163" s="127"/>
      <c r="CS163" s="127"/>
      <c r="CT163" s="127"/>
      <c r="CU163" s="127"/>
      <c r="CV163" s="127"/>
      <c r="CW163" s="127"/>
      <c r="CX163" s="127"/>
      <c r="CY163" s="127"/>
      <c r="CZ163" s="127"/>
    </row>
    <row r="164" spans="1:104" ht="13.3" thickBot="1" x14ac:dyDescent="0.4">
      <c r="A164" s="113"/>
      <c r="B164" s="118"/>
      <c r="C164" s="118"/>
      <c r="D164" s="118"/>
      <c r="E164" s="118"/>
      <c r="F164" s="118"/>
      <c r="G164" s="118"/>
      <c r="H164" s="118"/>
      <c r="I164" s="118"/>
      <c r="J164" s="118"/>
      <c r="K164" s="118"/>
      <c r="L164" s="118"/>
      <c r="M164" s="118"/>
      <c r="N164" s="118"/>
      <c r="O164" s="118"/>
      <c r="P164" s="118"/>
      <c r="Q164" s="118"/>
      <c r="R164" s="118"/>
      <c r="S164" s="118"/>
      <c r="T164" s="118"/>
      <c r="U164" s="118"/>
      <c r="V164" s="118"/>
      <c r="W164" s="118"/>
      <c r="X164" s="118"/>
      <c r="Y164" s="118"/>
      <c r="Z164" s="118"/>
      <c r="AA164" s="118"/>
      <c r="AB164" s="118"/>
      <c r="AC164" s="118"/>
      <c r="AD164" s="118"/>
      <c r="AE164" s="118"/>
      <c r="AF164" s="118"/>
      <c r="AG164" s="118"/>
      <c r="AH164" s="118"/>
      <c r="AI164" s="118"/>
      <c r="AJ164" s="118"/>
      <c r="AK164" s="118"/>
      <c r="AL164" s="118"/>
      <c r="AM164" s="118"/>
      <c r="AN164" s="118"/>
      <c r="AO164" s="118"/>
      <c r="AP164" s="118"/>
      <c r="AQ164" s="118"/>
      <c r="AR164" s="118"/>
      <c r="AS164" s="118"/>
      <c r="AT164" s="118"/>
      <c r="AU164" s="118"/>
      <c r="AV164" s="118"/>
      <c r="AW164" s="118"/>
      <c r="AX164" s="118"/>
      <c r="AY164" s="118"/>
      <c r="AZ164" s="118"/>
      <c r="BA164" s="118"/>
      <c r="BB164" s="118"/>
      <c r="BC164" s="118"/>
      <c r="BD164" s="118"/>
      <c r="BE164" s="118"/>
      <c r="BF164" s="118"/>
      <c r="BG164" s="118"/>
      <c r="BH164" s="118"/>
      <c r="BI164" s="118"/>
      <c r="BJ164" s="118"/>
      <c r="BK164" s="118"/>
      <c r="BL164" s="118"/>
      <c r="BM164" s="118"/>
      <c r="BN164" s="118"/>
      <c r="BO164" s="118"/>
      <c r="BP164" s="118"/>
      <c r="BQ164" s="118"/>
      <c r="BR164" s="118"/>
      <c r="BS164" s="118"/>
      <c r="BT164" s="118"/>
      <c r="BU164" s="118"/>
      <c r="BV164" s="118"/>
      <c r="BW164" s="118"/>
      <c r="BX164" s="118"/>
      <c r="BY164" s="118"/>
      <c r="BZ164" s="118"/>
      <c r="CA164" s="118"/>
      <c r="CB164" s="118"/>
      <c r="CC164" s="118"/>
      <c r="CD164" s="118"/>
      <c r="CE164" s="118"/>
      <c r="CF164" s="118"/>
      <c r="CG164" s="118"/>
      <c r="CH164" s="118"/>
      <c r="CI164" s="118"/>
      <c r="CJ164" s="118"/>
      <c r="CK164" s="118"/>
      <c r="CL164" s="118"/>
      <c r="CM164" s="118"/>
      <c r="CN164" s="118"/>
      <c r="CO164" s="118"/>
      <c r="CP164" s="118"/>
      <c r="CQ164" s="118"/>
      <c r="CR164" s="118"/>
      <c r="CS164" s="118"/>
      <c r="CT164" s="118"/>
      <c r="CU164" s="118"/>
      <c r="CV164" s="118"/>
      <c r="CW164" s="118"/>
      <c r="CX164" s="118"/>
      <c r="CY164" s="118"/>
      <c r="CZ164" s="118"/>
    </row>
    <row r="165" spans="1:104" ht="13.3" thickBot="1" x14ac:dyDescent="0.4">
      <c r="A165" s="113"/>
      <c r="B165" s="118"/>
      <c r="C165" s="574"/>
      <c r="D165" s="534"/>
      <c r="E165" s="150"/>
      <c r="F165" s="150"/>
      <c r="G165" s="150"/>
      <c r="H165" s="150"/>
      <c r="I165" s="150"/>
      <c r="J165" s="150"/>
      <c r="K165" s="150"/>
      <c r="L165" s="118"/>
      <c r="M165" s="150"/>
      <c r="N165" s="150"/>
      <c r="O165" s="150"/>
      <c r="P165" s="150"/>
      <c r="Q165" s="150"/>
      <c r="R165" s="150"/>
      <c r="S165" s="150"/>
      <c r="T165" s="150"/>
      <c r="U165" s="150"/>
      <c r="V165" s="150"/>
      <c r="W165" s="150"/>
      <c r="X165" s="150"/>
      <c r="Y165" s="150"/>
      <c r="Z165" s="150"/>
      <c r="AA165" s="150"/>
      <c r="AB165" s="150"/>
      <c r="AC165" s="150"/>
      <c r="AD165" s="150"/>
      <c r="AE165" s="150"/>
      <c r="AF165" s="150"/>
      <c r="AG165" s="150"/>
      <c r="AH165" s="150"/>
      <c r="AI165" s="150"/>
      <c r="AJ165" s="150"/>
      <c r="AK165" s="150"/>
      <c r="AL165" s="150"/>
      <c r="AM165" s="150"/>
      <c r="AN165" s="150"/>
      <c r="AO165" s="150"/>
      <c r="AP165" s="150"/>
      <c r="AQ165" s="150"/>
      <c r="AR165" s="150"/>
      <c r="AS165" s="150"/>
      <c r="AT165" s="150"/>
      <c r="AU165" s="150"/>
      <c r="AV165" s="150"/>
      <c r="AW165" s="150"/>
      <c r="AX165" s="150"/>
      <c r="AY165" s="150"/>
      <c r="AZ165" s="150"/>
      <c r="BA165" s="150"/>
      <c r="BB165" s="150"/>
      <c r="BC165" s="150"/>
      <c r="BD165" s="150"/>
      <c r="BE165" s="150"/>
      <c r="BF165" s="150"/>
      <c r="BG165" s="150"/>
      <c r="BH165" s="150"/>
      <c r="BI165" s="150"/>
      <c r="BJ165" s="150"/>
      <c r="BK165" s="150"/>
      <c r="BL165" s="150"/>
      <c r="BM165" s="150"/>
      <c r="BN165" s="150"/>
      <c r="BO165" s="150"/>
      <c r="BP165" s="150"/>
      <c r="BQ165" s="150"/>
      <c r="BR165" s="150"/>
      <c r="BS165" s="150"/>
      <c r="BT165" s="150"/>
      <c r="BU165" s="150"/>
      <c r="BV165" s="150"/>
      <c r="BW165" s="150"/>
      <c r="BX165" s="150"/>
      <c r="BY165" s="150"/>
      <c r="BZ165" s="150"/>
      <c r="CA165" s="150"/>
      <c r="CB165" s="150"/>
      <c r="CC165" s="150"/>
      <c r="CD165" s="150"/>
      <c r="CE165" s="150"/>
      <c r="CF165" s="150"/>
      <c r="CG165" s="150"/>
      <c r="CH165" s="150"/>
      <c r="CI165" s="150"/>
      <c r="CJ165" s="150"/>
      <c r="CK165" s="150"/>
      <c r="CL165" s="150"/>
      <c r="CM165" s="150"/>
      <c r="CN165" s="150"/>
      <c r="CO165" s="150"/>
      <c r="CP165" s="150"/>
      <c r="CQ165" s="150"/>
      <c r="CR165" s="150"/>
      <c r="CS165" s="150"/>
      <c r="CT165" s="150"/>
      <c r="CU165" s="150"/>
      <c r="CV165" s="150"/>
      <c r="CW165" s="150"/>
      <c r="CX165" s="150"/>
      <c r="CY165" s="150"/>
      <c r="CZ165" s="150"/>
    </row>
    <row r="166" spans="1:104" x14ac:dyDescent="0.35">
      <c r="A166" s="113"/>
      <c r="B166" s="184" t="s">
        <v>605</v>
      </c>
      <c r="C166" s="487" t="s">
        <v>606</v>
      </c>
      <c r="D166" s="98"/>
      <c r="E166" s="148"/>
      <c r="F166" s="148"/>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c r="BI166" s="148"/>
      <c r="BJ166" s="148"/>
      <c r="BK166" s="148"/>
      <c r="BL166" s="148"/>
      <c r="BM166" s="148"/>
      <c r="BN166" s="148"/>
      <c r="BO166" s="148"/>
      <c r="BP166" s="148"/>
      <c r="BQ166" s="148"/>
      <c r="BR166" s="148"/>
      <c r="BS166" s="148"/>
      <c r="BT166" s="148"/>
      <c r="BU166" s="148"/>
      <c r="BV166" s="148"/>
      <c r="BW166" s="148"/>
      <c r="BX166" s="148"/>
      <c r="BY166" s="148"/>
      <c r="BZ166" s="148"/>
      <c r="CA166" s="148"/>
      <c r="CB166" s="148"/>
      <c r="CC166" s="148"/>
      <c r="CD166" s="148"/>
      <c r="CE166" s="148"/>
      <c r="CF166" s="148"/>
      <c r="CG166" s="148"/>
      <c r="CH166" s="148"/>
      <c r="CI166" s="148"/>
      <c r="CJ166" s="148"/>
      <c r="CK166" s="148"/>
      <c r="CL166" s="148"/>
      <c r="CM166" s="148"/>
      <c r="CN166" s="148"/>
      <c r="CO166" s="148"/>
      <c r="CP166" s="148"/>
      <c r="CQ166" s="148"/>
      <c r="CR166" s="148"/>
      <c r="CS166" s="148"/>
      <c r="CT166" s="148"/>
      <c r="CU166" s="148"/>
      <c r="CV166" s="148"/>
      <c r="CW166" s="148"/>
      <c r="CX166" s="148"/>
      <c r="CY166" s="148"/>
      <c r="CZ166" s="148"/>
    </row>
    <row r="167" spans="1:104" x14ac:dyDescent="0.35">
      <c r="A167" s="113"/>
      <c r="B167" s="184"/>
      <c r="C167" s="487"/>
      <c r="D167" s="98"/>
      <c r="E167" s="148"/>
      <c r="F167" s="148"/>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c r="BI167" s="148"/>
      <c r="BJ167" s="148"/>
      <c r="BK167" s="148"/>
      <c r="BL167" s="148"/>
      <c r="BM167" s="148"/>
      <c r="BN167" s="148"/>
      <c r="BO167" s="148"/>
      <c r="BP167" s="148"/>
      <c r="BQ167" s="148"/>
      <c r="BR167" s="148"/>
      <c r="BS167" s="148"/>
      <c r="BT167" s="148"/>
      <c r="BU167" s="148"/>
      <c r="BV167" s="148"/>
      <c r="BW167" s="148"/>
      <c r="BX167" s="148"/>
      <c r="BY167" s="148"/>
      <c r="BZ167" s="148"/>
      <c r="CA167" s="148"/>
      <c r="CB167" s="148"/>
      <c r="CC167" s="148"/>
      <c r="CD167" s="148"/>
      <c r="CE167" s="148"/>
      <c r="CF167" s="148"/>
      <c r="CG167" s="148"/>
      <c r="CH167" s="148"/>
      <c r="CI167" s="148"/>
      <c r="CJ167" s="148"/>
      <c r="CK167" s="148"/>
      <c r="CL167" s="148"/>
      <c r="CM167" s="148"/>
      <c r="CN167" s="148"/>
      <c r="CO167" s="148"/>
      <c r="CP167" s="148"/>
      <c r="CQ167" s="148"/>
      <c r="CR167" s="148"/>
      <c r="CS167" s="148"/>
      <c r="CT167" s="148"/>
      <c r="CU167" s="148"/>
      <c r="CV167" s="148"/>
      <c r="CW167" s="148"/>
      <c r="CX167" s="148"/>
      <c r="CY167" s="148"/>
      <c r="CZ167" s="148"/>
    </row>
    <row r="168" spans="1:104" x14ac:dyDescent="0.35">
      <c r="A168" s="113"/>
      <c r="B168" s="491"/>
      <c r="C168" s="126"/>
      <c r="D168" s="140" t="s">
        <v>158</v>
      </c>
      <c r="E168" s="569">
        <f>$E$60</f>
        <v>2056</v>
      </c>
      <c r="F168" s="569">
        <f>E168+1</f>
        <v>2057</v>
      </c>
      <c r="G168" s="569">
        <f t="shared" ref="G168:G169" si="292">F168+1</f>
        <v>2058</v>
      </c>
      <c r="H168" s="569">
        <f t="shared" ref="H168:H169" si="293">G168+1</f>
        <v>2059</v>
      </c>
      <c r="I168" s="569">
        <f t="shared" ref="I168:I169" si="294">H168+1</f>
        <v>2060</v>
      </c>
      <c r="J168" s="569">
        <f t="shared" ref="J168:J169" si="295">I168+1</f>
        <v>2061</v>
      </c>
      <c r="K168" s="569">
        <f t="shared" ref="K168:K169" si="296">J168+1</f>
        <v>2062</v>
      </c>
      <c r="L168" s="569">
        <f t="shared" ref="L168:L169" si="297">K168+1</f>
        <v>2063</v>
      </c>
      <c r="M168" s="569">
        <f t="shared" ref="M168:M169" si="298">L168+1</f>
        <v>2064</v>
      </c>
      <c r="N168" s="569">
        <f t="shared" ref="N168:N169" si="299">M168+1</f>
        <v>2065</v>
      </c>
      <c r="O168" s="569">
        <f t="shared" ref="O168:O169" si="300">N168+1</f>
        <v>2066</v>
      </c>
      <c r="P168" s="139">
        <f t="shared" ref="P168:P169" si="301">O168+1</f>
        <v>2067</v>
      </c>
      <c r="Q168" s="139">
        <f t="shared" ref="Q168:Q169" si="302">P168+1</f>
        <v>2068</v>
      </c>
      <c r="R168" s="139">
        <f t="shared" ref="R168:R169" si="303">Q168+1</f>
        <v>2069</v>
      </c>
      <c r="S168" s="139">
        <f t="shared" ref="S168:S169" si="304">R168+1</f>
        <v>2070</v>
      </c>
      <c r="T168" s="139">
        <f t="shared" ref="T168:T169" si="305">S168+1</f>
        <v>2071</v>
      </c>
      <c r="U168" s="139">
        <f t="shared" ref="U168:U169" si="306">T168+1</f>
        <v>2072</v>
      </c>
      <c r="V168" s="139">
        <f t="shared" ref="V168:V169" si="307">U168+1</f>
        <v>2073</v>
      </c>
      <c r="W168" s="139">
        <f t="shared" ref="W168:W169" si="308">V168+1</f>
        <v>2074</v>
      </c>
      <c r="X168" s="139">
        <f t="shared" ref="X168:X169" si="309">W168+1</f>
        <v>2075</v>
      </c>
      <c r="Y168" s="139">
        <f t="shared" ref="Y168:Y169" si="310">X168+1</f>
        <v>2076</v>
      </c>
      <c r="Z168" s="139">
        <f t="shared" ref="Z168:Z169" si="311">Y168+1</f>
        <v>2077</v>
      </c>
      <c r="AA168" s="139">
        <f t="shared" ref="AA168:AA169" si="312">Z168+1</f>
        <v>2078</v>
      </c>
      <c r="AB168" s="139">
        <f t="shared" ref="AB168:AB169" si="313">AA168+1</f>
        <v>2079</v>
      </c>
      <c r="AC168" s="139">
        <f t="shared" ref="AC168:AC169" si="314">AB168+1</f>
        <v>2080</v>
      </c>
      <c r="AD168" s="139">
        <f t="shared" ref="AD168:AD169" si="315">AC168+1</f>
        <v>2081</v>
      </c>
      <c r="AE168" s="139">
        <f t="shared" ref="AE168:AE169" si="316">AD168+1</f>
        <v>2082</v>
      </c>
      <c r="AF168" s="139">
        <f t="shared" ref="AF168:AF169" si="317">AE168+1</f>
        <v>2083</v>
      </c>
      <c r="AG168" s="139">
        <f t="shared" ref="AG168:AG169" si="318">AF168+1</f>
        <v>2084</v>
      </c>
      <c r="AH168" s="139">
        <f t="shared" ref="AH168:AH169" si="319">AG168+1</f>
        <v>2085</v>
      </c>
      <c r="AI168" s="139">
        <f t="shared" ref="AI168:AI169" si="320">AH168+1</f>
        <v>2086</v>
      </c>
      <c r="AJ168" s="139">
        <f t="shared" ref="AJ168:AJ169" si="321">AI168+1</f>
        <v>2087</v>
      </c>
      <c r="AK168" s="139">
        <f t="shared" ref="AK168:AK169" si="322">AJ168+1</f>
        <v>2088</v>
      </c>
      <c r="AL168" s="139">
        <f t="shared" ref="AL168:AL169" si="323">AK168+1</f>
        <v>2089</v>
      </c>
      <c r="AM168" s="139">
        <f t="shared" ref="AM168:AM169" si="324">AL168+1</f>
        <v>2090</v>
      </c>
      <c r="AN168" s="139">
        <f t="shared" ref="AN168:AN169" si="325">AM168+1</f>
        <v>2091</v>
      </c>
      <c r="AO168" s="139">
        <f t="shared" ref="AO168:AO169" si="326">AN168+1</f>
        <v>2092</v>
      </c>
      <c r="AP168" s="139">
        <f t="shared" ref="AP168:AP169" si="327">AO168+1</f>
        <v>2093</v>
      </c>
      <c r="AQ168" s="139">
        <f t="shared" ref="AQ168:AQ169" si="328">AP168+1</f>
        <v>2094</v>
      </c>
      <c r="AR168" s="139">
        <f t="shared" ref="AR168:AR169" si="329">AQ168+1</f>
        <v>2095</v>
      </c>
      <c r="AS168" s="139">
        <f t="shared" ref="AS168:AS169" si="330">AR168+1</f>
        <v>2096</v>
      </c>
      <c r="AT168" s="139">
        <f t="shared" ref="AT168:AT169" si="331">AS168+1</f>
        <v>2097</v>
      </c>
      <c r="AU168" s="139">
        <f t="shared" ref="AU168:AU169" si="332">AT168+1</f>
        <v>2098</v>
      </c>
      <c r="AV168" s="139">
        <f t="shared" ref="AV168:AV169" si="333">AU168+1</f>
        <v>2099</v>
      </c>
      <c r="AW168" s="139">
        <f t="shared" ref="AW168:AW169" si="334">AV168+1</f>
        <v>2100</v>
      </c>
      <c r="AX168" s="139">
        <f t="shared" ref="AX168:AX169" si="335">AW168+1</f>
        <v>2101</v>
      </c>
      <c r="AY168" s="139">
        <f t="shared" ref="AY168:AY169" si="336">AX168+1</f>
        <v>2102</v>
      </c>
      <c r="AZ168" s="139">
        <f t="shared" ref="AZ168:AZ169" si="337">AY168+1</f>
        <v>2103</v>
      </c>
      <c r="BA168" s="139">
        <f t="shared" ref="BA168:BA169" si="338">AZ168+1</f>
        <v>2104</v>
      </c>
      <c r="BB168" s="139">
        <f t="shared" ref="BB168:BB169" si="339">BA168+1</f>
        <v>2105</v>
      </c>
      <c r="BC168" s="139">
        <f t="shared" ref="BC168:BC169" si="340">BB168+1</f>
        <v>2106</v>
      </c>
      <c r="BD168" s="139">
        <f t="shared" ref="BD168:BD169" si="341">BC168+1</f>
        <v>2107</v>
      </c>
      <c r="BE168" s="139">
        <f t="shared" ref="BE168:BE169" si="342">BD168+1</f>
        <v>2108</v>
      </c>
      <c r="BF168" s="139">
        <f t="shared" ref="BF168:BF169" si="343">BE168+1</f>
        <v>2109</v>
      </c>
      <c r="BG168" s="139">
        <f t="shared" ref="BG168:BG169" si="344">BF168+1</f>
        <v>2110</v>
      </c>
      <c r="BH168" s="139">
        <f t="shared" ref="BH168:BH169" si="345">BG168+1</f>
        <v>2111</v>
      </c>
      <c r="BI168" s="139">
        <f t="shared" ref="BI168:BI169" si="346">BH168+1</f>
        <v>2112</v>
      </c>
      <c r="BJ168" s="139">
        <f t="shared" ref="BJ168:BJ169" si="347">BI168+1</f>
        <v>2113</v>
      </c>
      <c r="BK168" s="139">
        <f t="shared" ref="BK168:BK169" si="348">BJ168+1</f>
        <v>2114</v>
      </c>
      <c r="BL168" s="139">
        <f t="shared" ref="BL168:BL169" si="349">BK168+1</f>
        <v>2115</v>
      </c>
      <c r="BM168" s="139">
        <f t="shared" ref="BM168:BM169" si="350">BL168+1</f>
        <v>2116</v>
      </c>
      <c r="BN168" s="139">
        <f t="shared" ref="BN168:BN169" si="351">BM168+1</f>
        <v>2117</v>
      </c>
      <c r="BO168" s="139">
        <f t="shared" ref="BO168:BO169" si="352">BN168+1</f>
        <v>2118</v>
      </c>
      <c r="BP168" s="139">
        <f t="shared" ref="BP168:BP169" si="353">BO168+1</f>
        <v>2119</v>
      </c>
      <c r="BQ168" s="139">
        <f t="shared" ref="BQ168:BQ169" si="354">BP168+1</f>
        <v>2120</v>
      </c>
      <c r="BR168" s="139">
        <f t="shared" ref="BR168:BR169" si="355">BQ168+1</f>
        <v>2121</v>
      </c>
      <c r="BS168" s="139">
        <f t="shared" ref="BS168:BS169" si="356">BR168+1</f>
        <v>2122</v>
      </c>
      <c r="BT168" s="139">
        <f t="shared" ref="BT168:BT169" si="357">BS168+1</f>
        <v>2123</v>
      </c>
      <c r="BU168" s="139">
        <f t="shared" ref="BU168:BU169" si="358">BT168+1</f>
        <v>2124</v>
      </c>
      <c r="BV168" s="139">
        <f t="shared" ref="BV168:BV169" si="359">BU168+1</f>
        <v>2125</v>
      </c>
      <c r="BW168" s="139">
        <f t="shared" ref="BW168:BW169" si="360">BV168+1</f>
        <v>2126</v>
      </c>
      <c r="BX168" s="139">
        <f t="shared" ref="BX168:BX169" si="361">BW168+1</f>
        <v>2127</v>
      </c>
      <c r="BY168" s="139">
        <f t="shared" ref="BY168:BY169" si="362">BX168+1</f>
        <v>2128</v>
      </c>
      <c r="BZ168" s="139">
        <f t="shared" ref="BZ168:BZ169" si="363">BY168+1</f>
        <v>2129</v>
      </c>
      <c r="CA168" s="139">
        <f t="shared" ref="CA168:CA169" si="364">BZ168+1</f>
        <v>2130</v>
      </c>
      <c r="CB168" s="139">
        <f t="shared" ref="CB168:CB169" si="365">CA168+1</f>
        <v>2131</v>
      </c>
      <c r="CC168" s="139">
        <f t="shared" ref="CC168:CC169" si="366">CB168+1</f>
        <v>2132</v>
      </c>
      <c r="CD168" s="139">
        <f t="shared" ref="CD168:CD169" si="367">CC168+1</f>
        <v>2133</v>
      </c>
      <c r="CE168" s="139">
        <f t="shared" ref="CE168:CE169" si="368">CD168+1</f>
        <v>2134</v>
      </c>
      <c r="CF168" s="139">
        <f t="shared" ref="CF168:CF169" si="369">CE168+1</f>
        <v>2135</v>
      </c>
      <c r="CG168" s="139">
        <f t="shared" ref="CG168:CG169" si="370">CF168+1</f>
        <v>2136</v>
      </c>
      <c r="CH168" s="139">
        <f t="shared" ref="CH168:CH169" si="371">CG168+1</f>
        <v>2137</v>
      </c>
      <c r="CI168" s="139">
        <f t="shared" ref="CI168:CI169" si="372">CH168+1</f>
        <v>2138</v>
      </c>
      <c r="CJ168" s="139">
        <f t="shared" ref="CJ168:CJ169" si="373">CI168+1</f>
        <v>2139</v>
      </c>
      <c r="CK168" s="139">
        <f t="shared" ref="CK168:CK169" si="374">CJ168+1</f>
        <v>2140</v>
      </c>
      <c r="CL168" s="139">
        <f t="shared" ref="CL168:CL169" si="375">CK168+1</f>
        <v>2141</v>
      </c>
      <c r="CM168" s="139">
        <f t="shared" ref="CM168:CM169" si="376">CL168+1</f>
        <v>2142</v>
      </c>
      <c r="CN168" s="139">
        <f t="shared" ref="CN168:CN169" si="377">CM168+1</f>
        <v>2143</v>
      </c>
      <c r="CO168" s="139">
        <f t="shared" ref="CO168:CO169" si="378">CN168+1</f>
        <v>2144</v>
      </c>
      <c r="CP168" s="139">
        <f t="shared" ref="CP168:CP169" si="379">CO168+1</f>
        <v>2145</v>
      </c>
      <c r="CQ168" s="139">
        <f t="shared" ref="CQ168:CQ169" si="380">CP168+1</f>
        <v>2146</v>
      </c>
      <c r="CR168" s="139">
        <f t="shared" ref="CR168:CR169" si="381">CQ168+1</f>
        <v>2147</v>
      </c>
      <c r="CS168" s="139">
        <f t="shared" ref="CS168:CS169" si="382">CR168+1</f>
        <v>2148</v>
      </c>
      <c r="CT168" s="139">
        <f t="shared" ref="CT168:CT169" si="383">CS168+1</f>
        <v>2149</v>
      </c>
      <c r="CU168" s="139">
        <f t="shared" ref="CU168:CU169" si="384">CT168+1</f>
        <v>2150</v>
      </c>
      <c r="CV168" s="139">
        <f t="shared" ref="CV168:CV169" si="385">CU168+1</f>
        <v>2151</v>
      </c>
      <c r="CW168" s="139">
        <f t="shared" ref="CW168:CW169" si="386">CV168+1</f>
        <v>2152</v>
      </c>
      <c r="CX168" s="139">
        <f t="shared" ref="CX168:CX169" si="387">CW168+1</f>
        <v>2153</v>
      </c>
      <c r="CY168" s="139">
        <f t="shared" ref="CY168:CY169" si="388">CX168+1</f>
        <v>2154</v>
      </c>
      <c r="CZ168" s="139">
        <f t="shared" ref="CZ168:CZ169" si="389">CY168+1</f>
        <v>2155</v>
      </c>
    </row>
    <row r="169" spans="1:104" x14ac:dyDescent="0.35">
      <c r="A169" s="113"/>
      <c r="B169" s="117"/>
      <c r="C169" s="126"/>
      <c r="D169" s="141" t="s">
        <v>159</v>
      </c>
      <c r="E169" s="570">
        <v>1</v>
      </c>
      <c r="F169" s="570">
        <f>E169+1</f>
        <v>2</v>
      </c>
      <c r="G169" s="570">
        <f t="shared" si="292"/>
        <v>3</v>
      </c>
      <c r="H169" s="570">
        <f t="shared" si="293"/>
        <v>4</v>
      </c>
      <c r="I169" s="570">
        <f t="shared" si="294"/>
        <v>5</v>
      </c>
      <c r="J169" s="570">
        <f t="shared" si="295"/>
        <v>6</v>
      </c>
      <c r="K169" s="570">
        <f t="shared" si="296"/>
        <v>7</v>
      </c>
      <c r="L169" s="570">
        <f t="shared" si="297"/>
        <v>8</v>
      </c>
      <c r="M169" s="570">
        <f t="shared" si="298"/>
        <v>9</v>
      </c>
      <c r="N169" s="570">
        <f t="shared" si="299"/>
        <v>10</v>
      </c>
      <c r="O169" s="570">
        <f t="shared" si="300"/>
        <v>11</v>
      </c>
      <c r="P169" s="138">
        <f t="shared" si="301"/>
        <v>12</v>
      </c>
      <c r="Q169" s="138">
        <f t="shared" si="302"/>
        <v>13</v>
      </c>
      <c r="R169" s="138">
        <f t="shared" si="303"/>
        <v>14</v>
      </c>
      <c r="S169" s="138">
        <f t="shared" si="304"/>
        <v>15</v>
      </c>
      <c r="T169" s="138">
        <f t="shared" si="305"/>
        <v>16</v>
      </c>
      <c r="U169" s="138">
        <f t="shared" si="306"/>
        <v>17</v>
      </c>
      <c r="V169" s="138">
        <f t="shared" si="307"/>
        <v>18</v>
      </c>
      <c r="W169" s="138">
        <f t="shared" si="308"/>
        <v>19</v>
      </c>
      <c r="X169" s="138">
        <f t="shared" si="309"/>
        <v>20</v>
      </c>
      <c r="Y169" s="138">
        <f t="shared" si="310"/>
        <v>21</v>
      </c>
      <c r="Z169" s="138">
        <f t="shared" si="311"/>
        <v>22</v>
      </c>
      <c r="AA169" s="138">
        <f t="shared" si="312"/>
        <v>23</v>
      </c>
      <c r="AB169" s="138">
        <f t="shared" si="313"/>
        <v>24</v>
      </c>
      <c r="AC169" s="138">
        <f t="shared" si="314"/>
        <v>25</v>
      </c>
      <c r="AD169" s="138">
        <f t="shared" si="315"/>
        <v>26</v>
      </c>
      <c r="AE169" s="138">
        <f t="shared" si="316"/>
        <v>27</v>
      </c>
      <c r="AF169" s="138">
        <f t="shared" si="317"/>
        <v>28</v>
      </c>
      <c r="AG169" s="138">
        <f t="shared" si="318"/>
        <v>29</v>
      </c>
      <c r="AH169" s="138">
        <f t="shared" si="319"/>
        <v>30</v>
      </c>
      <c r="AI169" s="138">
        <f t="shared" si="320"/>
        <v>31</v>
      </c>
      <c r="AJ169" s="138">
        <f t="shared" si="321"/>
        <v>32</v>
      </c>
      <c r="AK169" s="138">
        <f t="shared" si="322"/>
        <v>33</v>
      </c>
      <c r="AL169" s="138">
        <f t="shared" si="323"/>
        <v>34</v>
      </c>
      <c r="AM169" s="138">
        <f t="shared" si="324"/>
        <v>35</v>
      </c>
      <c r="AN169" s="138">
        <f t="shared" si="325"/>
        <v>36</v>
      </c>
      <c r="AO169" s="138">
        <f t="shared" si="326"/>
        <v>37</v>
      </c>
      <c r="AP169" s="138">
        <f t="shared" si="327"/>
        <v>38</v>
      </c>
      <c r="AQ169" s="138">
        <f t="shared" si="328"/>
        <v>39</v>
      </c>
      <c r="AR169" s="138">
        <f t="shared" si="329"/>
        <v>40</v>
      </c>
      <c r="AS169" s="138">
        <f t="shared" si="330"/>
        <v>41</v>
      </c>
      <c r="AT169" s="138">
        <f t="shared" si="331"/>
        <v>42</v>
      </c>
      <c r="AU169" s="138">
        <f t="shared" si="332"/>
        <v>43</v>
      </c>
      <c r="AV169" s="138">
        <f t="shared" si="333"/>
        <v>44</v>
      </c>
      <c r="AW169" s="138">
        <f t="shared" si="334"/>
        <v>45</v>
      </c>
      <c r="AX169" s="138">
        <f t="shared" si="335"/>
        <v>46</v>
      </c>
      <c r="AY169" s="138">
        <f t="shared" si="336"/>
        <v>47</v>
      </c>
      <c r="AZ169" s="138">
        <f t="shared" si="337"/>
        <v>48</v>
      </c>
      <c r="BA169" s="138">
        <f t="shared" si="338"/>
        <v>49</v>
      </c>
      <c r="BB169" s="138">
        <f t="shared" si="339"/>
        <v>50</v>
      </c>
      <c r="BC169" s="138">
        <f t="shared" si="340"/>
        <v>51</v>
      </c>
      <c r="BD169" s="138">
        <f t="shared" si="341"/>
        <v>52</v>
      </c>
      <c r="BE169" s="138">
        <f t="shared" si="342"/>
        <v>53</v>
      </c>
      <c r="BF169" s="138">
        <f t="shared" si="343"/>
        <v>54</v>
      </c>
      <c r="BG169" s="138">
        <f t="shared" si="344"/>
        <v>55</v>
      </c>
      <c r="BH169" s="138">
        <f t="shared" si="345"/>
        <v>56</v>
      </c>
      <c r="BI169" s="138">
        <f t="shared" si="346"/>
        <v>57</v>
      </c>
      <c r="BJ169" s="138">
        <f t="shared" si="347"/>
        <v>58</v>
      </c>
      <c r="BK169" s="138">
        <f t="shared" si="348"/>
        <v>59</v>
      </c>
      <c r="BL169" s="138">
        <f t="shared" si="349"/>
        <v>60</v>
      </c>
      <c r="BM169" s="138">
        <f t="shared" si="350"/>
        <v>61</v>
      </c>
      <c r="BN169" s="138">
        <f t="shared" si="351"/>
        <v>62</v>
      </c>
      <c r="BO169" s="138">
        <f t="shared" si="352"/>
        <v>63</v>
      </c>
      <c r="BP169" s="138">
        <f t="shared" si="353"/>
        <v>64</v>
      </c>
      <c r="BQ169" s="138">
        <f t="shared" si="354"/>
        <v>65</v>
      </c>
      <c r="BR169" s="138">
        <f t="shared" si="355"/>
        <v>66</v>
      </c>
      <c r="BS169" s="138">
        <f t="shared" si="356"/>
        <v>67</v>
      </c>
      <c r="BT169" s="138">
        <f t="shared" si="357"/>
        <v>68</v>
      </c>
      <c r="BU169" s="138">
        <f t="shared" si="358"/>
        <v>69</v>
      </c>
      <c r="BV169" s="138">
        <f t="shared" si="359"/>
        <v>70</v>
      </c>
      <c r="BW169" s="138">
        <f t="shared" si="360"/>
        <v>71</v>
      </c>
      <c r="BX169" s="138">
        <f t="shared" si="361"/>
        <v>72</v>
      </c>
      <c r="BY169" s="138">
        <f t="shared" si="362"/>
        <v>73</v>
      </c>
      <c r="BZ169" s="138">
        <f t="shared" si="363"/>
        <v>74</v>
      </c>
      <c r="CA169" s="138">
        <f t="shared" si="364"/>
        <v>75</v>
      </c>
      <c r="CB169" s="138">
        <f t="shared" si="365"/>
        <v>76</v>
      </c>
      <c r="CC169" s="138">
        <f t="shared" si="366"/>
        <v>77</v>
      </c>
      <c r="CD169" s="138">
        <f t="shared" si="367"/>
        <v>78</v>
      </c>
      <c r="CE169" s="138">
        <f t="shared" si="368"/>
        <v>79</v>
      </c>
      <c r="CF169" s="138">
        <f t="shared" si="369"/>
        <v>80</v>
      </c>
      <c r="CG169" s="138">
        <f t="shared" si="370"/>
        <v>81</v>
      </c>
      <c r="CH169" s="138">
        <f t="shared" si="371"/>
        <v>82</v>
      </c>
      <c r="CI169" s="138">
        <f t="shared" si="372"/>
        <v>83</v>
      </c>
      <c r="CJ169" s="138">
        <f t="shared" si="373"/>
        <v>84</v>
      </c>
      <c r="CK169" s="138">
        <f t="shared" si="374"/>
        <v>85</v>
      </c>
      <c r="CL169" s="138">
        <f t="shared" si="375"/>
        <v>86</v>
      </c>
      <c r="CM169" s="138">
        <f t="shared" si="376"/>
        <v>87</v>
      </c>
      <c r="CN169" s="138">
        <f t="shared" si="377"/>
        <v>88</v>
      </c>
      <c r="CO169" s="138">
        <f t="shared" si="378"/>
        <v>89</v>
      </c>
      <c r="CP169" s="138">
        <f t="shared" si="379"/>
        <v>90</v>
      </c>
      <c r="CQ169" s="138">
        <f t="shared" si="380"/>
        <v>91</v>
      </c>
      <c r="CR169" s="138">
        <f t="shared" si="381"/>
        <v>92</v>
      </c>
      <c r="CS169" s="138">
        <f t="shared" si="382"/>
        <v>93</v>
      </c>
      <c r="CT169" s="138">
        <f t="shared" si="383"/>
        <v>94</v>
      </c>
      <c r="CU169" s="138">
        <f t="shared" si="384"/>
        <v>95</v>
      </c>
      <c r="CV169" s="138">
        <f t="shared" si="385"/>
        <v>96</v>
      </c>
      <c r="CW169" s="138">
        <f t="shared" si="386"/>
        <v>97</v>
      </c>
      <c r="CX169" s="138">
        <f t="shared" si="387"/>
        <v>98</v>
      </c>
      <c r="CY169" s="138">
        <f t="shared" si="388"/>
        <v>99</v>
      </c>
      <c r="CZ169" s="138">
        <f t="shared" si="389"/>
        <v>100</v>
      </c>
    </row>
    <row r="170" spans="1:104" x14ac:dyDescent="0.35">
      <c r="A170" s="113"/>
      <c r="B170" s="117"/>
      <c r="C170" s="126"/>
      <c r="D170" s="98"/>
      <c r="E170" s="148"/>
      <c r="F170" s="148"/>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c r="BI170" s="148"/>
      <c r="BJ170" s="148"/>
      <c r="BK170" s="148"/>
      <c r="BL170" s="148"/>
      <c r="BM170" s="148"/>
      <c r="BN170" s="148"/>
      <c r="BO170" s="148"/>
      <c r="BP170" s="148"/>
      <c r="BQ170" s="148"/>
      <c r="BR170" s="148"/>
      <c r="BS170" s="148"/>
      <c r="BT170" s="148"/>
      <c r="BU170" s="148"/>
      <c r="BV170" s="148"/>
      <c r="BW170" s="148"/>
      <c r="BX170" s="148"/>
      <c r="BY170" s="148"/>
      <c r="BZ170" s="148"/>
      <c r="CA170" s="148"/>
      <c r="CB170" s="148"/>
      <c r="CC170" s="148"/>
      <c r="CD170" s="148"/>
      <c r="CE170" s="148"/>
      <c r="CF170" s="148"/>
      <c r="CG170" s="148"/>
      <c r="CH170" s="148"/>
      <c r="CI170" s="148"/>
      <c r="CJ170" s="148"/>
      <c r="CK170" s="148"/>
      <c r="CL170" s="148"/>
      <c r="CM170" s="148"/>
      <c r="CN170" s="148"/>
      <c r="CO170" s="148"/>
      <c r="CP170" s="148"/>
      <c r="CQ170" s="148"/>
      <c r="CR170" s="148"/>
      <c r="CS170" s="148"/>
      <c r="CT170" s="148"/>
      <c r="CU170" s="148"/>
      <c r="CV170" s="148"/>
      <c r="CW170" s="148"/>
      <c r="CX170" s="148"/>
      <c r="CY170" s="148"/>
      <c r="CZ170" s="148"/>
    </row>
    <row r="171" spans="1:104" x14ac:dyDescent="0.35">
      <c r="A171" s="113"/>
      <c r="B171" s="117"/>
      <c r="C171" s="126"/>
      <c r="D171" s="98" t="s">
        <v>675</v>
      </c>
      <c r="E171" s="148">
        <f>E135*(1-$E$47)</f>
        <v>9659029.8313801195</v>
      </c>
      <c r="F171" s="148">
        <f>IF(E156="Oper Period",E171+F135*(1-$E$47)-E173,E171+F135*(1-$E$47)+E172)</f>
        <v>29492338.370370016</v>
      </c>
      <c r="G171" s="148">
        <f>IF(F156="Oper Period",F171+G135*(1-$E$47)-F173,F171+G135*(1-$E$47)+F172)</f>
        <v>60852364.804971449</v>
      </c>
      <c r="H171" s="148">
        <f>IF(G156="Oper Period",G171+H135*(1-$E$47)-G173,G171+H135*(1-$E$47)+G172)</f>
        <v>98838204.080716714</v>
      </c>
      <c r="I171" s="148">
        <f>IF(H156="Oper Period",H171+I135*(1-$E$47)-H173,H171+I135*(1-$E$47)+H172)</f>
        <v>104768496.32555972</v>
      </c>
      <c r="J171" s="148">
        <f>IF(I156="Oper Period",I171+J135*(1-$E$47)-I173,I171+J135*(1-$E$47)+I172)</f>
        <v>98558131.090701565</v>
      </c>
      <c r="K171" s="148">
        <f t="shared" ref="K171:BU171" si="390">IF(J156="Oper Period",J171+K135*(1-$E$47)-J173,J171+K135*(1-$E$47)+J172)</f>
        <v>91975143.941751927</v>
      </c>
      <c r="L171" s="148">
        <f t="shared" si="390"/>
        <v>84997177.563865304</v>
      </c>
      <c r="M171" s="148">
        <f t="shared" si="390"/>
        <v>77600533.203305483</v>
      </c>
      <c r="N171" s="148">
        <f t="shared" si="390"/>
        <v>69760090.181112066</v>
      </c>
      <c r="O171" s="148">
        <f t="shared" si="390"/>
        <v>61449220.577587053</v>
      </c>
      <c r="P171" s="148">
        <f t="shared" si="390"/>
        <v>52639698.797850534</v>
      </c>
      <c r="Q171" s="148">
        <f t="shared" si="390"/>
        <v>43301605.711329825</v>
      </c>
      <c r="R171" s="148">
        <f t="shared" si="390"/>
        <v>33403227.039617874</v>
      </c>
      <c r="S171" s="148">
        <f t="shared" si="390"/>
        <v>22910945.647603206</v>
      </c>
      <c r="T171" s="148">
        <f t="shared" si="390"/>
        <v>11789127.37206766</v>
      </c>
      <c r="U171" s="148">
        <f t="shared" si="390"/>
        <v>-1.862645149230957E-8</v>
      </c>
      <c r="V171" s="148">
        <f t="shared" si="390"/>
        <v>-1.9744038581848144E-8</v>
      </c>
      <c r="W171" s="148">
        <f t="shared" si="390"/>
        <v>-2.0928680896759031E-8</v>
      </c>
      <c r="X171" s="148">
        <f t="shared" si="390"/>
        <v>-2.2184401750564574E-8</v>
      </c>
      <c r="Y171" s="148">
        <f t="shared" si="390"/>
        <v>-2.3515465855598447E-8</v>
      </c>
      <c r="Z171" s="148">
        <f t="shared" si="390"/>
        <v>-2.4926393806934355E-8</v>
      </c>
      <c r="AA171" s="148">
        <f t="shared" si="390"/>
        <v>-2.6421977435350416E-8</v>
      </c>
      <c r="AB171" s="148">
        <f t="shared" si="390"/>
        <v>-2.8007296081471443E-8</v>
      </c>
      <c r="AC171" s="148">
        <f t="shared" si="390"/>
        <v>-2.968773384635973E-8</v>
      </c>
      <c r="AD171" s="148">
        <f t="shared" si="390"/>
        <v>-3.1468997877141314E-8</v>
      </c>
      <c r="AE171" s="148">
        <f t="shared" si="390"/>
        <v>-3.3357137749769795E-8</v>
      </c>
      <c r="AF171" s="148">
        <f t="shared" si="390"/>
        <v>-3.5358566014755982E-8</v>
      </c>
      <c r="AG171" s="148">
        <f t="shared" si="390"/>
        <v>-3.7480079975641339E-8</v>
      </c>
      <c r="AH171" s="148">
        <f>IF(AG156="Oper Period",AG171+AH135*(1-$E$47)-AG173,AG171+AH135*(1-$E$47)+AG172)</f>
        <v>-3.9728884774179816E-8</v>
      </c>
      <c r="AI171" s="148">
        <f>IF(AH156="Oper Period",AH171+AI135*(1-$E$47)-AH173,AH171+AI135*(1-$E$47)+AH172)</f>
        <v>-4.2112617860630607E-8</v>
      </c>
      <c r="AJ171" s="148">
        <f t="shared" si="390"/>
        <v>-4.4639374932268444E-8</v>
      </c>
      <c r="AK171" s="148">
        <f t="shared" si="390"/>
        <v>-4.7317737428204549E-8</v>
      </c>
      <c r="AL171" s="148">
        <f t="shared" si="390"/>
        <v>-5.0156801673896822E-8</v>
      </c>
      <c r="AM171" s="148">
        <f t="shared" si="390"/>
        <v>-5.3166209774330632E-8</v>
      </c>
      <c r="AN171" s="148">
        <f t="shared" si="390"/>
        <v>-5.6356182360790471E-8</v>
      </c>
      <c r="AO171" s="148">
        <f t="shared" si="390"/>
        <v>-5.97375533024379E-8</v>
      </c>
      <c r="AP171" s="148">
        <f t="shared" si="390"/>
        <v>-6.3321806500584177E-8</v>
      </c>
      <c r="AQ171" s="148">
        <f t="shared" si="390"/>
        <v>-6.7121114890619224E-8</v>
      </c>
      <c r="AR171" s="148">
        <f t="shared" si="390"/>
        <v>-7.114838178405638E-8</v>
      </c>
      <c r="AS171" s="148">
        <f t="shared" si="390"/>
        <v>-7.5417284691099758E-8</v>
      </c>
      <c r="AT171" s="148">
        <f t="shared" si="390"/>
        <v>-7.9942321772565743E-8</v>
      </c>
      <c r="AU171" s="148">
        <f t="shared" si="390"/>
        <v>-8.4738861078919688E-8</v>
      </c>
      <c r="AV171" s="148">
        <f t="shared" si="390"/>
        <v>-8.982319274365487E-8</v>
      </c>
      <c r="AW171" s="148">
        <f t="shared" si="390"/>
        <v>-9.5212584308274167E-8</v>
      </c>
      <c r="AX171" s="148">
        <f t="shared" si="390"/>
        <v>-1.0092533936677061E-7</v>
      </c>
      <c r="AY171" s="148">
        <f t="shared" si="390"/>
        <v>-1.0698085972877685E-7</v>
      </c>
      <c r="AZ171" s="148">
        <f t="shared" si="390"/>
        <v>-1.1339971131250347E-7</v>
      </c>
      <c r="BA171" s="148">
        <f t="shared" si="390"/>
        <v>-1.2020369399125368E-7</v>
      </c>
      <c r="BB171" s="148">
        <f t="shared" si="390"/>
        <v>-1.2741591563072891E-7</v>
      </c>
      <c r="BC171" s="148">
        <f t="shared" si="390"/>
        <v>-1.3506087056857264E-7</v>
      </c>
      <c r="BD171" s="148">
        <f t="shared" si="390"/>
        <v>-1.43164522802687E-7</v>
      </c>
      <c r="BE171" s="148">
        <f t="shared" si="390"/>
        <v>-1.5175439417084821E-7</v>
      </c>
      <c r="BF171" s="148">
        <f t="shared" si="390"/>
        <v>-1.608596578210991E-7</v>
      </c>
      <c r="BG171" s="148">
        <f t="shared" si="390"/>
        <v>-1.7051123729036504E-7</v>
      </c>
      <c r="BH171" s="148">
        <f t="shared" si="390"/>
        <v>-1.8074191152778693E-7</v>
      </c>
      <c r="BI171" s="148">
        <f t="shared" si="390"/>
        <v>-1.9158642621945416E-7</v>
      </c>
      <c r="BJ171" s="148">
        <f t="shared" si="390"/>
        <v>-2.0308161179262141E-7</v>
      </c>
      <c r="BK171" s="148">
        <f t="shared" si="390"/>
        <v>-2.1526650850017871E-7</v>
      </c>
      <c r="BL171" s="148">
        <f t="shared" si="390"/>
        <v>-2.2818249901018942E-7</v>
      </c>
      <c r="BM171" s="148">
        <f t="shared" si="390"/>
        <v>-2.4187344895080078E-7</v>
      </c>
      <c r="BN171" s="148">
        <f t="shared" si="390"/>
        <v>-2.5638585588784885E-7</v>
      </c>
      <c r="BO171" s="148">
        <f t="shared" si="390"/>
        <v>-2.7176900724111979E-7</v>
      </c>
      <c r="BP171" s="148">
        <f t="shared" si="390"/>
        <v>-2.8807514767558696E-7</v>
      </c>
      <c r="BQ171" s="148">
        <f t="shared" si="390"/>
        <v>-3.053596565361222E-7</v>
      </c>
      <c r="BR171" s="148">
        <f t="shared" si="390"/>
        <v>-3.2368123592828954E-7</v>
      </c>
      <c r="BS171" s="148">
        <f t="shared" si="390"/>
        <v>-3.4310211008398689E-7</v>
      </c>
      <c r="BT171" s="148">
        <f t="shared" si="390"/>
        <v>-3.636882366890261E-7</v>
      </c>
      <c r="BU171" s="148">
        <f t="shared" si="390"/>
        <v>-3.8550953089036769E-7</v>
      </c>
      <c r="BV171" s="148">
        <f t="shared" ref="BV171:CZ171" si="391">IF(BU156="Oper Period",BU171+BV135*(1-$E$47)-BU173,BU171+BV135*(1-$E$47)+BU172)</f>
        <v>-4.0864010274378973E-7</v>
      </c>
      <c r="BW171" s="148">
        <f t="shared" si="391"/>
        <v>-4.3315850890841709E-7</v>
      </c>
      <c r="BX171" s="148">
        <f t="shared" si="391"/>
        <v>-4.591480194429221E-7</v>
      </c>
      <c r="BY171" s="148">
        <f t="shared" si="391"/>
        <v>-4.866969006094974E-7</v>
      </c>
      <c r="BZ171" s="148">
        <f t="shared" si="391"/>
        <v>-5.1589871464606729E-7</v>
      </c>
      <c r="CA171" s="148">
        <f t="shared" si="391"/>
        <v>-5.4685263752483129E-7</v>
      </c>
      <c r="CB171" s="148">
        <f t="shared" si="391"/>
        <v>-5.7966379577632115E-7</v>
      </c>
      <c r="CC171" s="148">
        <f t="shared" si="391"/>
        <v>-6.1444362352290039E-7</v>
      </c>
      <c r="CD171" s="148">
        <f t="shared" si="391"/>
        <v>-6.5131024093427437E-7</v>
      </c>
      <c r="CE171" s="148">
        <f t="shared" si="391"/>
        <v>-6.9038885539033079E-7</v>
      </c>
      <c r="CF171" s="148">
        <f t="shared" si="391"/>
        <v>-7.3181218671375059E-7</v>
      </c>
      <c r="CG171" s="148">
        <f t="shared" si="391"/>
        <v>-7.7572091791657563E-7</v>
      </c>
      <c r="CH171" s="148">
        <f t="shared" si="391"/>
        <v>-8.2226417299157012E-7</v>
      </c>
      <c r="CI171" s="148">
        <f t="shared" si="391"/>
        <v>-8.716000233710643E-7</v>
      </c>
      <c r="CJ171" s="148">
        <f t="shared" si="391"/>
        <v>-9.238960247733282E-7</v>
      </c>
      <c r="CK171" s="148">
        <f t="shared" si="391"/>
        <v>-9.7932978625972798E-7</v>
      </c>
      <c r="CL171" s="148">
        <f t="shared" si="391"/>
        <v>-1.0380895734353117E-6</v>
      </c>
      <c r="CM171" s="148">
        <f t="shared" si="391"/>
        <v>-1.1003749478414304E-6</v>
      </c>
      <c r="CN171" s="148">
        <f t="shared" si="391"/>
        <v>-1.1663974447119162E-6</v>
      </c>
      <c r="CO171" s="148">
        <f t="shared" si="391"/>
        <v>-1.2363812913946311E-6</v>
      </c>
      <c r="CP171" s="148">
        <f t="shared" si="391"/>
        <v>-1.310564168878309E-6</v>
      </c>
      <c r="CQ171" s="148">
        <f t="shared" si="391"/>
        <v>-1.3891980190110075E-6</v>
      </c>
      <c r="CR171" s="148">
        <f t="shared" si="391"/>
        <v>-1.4725499001516679E-6</v>
      </c>
      <c r="CS171" s="148">
        <f t="shared" si="391"/>
        <v>-1.560902894160768E-6</v>
      </c>
      <c r="CT171" s="148">
        <f t="shared" si="391"/>
        <v>-1.654557067810414E-6</v>
      </c>
      <c r="CU171" s="148">
        <f t="shared" si="391"/>
        <v>-1.7538304918790389E-6</v>
      </c>
      <c r="CV171" s="148">
        <f t="shared" si="391"/>
        <v>-1.8590603213917812E-6</v>
      </c>
      <c r="CW171" s="148">
        <f t="shared" si="391"/>
        <v>-1.9706039406752883E-6</v>
      </c>
      <c r="CX171" s="148">
        <f t="shared" si="391"/>
        <v>-2.0888401771158057E-6</v>
      </c>
      <c r="CY171" s="148">
        <f t="shared" si="391"/>
        <v>-2.2141705877427539E-6</v>
      </c>
      <c r="CZ171" s="148">
        <f t="shared" si="391"/>
        <v>-2.3470208230073192E-6</v>
      </c>
    </row>
    <row r="172" spans="1:104" x14ac:dyDescent="0.35">
      <c r="A172" s="113"/>
      <c r="B172" s="117"/>
      <c r="C172" s="126"/>
      <c r="D172" s="98" t="s">
        <v>676</v>
      </c>
      <c r="E172" s="148">
        <f t="shared" ref="E172:AJ172" si="392">$E$49*E171</f>
        <v>579541.78988280718</v>
      </c>
      <c r="F172" s="148">
        <f t="shared" si="392"/>
        <v>1769540.3022222009</v>
      </c>
      <c r="G172" s="148">
        <f t="shared" si="392"/>
        <v>3651141.8882982866</v>
      </c>
      <c r="H172" s="148">
        <f t="shared" si="392"/>
        <v>5930292.2448430024</v>
      </c>
      <c r="I172" s="148">
        <f t="shared" si="392"/>
        <v>6286109.7795335827</v>
      </c>
      <c r="J172" s="148">
        <f t="shared" si="392"/>
        <v>5913487.8654420935</v>
      </c>
      <c r="K172" s="148">
        <f t="shared" si="392"/>
        <v>5518508.6365051158</v>
      </c>
      <c r="L172" s="148">
        <f t="shared" si="392"/>
        <v>5099830.6538319178</v>
      </c>
      <c r="M172" s="148">
        <f t="shared" si="392"/>
        <v>4656031.9921983285</v>
      </c>
      <c r="N172" s="148">
        <f t="shared" si="392"/>
        <v>4185605.4108667239</v>
      </c>
      <c r="O172" s="148">
        <f t="shared" si="392"/>
        <v>3686953.2346552229</v>
      </c>
      <c r="P172" s="148">
        <f t="shared" si="392"/>
        <v>3158381.9278710322</v>
      </c>
      <c r="Q172" s="148">
        <f t="shared" si="392"/>
        <v>2598096.3426797893</v>
      </c>
      <c r="R172" s="148">
        <f t="shared" si="392"/>
        <v>2004193.6223770725</v>
      </c>
      <c r="S172" s="148">
        <f t="shared" si="392"/>
        <v>1374656.7388561924</v>
      </c>
      <c r="T172" s="148">
        <f t="shared" si="392"/>
        <v>707347.64232405962</v>
      </c>
      <c r="U172" s="148">
        <f t="shared" si="392"/>
        <v>-1.1175870895385742E-9</v>
      </c>
      <c r="V172" s="148">
        <f t="shared" si="392"/>
        <v>-1.1846423149108887E-9</v>
      </c>
      <c r="W172" s="148">
        <f t="shared" si="392"/>
        <v>-1.2557208538055418E-9</v>
      </c>
      <c r="X172" s="148">
        <f t="shared" si="392"/>
        <v>-1.3310641050338744E-9</v>
      </c>
      <c r="Y172" s="148">
        <f t="shared" si="392"/>
        <v>-1.4109279513359068E-9</v>
      </c>
      <c r="Z172" s="148">
        <f t="shared" si="392"/>
        <v>-1.4955836284160612E-9</v>
      </c>
      <c r="AA172" s="148">
        <f t="shared" si="392"/>
        <v>-1.5853186461210249E-9</v>
      </c>
      <c r="AB172" s="148">
        <f t="shared" si="392"/>
        <v>-1.6804377648882865E-9</v>
      </c>
      <c r="AC172" s="148">
        <f t="shared" si="392"/>
        <v>-1.7812640307815838E-9</v>
      </c>
      <c r="AD172" s="148">
        <f t="shared" si="392"/>
        <v>-1.8881398726284786E-9</v>
      </c>
      <c r="AE172" s="148">
        <f t="shared" si="392"/>
        <v>-2.0014282649861875E-9</v>
      </c>
      <c r="AF172" s="148">
        <f t="shared" si="392"/>
        <v>-2.121513960885359E-9</v>
      </c>
      <c r="AG172" s="148">
        <f t="shared" si="392"/>
        <v>-2.2488047985384804E-9</v>
      </c>
      <c r="AH172" s="148">
        <f t="shared" si="392"/>
        <v>-2.3837330864507888E-9</v>
      </c>
      <c r="AI172" s="148">
        <f t="shared" si="392"/>
        <v>-2.5267570716378363E-9</v>
      </c>
      <c r="AJ172" s="148">
        <f t="shared" si="392"/>
        <v>-2.6783624959361065E-9</v>
      </c>
      <c r="AK172" s="148">
        <f t="shared" ref="AK172:BP172" si="393">$E$49*AK171</f>
        <v>-2.8390642456922729E-9</v>
      </c>
      <c r="AL172" s="148">
        <f t="shared" si="393"/>
        <v>-3.0094081004338092E-9</v>
      </c>
      <c r="AM172" s="148">
        <f t="shared" si="393"/>
        <v>-3.1899725864598378E-9</v>
      </c>
      <c r="AN172" s="148">
        <f t="shared" si="393"/>
        <v>-3.3813709416474281E-9</v>
      </c>
      <c r="AO172" s="148">
        <f t="shared" si="393"/>
        <v>-3.5842531981462739E-9</v>
      </c>
      <c r="AP172" s="148">
        <f t="shared" si="393"/>
        <v>-3.7993083900350508E-9</v>
      </c>
      <c r="AQ172" s="148">
        <f t="shared" si="393"/>
        <v>-4.0272668934371533E-9</v>
      </c>
      <c r="AR172" s="148">
        <f t="shared" si="393"/>
        <v>-4.2689029070433831E-9</v>
      </c>
      <c r="AS172" s="148">
        <f t="shared" si="393"/>
        <v>-4.5250370814659855E-9</v>
      </c>
      <c r="AT172" s="148">
        <f t="shared" si="393"/>
        <v>-4.7965393063539443E-9</v>
      </c>
      <c r="AU172" s="148">
        <f t="shared" si="393"/>
        <v>-5.0843316647351813E-9</v>
      </c>
      <c r="AV172" s="148">
        <f t="shared" si="393"/>
        <v>-5.3893915646192918E-9</v>
      </c>
      <c r="AW172" s="148">
        <f t="shared" si="393"/>
        <v>-5.7127550584964495E-9</v>
      </c>
      <c r="AX172" s="148">
        <f t="shared" si="393"/>
        <v>-6.0555203620062361E-9</v>
      </c>
      <c r="AY172" s="148">
        <f t="shared" si="393"/>
        <v>-6.4188515837266112E-9</v>
      </c>
      <c r="AZ172" s="148">
        <f t="shared" si="393"/>
        <v>-6.8039826787502077E-9</v>
      </c>
      <c r="BA172" s="148">
        <f t="shared" si="393"/>
        <v>-7.2122216394752209E-9</v>
      </c>
      <c r="BB172" s="148">
        <f t="shared" si="393"/>
        <v>-7.6449549378437352E-9</v>
      </c>
      <c r="BC172" s="148">
        <f t="shared" si="393"/>
        <v>-8.1036522341143588E-9</v>
      </c>
      <c r="BD172" s="148">
        <f t="shared" si="393"/>
        <v>-8.5898713681612192E-9</v>
      </c>
      <c r="BE172" s="148">
        <f t="shared" si="393"/>
        <v>-9.1052636502508921E-9</v>
      </c>
      <c r="BF172" s="148">
        <f t="shared" si="393"/>
        <v>-9.6515794692659465E-9</v>
      </c>
      <c r="BG172" s="148">
        <f t="shared" si="393"/>
        <v>-1.0230674237421902E-8</v>
      </c>
      <c r="BH172" s="148">
        <f t="shared" si="393"/>
        <v>-1.0844514691667215E-8</v>
      </c>
      <c r="BI172" s="148">
        <f t="shared" si="393"/>
        <v>-1.149518557316725E-8</v>
      </c>
      <c r="BJ172" s="148">
        <f t="shared" si="393"/>
        <v>-1.2184896707557284E-8</v>
      </c>
      <c r="BK172" s="148">
        <f t="shared" si="393"/>
        <v>-1.2915990510010722E-8</v>
      </c>
      <c r="BL172" s="148">
        <f t="shared" si="393"/>
        <v>-1.3690949940611364E-8</v>
      </c>
      <c r="BM172" s="148">
        <f t="shared" si="393"/>
        <v>-1.4512406937048047E-8</v>
      </c>
      <c r="BN172" s="148">
        <f t="shared" si="393"/>
        <v>-1.5383151353270931E-8</v>
      </c>
      <c r="BO172" s="148">
        <f t="shared" si="393"/>
        <v>-1.6306140434467186E-8</v>
      </c>
      <c r="BP172" s="148">
        <f t="shared" si="393"/>
        <v>-1.7284508860535216E-8</v>
      </c>
      <c r="BQ172" s="148">
        <f t="shared" ref="BQ172:CV172" si="394">$E$49*BQ171</f>
        <v>-1.8321579392167333E-8</v>
      </c>
      <c r="BR172" s="148">
        <f t="shared" si="394"/>
        <v>-1.9420874155697373E-8</v>
      </c>
      <c r="BS172" s="148">
        <f t="shared" si="394"/>
        <v>-2.0586126605039211E-8</v>
      </c>
      <c r="BT172" s="148">
        <f t="shared" si="394"/>
        <v>-2.1821294201341566E-8</v>
      </c>
      <c r="BU172" s="148">
        <f t="shared" si="394"/>
        <v>-2.313057185342206E-8</v>
      </c>
      <c r="BV172" s="148">
        <f t="shared" si="394"/>
        <v>-2.4518406164627383E-8</v>
      </c>
      <c r="BW172" s="148">
        <f t="shared" si="394"/>
        <v>-2.5989510534505023E-8</v>
      </c>
      <c r="BX172" s="148">
        <f t="shared" si="394"/>
        <v>-2.7548881166575325E-8</v>
      </c>
      <c r="BY172" s="148">
        <f t="shared" si="394"/>
        <v>-2.9201814036569843E-8</v>
      </c>
      <c r="BZ172" s="148">
        <f t="shared" si="394"/>
        <v>-3.0953922878764034E-8</v>
      </c>
      <c r="CA172" s="148">
        <f t="shared" si="394"/>
        <v>-3.2811158251489878E-8</v>
      </c>
      <c r="CB172" s="148">
        <f t="shared" si="394"/>
        <v>-3.4779827746579266E-8</v>
      </c>
      <c r="CC172" s="148">
        <f t="shared" si="394"/>
        <v>-3.686661741137402E-8</v>
      </c>
      <c r="CD172" s="148">
        <f t="shared" si="394"/>
        <v>-3.907861445605646E-8</v>
      </c>
      <c r="CE172" s="148">
        <f t="shared" si="394"/>
        <v>-4.1423331323419847E-8</v>
      </c>
      <c r="CF172" s="148">
        <f t="shared" si="394"/>
        <v>-4.3908731202825034E-8</v>
      </c>
      <c r="CG172" s="148">
        <f t="shared" si="394"/>
        <v>-4.6543255074994537E-8</v>
      </c>
      <c r="CH172" s="148">
        <f t="shared" si="394"/>
        <v>-4.9335850379494204E-8</v>
      </c>
      <c r="CI172" s="148">
        <f t="shared" si="394"/>
        <v>-5.2296001402263859E-8</v>
      </c>
      <c r="CJ172" s="148">
        <f t="shared" si="394"/>
        <v>-5.5433761486399689E-8</v>
      </c>
      <c r="CK172" s="148">
        <f t="shared" si="394"/>
        <v>-5.8759787175583676E-8</v>
      </c>
      <c r="CL172" s="148">
        <f t="shared" si="394"/>
        <v>-6.2285374406118693E-8</v>
      </c>
      <c r="CM172" s="148">
        <f t="shared" si="394"/>
        <v>-6.6022496870485827E-8</v>
      </c>
      <c r="CN172" s="148">
        <f t="shared" si="394"/>
        <v>-6.9983846682714972E-8</v>
      </c>
      <c r="CO172" s="148">
        <f t="shared" si="394"/>
        <v>-7.4182877483677863E-8</v>
      </c>
      <c r="CP172" s="148">
        <f t="shared" si="394"/>
        <v>-7.8633850132698537E-8</v>
      </c>
      <c r="CQ172" s="148">
        <f t="shared" si="394"/>
        <v>-8.3351881140660445E-8</v>
      </c>
      <c r="CR172" s="148">
        <f t="shared" si="394"/>
        <v>-8.8352994009100074E-8</v>
      </c>
      <c r="CS172" s="148">
        <f t="shared" si="394"/>
        <v>-9.3654173649646072E-8</v>
      </c>
      <c r="CT172" s="148">
        <f t="shared" si="394"/>
        <v>-9.9273424068624844E-8</v>
      </c>
      <c r="CU172" s="148">
        <f t="shared" si="394"/>
        <v>-1.0522982951274233E-7</v>
      </c>
      <c r="CV172" s="148">
        <f t="shared" si="394"/>
        <v>-1.1154361928350687E-7</v>
      </c>
      <c r="CW172" s="148">
        <f t="shared" ref="CW172:CZ172" si="395">$E$49*CW171</f>
        <v>-1.1823623644051729E-7</v>
      </c>
      <c r="CX172" s="148">
        <f t="shared" si="395"/>
        <v>-1.2533041062694833E-7</v>
      </c>
      <c r="CY172" s="148">
        <f t="shared" si="395"/>
        <v>-1.3285023526456524E-7</v>
      </c>
      <c r="CZ172" s="148">
        <f t="shared" si="395"/>
        <v>-1.4082124938043915E-7</v>
      </c>
    </row>
    <row r="173" spans="1:104" x14ac:dyDescent="0.35">
      <c r="A173" s="113"/>
      <c r="B173" s="117"/>
      <c r="C173" s="126"/>
      <c r="D173" s="98" t="s">
        <v>677</v>
      </c>
      <c r="E173" s="148">
        <f t="shared" ref="E173:G173" si="396">IF(AND(E156="Oper Period",D156="NA"),-PMT($E$49,$E$62,(E171))-E172,IF(AND(E156="Oper Period",D156="Oper Period"),(D172+D173)-E172,0))</f>
        <v>0</v>
      </c>
      <c r="F173" s="148">
        <f t="shared" si="396"/>
        <v>0</v>
      </c>
      <c r="G173" s="148">
        <f t="shared" si="396"/>
        <v>0</v>
      </c>
      <c r="H173" s="148">
        <f>IF(AND(H156="Oper Period",G156="NA"),-PMT($E$49,$E$62,(H171))-H172,IF(AND(H156="Oper Period",G156="Oper Period"),(G172+G173)-H172,0))</f>
        <v>0</v>
      </c>
      <c r="I173" s="148">
        <f>IF(AND(I156="Oper Period",H156="NA"),-PMT($E$49,$E$62,(I171))-I172,IF(AND(I156="Oper Period",H156="Oper Period"),(H172+H173)-I172,0))</f>
        <v>6210365.2348581562</v>
      </c>
      <c r="J173" s="148">
        <f>IF(AND(J156="Oper Period",I156="NA"),-PMT($E$49,$E$62,(J171))-J172,IF(AND(J156="Oper Period",I156="Oper Period"),(I172+I173)-J172,0))</f>
        <v>6582987.1489496455</v>
      </c>
      <c r="K173" s="148">
        <f>IF(AND(K156="Oper Period",J156="NA"),-PMT($E$49,$E$62,(K171))-K172,IF(AND(K156="Oper Period",J156="Oper Period"),(J172+J173)-K172,0))</f>
        <v>6977966.3778866231</v>
      </c>
      <c r="L173" s="148">
        <f t="shared" ref="L173:BW173" si="397">IF(AND(L156="Oper Period",K156="NA"),-PMT($E$49,$E$62,(L171))-L172,IF(AND(L156="Oper Period",K156="Oper Period"),(K172+K173)-L172,0))</f>
        <v>7396644.3605598211</v>
      </c>
      <c r="M173" s="148">
        <f t="shared" si="397"/>
        <v>7840443.0221934104</v>
      </c>
      <c r="N173" s="148">
        <f t="shared" si="397"/>
        <v>8310869.6035250146</v>
      </c>
      <c r="O173" s="148">
        <f t="shared" si="397"/>
        <v>8809521.7797365151</v>
      </c>
      <c r="P173" s="148">
        <f t="shared" si="397"/>
        <v>9338093.0865207072</v>
      </c>
      <c r="Q173" s="148">
        <f t="shared" si="397"/>
        <v>9898378.6717119496</v>
      </c>
      <c r="R173" s="148">
        <f t="shared" si="397"/>
        <v>10492281.392014667</v>
      </c>
      <c r="S173" s="148">
        <f t="shared" si="397"/>
        <v>11121818.275535546</v>
      </c>
      <c r="T173" s="148">
        <f t="shared" si="397"/>
        <v>11789127.372067679</v>
      </c>
      <c r="U173" s="148">
        <f t="shared" si="397"/>
        <v>0</v>
      </c>
      <c r="V173" s="148">
        <f t="shared" si="397"/>
        <v>0</v>
      </c>
      <c r="W173" s="148">
        <f t="shared" si="397"/>
        <v>0</v>
      </c>
      <c r="X173" s="148">
        <f t="shared" si="397"/>
        <v>0</v>
      </c>
      <c r="Y173" s="148">
        <f t="shared" si="397"/>
        <v>0</v>
      </c>
      <c r="Z173" s="148">
        <f t="shared" si="397"/>
        <v>0</v>
      </c>
      <c r="AA173" s="148">
        <f t="shared" si="397"/>
        <v>0</v>
      </c>
      <c r="AB173" s="148">
        <f t="shared" si="397"/>
        <v>0</v>
      </c>
      <c r="AC173" s="148">
        <f t="shared" si="397"/>
        <v>0</v>
      </c>
      <c r="AD173" s="148">
        <f t="shared" si="397"/>
        <v>0</v>
      </c>
      <c r="AE173" s="148">
        <f t="shared" si="397"/>
        <v>0</v>
      </c>
      <c r="AF173" s="148">
        <f t="shared" si="397"/>
        <v>0</v>
      </c>
      <c r="AG173" s="148">
        <f t="shared" si="397"/>
        <v>0</v>
      </c>
      <c r="AH173" s="148">
        <f t="shared" si="397"/>
        <v>0</v>
      </c>
      <c r="AI173" s="148">
        <f t="shared" si="397"/>
        <v>0</v>
      </c>
      <c r="AJ173" s="148">
        <f t="shared" si="397"/>
        <v>0</v>
      </c>
      <c r="AK173" s="148">
        <f t="shared" si="397"/>
        <v>0</v>
      </c>
      <c r="AL173" s="148">
        <f t="shared" si="397"/>
        <v>0</v>
      </c>
      <c r="AM173" s="148">
        <f t="shared" si="397"/>
        <v>0</v>
      </c>
      <c r="AN173" s="148">
        <f t="shared" si="397"/>
        <v>0</v>
      </c>
      <c r="AO173" s="148">
        <f t="shared" si="397"/>
        <v>0</v>
      </c>
      <c r="AP173" s="148">
        <f t="shared" si="397"/>
        <v>0</v>
      </c>
      <c r="AQ173" s="148">
        <f t="shared" si="397"/>
        <v>0</v>
      </c>
      <c r="AR173" s="148">
        <f t="shared" si="397"/>
        <v>0</v>
      </c>
      <c r="AS173" s="148">
        <f t="shared" si="397"/>
        <v>0</v>
      </c>
      <c r="AT173" s="148">
        <f t="shared" si="397"/>
        <v>0</v>
      </c>
      <c r="AU173" s="148">
        <f t="shared" si="397"/>
        <v>0</v>
      </c>
      <c r="AV173" s="148">
        <f t="shared" si="397"/>
        <v>0</v>
      </c>
      <c r="AW173" s="148">
        <f t="shared" si="397"/>
        <v>0</v>
      </c>
      <c r="AX173" s="148">
        <f t="shared" si="397"/>
        <v>0</v>
      </c>
      <c r="AY173" s="148">
        <f t="shared" si="397"/>
        <v>0</v>
      </c>
      <c r="AZ173" s="148">
        <f t="shared" si="397"/>
        <v>0</v>
      </c>
      <c r="BA173" s="148">
        <f t="shared" si="397"/>
        <v>0</v>
      </c>
      <c r="BB173" s="148">
        <f t="shared" si="397"/>
        <v>0</v>
      </c>
      <c r="BC173" s="148">
        <f t="shared" si="397"/>
        <v>0</v>
      </c>
      <c r="BD173" s="148">
        <f t="shared" si="397"/>
        <v>0</v>
      </c>
      <c r="BE173" s="148">
        <f t="shared" si="397"/>
        <v>0</v>
      </c>
      <c r="BF173" s="148">
        <f t="shared" si="397"/>
        <v>0</v>
      </c>
      <c r="BG173" s="148">
        <f t="shared" si="397"/>
        <v>0</v>
      </c>
      <c r="BH173" s="148">
        <f t="shared" si="397"/>
        <v>0</v>
      </c>
      <c r="BI173" s="148">
        <f t="shared" si="397"/>
        <v>0</v>
      </c>
      <c r="BJ173" s="148">
        <f t="shared" si="397"/>
        <v>0</v>
      </c>
      <c r="BK173" s="148">
        <f t="shared" si="397"/>
        <v>0</v>
      </c>
      <c r="BL173" s="148">
        <f t="shared" si="397"/>
        <v>0</v>
      </c>
      <c r="BM173" s="148">
        <f t="shared" si="397"/>
        <v>0</v>
      </c>
      <c r="BN173" s="148">
        <f t="shared" si="397"/>
        <v>0</v>
      </c>
      <c r="BO173" s="148">
        <f t="shared" si="397"/>
        <v>0</v>
      </c>
      <c r="BP173" s="148">
        <f t="shared" si="397"/>
        <v>0</v>
      </c>
      <c r="BQ173" s="148">
        <f t="shared" si="397"/>
        <v>0</v>
      </c>
      <c r="BR173" s="148">
        <f t="shared" si="397"/>
        <v>0</v>
      </c>
      <c r="BS173" s="148">
        <f t="shared" si="397"/>
        <v>0</v>
      </c>
      <c r="BT173" s="148">
        <f t="shared" si="397"/>
        <v>0</v>
      </c>
      <c r="BU173" s="148">
        <f t="shared" si="397"/>
        <v>0</v>
      </c>
      <c r="BV173" s="148">
        <f t="shared" si="397"/>
        <v>0</v>
      </c>
      <c r="BW173" s="148">
        <f t="shared" si="397"/>
        <v>0</v>
      </c>
      <c r="BX173" s="148">
        <f t="shared" ref="BX173:CZ173" si="398">IF(AND(BX156="Oper Period",BW156="NA"),-PMT($E$49,$E$62,(BX171))-BX172,IF(AND(BX156="Oper Period",BW156="Oper Period"),(BW172+BW173)-BX172,0))</f>
        <v>0</v>
      </c>
      <c r="BY173" s="148">
        <f t="shared" si="398"/>
        <v>0</v>
      </c>
      <c r="BZ173" s="148">
        <f t="shared" si="398"/>
        <v>0</v>
      </c>
      <c r="CA173" s="148">
        <f t="shared" si="398"/>
        <v>0</v>
      </c>
      <c r="CB173" s="148">
        <f t="shared" si="398"/>
        <v>0</v>
      </c>
      <c r="CC173" s="148">
        <f t="shared" si="398"/>
        <v>0</v>
      </c>
      <c r="CD173" s="148">
        <f t="shared" si="398"/>
        <v>0</v>
      </c>
      <c r="CE173" s="148">
        <f t="shared" si="398"/>
        <v>0</v>
      </c>
      <c r="CF173" s="148">
        <f t="shared" si="398"/>
        <v>0</v>
      </c>
      <c r="CG173" s="148">
        <f t="shared" si="398"/>
        <v>0</v>
      </c>
      <c r="CH173" s="148">
        <f t="shared" si="398"/>
        <v>0</v>
      </c>
      <c r="CI173" s="148">
        <f t="shared" si="398"/>
        <v>0</v>
      </c>
      <c r="CJ173" s="148">
        <f t="shared" si="398"/>
        <v>0</v>
      </c>
      <c r="CK173" s="148">
        <f t="shared" si="398"/>
        <v>0</v>
      </c>
      <c r="CL173" s="148">
        <f t="shared" si="398"/>
        <v>0</v>
      </c>
      <c r="CM173" s="148">
        <f t="shared" si="398"/>
        <v>0</v>
      </c>
      <c r="CN173" s="148">
        <f t="shared" si="398"/>
        <v>0</v>
      </c>
      <c r="CO173" s="148">
        <f t="shared" si="398"/>
        <v>0</v>
      </c>
      <c r="CP173" s="148">
        <f t="shared" si="398"/>
        <v>0</v>
      </c>
      <c r="CQ173" s="148">
        <f t="shared" si="398"/>
        <v>0</v>
      </c>
      <c r="CR173" s="148">
        <f t="shared" si="398"/>
        <v>0</v>
      </c>
      <c r="CS173" s="148">
        <f t="shared" si="398"/>
        <v>0</v>
      </c>
      <c r="CT173" s="148">
        <f t="shared" si="398"/>
        <v>0</v>
      </c>
      <c r="CU173" s="148">
        <f t="shared" si="398"/>
        <v>0</v>
      </c>
      <c r="CV173" s="148">
        <f t="shared" si="398"/>
        <v>0</v>
      </c>
      <c r="CW173" s="148">
        <f t="shared" si="398"/>
        <v>0</v>
      </c>
      <c r="CX173" s="148">
        <f t="shared" si="398"/>
        <v>0</v>
      </c>
      <c r="CY173" s="148">
        <f t="shared" si="398"/>
        <v>0</v>
      </c>
      <c r="CZ173" s="148">
        <f t="shared" si="398"/>
        <v>0</v>
      </c>
    </row>
    <row r="174" spans="1:104" ht="13.3" thickBot="1" x14ac:dyDescent="0.4">
      <c r="A174" s="113"/>
      <c r="B174" s="489"/>
      <c r="C174" s="443"/>
      <c r="D174" s="421" t="s">
        <v>678</v>
      </c>
      <c r="E174" s="575" t="str">
        <f>IF(E156="Oper Period",(E181-E183)/(E172+E173),"NA")</f>
        <v>NA</v>
      </c>
      <c r="F174" s="575" t="str">
        <f t="shared" ref="F174:O174" si="399">IF(F156="Oper Period",(F181-F183)/(F172+F173),"NA")</f>
        <v>NA</v>
      </c>
      <c r="G174" s="575" t="str">
        <f t="shared" si="399"/>
        <v>NA</v>
      </c>
      <c r="H174" s="575" t="str">
        <f t="shared" si="399"/>
        <v>NA</v>
      </c>
      <c r="I174" s="575">
        <f t="shared" si="399"/>
        <v>2.4372625854481336</v>
      </c>
      <c r="J174" s="575">
        <f t="shared" si="399"/>
        <v>2.4860078371570968</v>
      </c>
      <c r="K174" s="575">
        <f t="shared" si="399"/>
        <v>2.5357279939002382</v>
      </c>
      <c r="L174" s="575">
        <f t="shared" si="399"/>
        <v>2.5864425537782432</v>
      </c>
      <c r="M174" s="575">
        <f t="shared" si="399"/>
        <v>2.6381714048538072</v>
      </c>
      <c r="N174" s="575">
        <f t="shared" si="399"/>
        <v>2.6909348329508838</v>
      </c>
      <c r="O174" s="575">
        <f t="shared" si="399"/>
        <v>2.7447535296099006</v>
      </c>
      <c r="P174" s="488">
        <f t="shared" ref="P174" si="400">IF(P156="Oper Period",(P181-P183)/(P172+P173),"NA")</f>
        <v>2.799648600202099</v>
      </c>
      <c r="Q174" s="488">
        <f t="shared" ref="Q174" si="401">IF(Q156="Oper Period",(Q181-Q183)/(Q172+Q173),"NA")</f>
        <v>2.855641572206141</v>
      </c>
      <c r="R174" s="488">
        <f t="shared" ref="R174" si="402">IF(R156="Oper Period",(R181-R183)/(R172+R173),"NA")</f>
        <v>2.9127544036502644</v>
      </c>
      <c r="S174" s="488">
        <f t="shared" ref="S174" si="403">IF(S156="Oper Period",(S181-S183)/(S172+S173),"NA")</f>
        <v>2.9710094917232683</v>
      </c>
      <c r="T174" s="488">
        <f t="shared" ref="T174" si="404">IF(T156="Oper Period",(T181-T183)/(T172+T173),"NA")</f>
        <v>3.030429681557735</v>
      </c>
      <c r="U174" s="488" t="str">
        <f t="shared" ref="U174" si="405">IF(U156="Oper Period",(U181-U183)/(U172+U173),"NA")</f>
        <v>NA</v>
      </c>
      <c r="V174" s="488" t="str">
        <f t="shared" ref="V174" si="406">IF(V156="Oper Period",(V181-V183)/(V172+V173),"NA")</f>
        <v>NA</v>
      </c>
      <c r="W174" s="488" t="str">
        <f t="shared" ref="W174" si="407">IF(W156="Oper Period",(W181-W183)/(W172+W173),"NA")</f>
        <v>NA</v>
      </c>
      <c r="X174" s="488" t="str">
        <f t="shared" ref="X174:Y174" si="408">IF(X156="Oper Period",(X181-X183)/(X172+X173),"NA")</f>
        <v>NA</v>
      </c>
      <c r="Y174" s="488" t="str">
        <f t="shared" si="408"/>
        <v>NA</v>
      </c>
      <c r="Z174" s="488" t="str">
        <f t="shared" ref="Z174" si="409">IF(Z156="Oper Period",(Z181-Z183)/(Z172+Z173),"NA")</f>
        <v>NA</v>
      </c>
      <c r="AA174" s="488" t="str">
        <f t="shared" ref="AA174" si="410">IF(AA156="Oper Period",(AA181-AA183)/(AA172+AA173),"NA")</f>
        <v>NA</v>
      </c>
      <c r="AB174" s="488" t="str">
        <f t="shared" ref="AB174" si="411">IF(AB156="Oper Period",(AB181-AB183)/(AB172+AB173),"NA")</f>
        <v>NA</v>
      </c>
      <c r="AC174" s="488" t="str">
        <f t="shared" ref="AC174" si="412">IF(AC156="Oper Period",(AC181-AC183)/(AC172+AC173),"NA")</f>
        <v>NA</v>
      </c>
      <c r="AD174" s="488" t="str">
        <f t="shared" ref="AD174" si="413">IF(AD156="Oper Period",(AD181-AD183)/(AD172+AD173),"NA")</f>
        <v>NA</v>
      </c>
      <c r="AE174" s="488" t="str">
        <f t="shared" ref="AE174" si="414">IF(AE156="Oper Period",(AE181-AE183)/(AE172+AE173),"NA")</f>
        <v>NA</v>
      </c>
      <c r="AF174" s="488" t="str">
        <f t="shared" ref="AF174" si="415">IF(AF156="Oper Period",(AF181-AF183)/(AF172+AF173),"NA")</f>
        <v>NA</v>
      </c>
      <c r="AG174" s="488" t="str">
        <f t="shared" ref="AG174" si="416">IF(AG156="Oper Period",(AG181-AG183)/(AG172+AG173),"NA")</f>
        <v>NA</v>
      </c>
      <c r="AH174" s="488" t="str">
        <f t="shared" ref="AH174:AI174" si="417">IF(AH156="Oper Period",(AH181-AH183)/(AH172+AH173),"NA")</f>
        <v>NA</v>
      </c>
      <c r="AI174" s="488" t="str">
        <f t="shared" si="417"/>
        <v>NA</v>
      </c>
      <c r="AJ174" s="488" t="str">
        <f t="shared" ref="AJ174" si="418">IF(AJ156="Oper Period",(AJ181-AJ183)/(AJ172+AJ173),"NA")</f>
        <v>NA</v>
      </c>
      <c r="AK174" s="488" t="str">
        <f t="shared" ref="AK174" si="419">IF(AK156="Oper Period",(AK181-AK183)/(AK172+AK173),"NA")</f>
        <v>NA</v>
      </c>
      <c r="AL174" s="488" t="str">
        <f t="shared" ref="AL174" si="420">IF(AL156="Oper Period",(AL181-AL183)/(AL172+AL173),"NA")</f>
        <v>NA</v>
      </c>
      <c r="AM174" s="488" t="str">
        <f t="shared" ref="AM174" si="421">IF(AM156="Oper Period",(AM181-AM183)/(AM172+AM173),"NA")</f>
        <v>NA</v>
      </c>
      <c r="AN174" s="488" t="str">
        <f t="shared" ref="AN174" si="422">IF(AN156="Oper Period",(AN181-AN183)/(AN172+AN173),"NA")</f>
        <v>NA</v>
      </c>
      <c r="AO174" s="488" t="str">
        <f t="shared" ref="AO174" si="423">IF(AO156="Oper Period",(AO181-AO183)/(AO172+AO173),"NA")</f>
        <v>NA</v>
      </c>
      <c r="AP174" s="488" t="str">
        <f t="shared" ref="AP174" si="424">IF(AP156="Oper Period",(AP181-AP183)/(AP172+AP173),"NA")</f>
        <v>NA</v>
      </c>
      <c r="AQ174" s="488" t="str">
        <f t="shared" ref="AQ174" si="425">IF(AQ156="Oper Period",(AQ181-AQ183)/(AQ172+AQ173),"NA")</f>
        <v>NA</v>
      </c>
      <c r="AR174" s="488" t="str">
        <f t="shared" ref="AR174:AS174" si="426">IF(AR156="Oper Period",(AR181-AR183)/(AR172+AR173),"NA")</f>
        <v>NA</v>
      </c>
      <c r="AS174" s="488" t="str">
        <f t="shared" si="426"/>
        <v>NA</v>
      </c>
      <c r="AT174" s="488" t="str">
        <f t="shared" ref="AT174" si="427">IF(AT156="Oper Period",(AT181-AT183)/(AT172+AT173),"NA")</f>
        <v>NA</v>
      </c>
      <c r="AU174" s="488" t="str">
        <f t="shared" ref="AU174" si="428">IF(AU156="Oper Period",(AU181-AU183)/(AU172+AU173),"NA")</f>
        <v>NA</v>
      </c>
      <c r="AV174" s="488" t="str">
        <f t="shared" ref="AV174" si="429">IF(AV156="Oper Period",(AV181-AV183)/(AV172+AV173),"NA")</f>
        <v>NA</v>
      </c>
      <c r="AW174" s="488" t="str">
        <f t="shared" ref="AW174" si="430">IF(AW156="Oper Period",(AW181-AW183)/(AW172+AW173),"NA")</f>
        <v>NA</v>
      </c>
      <c r="AX174" s="488" t="str">
        <f t="shared" ref="AX174" si="431">IF(AX156="Oper Period",(AX181-AX183)/(AX172+AX173),"NA")</f>
        <v>NA</v>
      </c>
      <c r="AY174" s="488" t="str">
        <f t="shared" ref="AY174" si="432">IF(AY156="Oper Period",(AY181-AY183)/(AY172+AY173),"NA")</f>
        <v>NA</v>
      </c>
      <c r="AZ174" s="488" t="str">
        <f t="shared" ref="AZ174" si="433">IF(AZ156="Oper Period",(AZ181-AZ183)/(AZ172+AZ173),"NA")</f>
        <v>NA</v>
      </c>
      <c r="BA174" s="488" t="str">
        <f t="shared" ref="BA174" si="434">IF(BA156="Oper Period",(BA181-BA183)/(BA172+BA173),"NA")</f>
        <v>NA</v>
      </c>
      <c r="BB174" s="488" t="str">
        <f t="shared" ref="BB174:BC174" si="435">IF(BB156="Oper Period",(BB181-BB183)/(BB172+BB173),"NA")</f>
        <v>NA</v>
      </c>
      <c r="BC174" s="488" t="str">
        <f t="shared" si="435"/>
        <v>NA</v>
      </c>
      <c r="BD174" s="488" t="str">
        <f t="shared" ref="BD174" si="436">IF(BD156="Oper Period",(BD181-BD183)/(BD172+BD173),"NA")</f>
        <v>NA</v>
      </c>
      <c r="BE174" s="488" t="str">
        <f t="shared" ref="BE174" si="437">IF(BE156="Oper Period",(BE181-BE183)/(BE172+BE173),"NA")</f>
        <v>NA</v>
      </c>
      <c r="BF174" s="488" t="str">
        <f t="shared" ref="BF174" si="438">IF(BF156="Oper Period",(BF181-BF183)/(BF172+BF173),"NA")</f>
        <v>NA</v>
      </c>
      <c r="BG174" s="488" t="str">
        <f t="shared" ref="BG174" si="439">IF(BG156="Oper Period",(BG181-BG183)/(BG172+BG173),"NA")</f>
        <v>NA</v>
      </c>
      <c r="BH174" s="488" t="str">
        <f t="shared" ref="BH174" si="440">IF(BH156="Oper Period",(BH181-BH183)/(BH172+BH173),"NA")</f>
        <v>NA</v>
      </c>
      <c r="BI174" s="488" t="str">
        <f t="shared" ref="BI174" si="441">IF(BI156="Oper Period",(BI181-BI183)/(BI172+BI173),"NA")</f>
        <v>NA</v>
      </c>
      <c r="BJ174" s="488" t="str">
        <f t="shared" ref="BJ174" si="442">IF(BJ156="Oper Period",(BJ181-BJ183)/(BJ172+BJ173),"NA")</f>
        <v>NA</v>
      </c>
      <c r="BK174" s="488" t="str">
        <f t="shared" ref="BK174" si="443">IF(BK156="Oper Period",(BK181-BK183)/(BK172+BK173),"NA")</f>
        <v>NA</v>
      </c>
      <c r="BL174" s="488" t="str">
        <f t="shared" ref="BL174:BM174" si="444">IF(BL156="Oper Period",(BL181-BL183)/(BL172+BL173),"NA")</f>
        <v>NA</v>
      </c>
      <c r="BM174" s="488" t="str">
        <f t="shared" si="444"/>
        <v>NA</v>
      </c>
      <c r="BN174" s="488" t="str">
        <f t="shared" ref="BN174" si="445">IF(BN156="Oper Period",(BN181-BN183)/(BN172+BN173),"NA")</f>
        <v>NA</v>
      </c>
      <c r="BO174" s="488" t="str">
        <f t="shared" ref="BO174" si="446">IF(BO156="Oper Period",(BO181-BO183)/(BO172+BO173),"NA")</f>
        <v>NA</v>
      </c>
      <c r="BP174" s="488" t="str">
        <f t="shared" ref="BP174" si="447">IF(BP156="Oper Period",(BP181-BP183)/(BP172+BP173),"NA")</f>
        <v>NA</v>
      </c>
      <c r="BQ174" s="488" t="str">
        <f t="shared" ref="BQ174" si="448">IF(BQ156="Oper Period",(BQ181-BQ183)/(BQ172+BQ173),"NA")</f>
        <v>NA</v>
      </c>
      <c r="BR174" s="488" t="str">
        <f t="shared" ref="BR174" si="449">IF(BR156="Oper Period",(BR181-BR183)/(BR172+BR173),"NA")</f>
        <v>NA</v>
      </c>
      <c r="BS174" s="488" t="str">
        <f t="shared" ref="BS174" si="450">IF(BS156="Oper Period",(BS181-BS183)/(BS172+BS173),"NA")</f>
        <v>NA</v>
      </c>
      <c r="BT174" s="488" t="str">
        <f t="shared" ref="BT174" si="451">IF(BT156="Oper Period",(BT181-BT183)/(BT172+BT173),"NA")</f>
        <v>NA</v>
      </c>
      <c r="BU174" s="488" t="str">
        <f t="shared" ref="BU174" si="452">IF(BU156="Oper Period",(BU181-BU183)/(BU172+BU173),"NA")</f>
        <v>NA</v>
      </c>
      <c r="BV174" s="488" t="str">
        <f t="shared" ref="BV174:BW174" si="453">IF(BV156="Oper Period",(BV181-BV183)/(BV172+BV173),"NA")</f>
        <v>NA</v>
      </c>
      <c r="BW174" s="488" t="str">
        <f t="shared" si="453"/>
        <v>NA</v>
      </c>
      <c r="BX174" s="488" t="str">
        <f t="shared" ref="BX174" si="454">IF(BX156="Oper Period",(BX181-BX183)/(BX172+BX173),"NA")</f>
        <v>NA</v>
      </c>
      <c r="BY174" s="488" t="str">
        <f t="shared" ref="BY174" si="455">IF(BY156="Oper Period",(BY181-BY183)/(BY172+BY173),"NA")</f>
        <v>NA</v>
      </c>
      <c r="BZ174" s="488" t="str">
        <f t="shared" ref="BZ174" si="456">IF(BZ156="Oper Period",(BZ181-BZ183)/(BZ172+BZ173),"NA")</f>
        <v>NA</v>
      </c>
      <c r="CA174" s="488" t="str">
        <f t="shared" ref="CA174" si="457">IF(CA156="Oper Period",(CA181-CA183)/(CA172+CA173),"NA")</f>
        <v>NA</v>
      </c>
      <c r="CB174" s="488" t="str">
        <f t="shared" ref="CB174" si="458">IF(CB156="Oper Period",(CB181-CB183)/(CB172+CB173),"NA")</f>
        <v>NA</v>
      </c>
      <c r="CC174" s="488" t="str">
        <f t="shared" ref="CC174" si="459">IF(CC156="Oper Period",(CC181-CC183)/(CC172+CC173),"NA")</f>
        <v>NA</v>
      </c>
      <c r="CD174" s="488" t="str">
        <f t="shared" ref="CD174" si="460">IF(CD156="Oper Period",(CD181-CD183)/(CD172+CD173),"NA")</f>
        <v>NA</v>
      </c>
      <c r="CE174" s="488" t="str">
        <f t="shared" ref="CE174" si="461">IF(CE156="Oper Period",(CE181-CE183)/(CE172+CE173),"NA")</f>
        <v>NA</v>
      </c>
      <c r="CF174" s="488" t="str">
        <f t="shared" ref="CF174:CG174" si="462">IF(CF156="Oper Period",(CF181-CF183)/(CF172+CF173),"NA")</f>
        <v>NA</v>
      </c>
      <c r="CG174" s="488" t="str">
        <f t="shared" si="462"/>
        <v>NA</v>
      </c>
      <c r="CH174" s="488" t="str">
        <f t="shared" ref="CH174" si="463">IF(CH156="Oper Period",(CH181-CH183)/(CH172+CH173),"NA")</f>
        <v>NA</v>
      </c>
      <c r="CI174" s="488" t="str">
        <f t="shared" ref="CI174" si="464">IF(CI156="Oper Period",(CI181-CI183)/(CI172+CI173),"NA")</f>
        <v>NA</v>
      </c>
      <c r="CJ174" s="488" t="str">
        <f t="shared" ref="CJ174" si="465">IF(CJ156="Oper Period",(CJ181-CJ183)/(CJ172+CJ173),"NA")</f>
        <v>NA</v>
      </c>
      <c r="CK174" s="488" t="str">
        <f t="shared" ref="CK174" si="466">IF(CK156="Oper Period",(CK181-CK183)/(CK172+CK173),"NA")</f>
        <v>NA</v>
      </c>
      <c r="CL174" s="488" t="str">
        <f t="shared" ref="CL174" si="467">IF(CL156="Oper Period",(CL181-CL183)/(CL172+CL173),"NA")</f>
        <v>NA</v>
      </c>
      <c r="CM174" s="488" t="str">
        <f t="shared" ref="CM174" si="468">IF(CM156="Oper Period",(CM181-CM183)/(CM172+CM173),"NA")</f>
        <v>NA</v>
      </c>
      <c r="CN174" s="488" t="str">
        <f t="shared" ref="CN174" si="469">IF(CN156="Oper Period",(CN181-CN183)/(CN172+CN173),"NA")</f>
        <v>NA</v>
      </c>
      <c r="CO174" s="488" t="str">
        <f t="shared" ref="CO174" si="470">IF(CO156="Oper Period",(CO181-CO183)/(CO172+CO173),"NA")</f>
        <v>NA</v>
      </c>
      <c r="CP174" s="488" t="str">
        <f t="shared" ref="CP174:CQ174" si="471">IF(CP156="Oper Period",(CP181-CP183)/(CP172+CP173),"NA")</f>
        <v>NA</v>
      </c>
      <c r="CQ174" s="488" t="str">
        <f t="shared" si="471"/>
        <v>NA</v>
      </c>
      <c r="CR174" s="488" t="str">
        <f t="shared" ref="CR174" si="472">IF(CR156="Oper Period",(CR181-CR183)/(CR172+CR173),"NA")</f>
        <v>NA</v>
      </c>
      <c r="CS174" s="488" t="str">
        <f t="shared" ref="CS174" si="473">IF(CS156="Oper Period",(CS181-CS183)/(CS172+CS173),"NA")</f>
        <v>NA</v>
      </c>
      <c r="CT174" s="488" t="str">
        <f t="shared" ref="CT174" si="474">IF(CT156="Oper Period",(CT181-CT183)/(CT172+CT173),"NA")</f>
        <v>NA</v>
      </c>
      <c r="CU174" s="488" t="str">
        <f t="shared" ref="CU174" si="475">IF(CU156="Oper Period",(CU181-CU183)/(CU172+CU173),"NA")</f>
        <v>NA</v>
      </c>
      <c r="CV174" s="488" t="str">
        <f t="shared" ref="CV174" si="476">IF(CV156="Oper Period",(CV181-CV183)/(CV172+CV173),"NA")</f>
        <v>NA</v>
      </c>
      <c r="CW174" s="488" t="str">
        <f t="shared" ref="CW174" si="477">IF(CW156="Oper Period",(CW181-CW183)/(CW172+CW173),"NA")</f>
        <v>NA</v>
      </c>
      <c r="CX174" s="488" t="str">
        <f t="shared" ref="CX174" si="478">IF(CX156="Oper Period",(CX181-CX183)/(CX172+CX173),"NA")</f>
        <v>NA</v>
      </c>
      <c r="CY174" s="488" t="str">
        <f t="shared" ref="CY174" si="479">IF(CY156="Oper Period",(CY181-CY183)/(CY172+CY173),"NA")</f>
        <v>NA</v>
      </c>
      <c r="CZ174" s="488" t="str">
        <f t="shared" ref="CZ174" si="480">IF(CZ156="Oper Period",(CZ181-CZ183)/(CZ172+CZ173),"NA")</f>
        <v>NA</v>
      </c>
    </row>
    <row r="175" spans="1:104" ht="13.3" thickBot="1" x14ac:dyDescent="0.4">
      <c r="A175" s="113"/>
      <c r="B175" s="117"/>
      <c r="C175" s="126"/>
      <c r="D175" s="105"/>
      <c r="E175" s="148"/>
      <c r="F175" s="148"/>
      <c r="G175" s="148"/>
      <c r="H175" s="206"/>
      <c r="I175" s="206"/>
      <c r="J175" s="206"/>
      <c r="K175" s="206"/>
      <c r="L175" s="206"/>
      <c r="M175" s="206"/>
      <c r="N175" s="206"/>
      <c r="O175" s="206"/>
      <c r="P175" s="206"/>
      <c r="Q175" s="206"/>
      <c r="R175" s="206"/>
      <c r="S175" s="206"/>
      <c r="T175" s="206"/>
      <c r="U175" s="206"/>
      <c r="V175" s="206"/>
      <c r="W175" s="206"/>
      <c r="X175" s="206"/>
      <c r="Y175" s="206"/>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c r="BI175" s="148"/>
      <c r="BJ175" s="148"/>
      <c r="BK175" s="148"/>
      <c r="BL175" s="148"/>
      <c r="BM175" s="148"/>
      <c r="BN175" s="148"/>
      <c r="BO175" s="148"/>
      <c r="BP175" s="148"/>
      <c r="BQ175" s="148"/>
      <c r="BR175" s="148"/>
      <c r="BS175" s="148"/>
      <c r="BT175" s="148"/>
      <c r="BU175" s="148"/>
      <c r="BV175" s="148"/>
      <c r="BW175" s="148"/>
      <c r="BX175" s="148"/>
      <c r="BY175" s="148"/>
      <c r="BZ175" s="148"/>
      <c r="CA175" s="148"/>
      <c r="CB175" s="148"/>
      <c r="CC175" s="148"/>
      <c r="CD175" s="148"/>
      <c r="CE175" s="148"/>
      <c r="CF175" s="148"/>
      <c r="CG175" s="148"/>
      <c r="CH175" s="148"/>
      <c r="CI175" s="148"/>
      <c r="CJ175" s="148"/>
      <c r="CK175" s="148"/>
      <c r="CL175" s="148"/>
      <c r="CM175" s="148"/>
      <c r="CN175" s="148"/>
      <c r="CO175" s="148"/>
      <c r="CP175" s="148"/>
      <c r="CQ175" s="148"/>
      <c r="CR175" s="148"/>
      <c r="CS175" s="148"/>
      <c r="CT175" s="148"/>
      <c r="CU175" s="148"/>
      <c r="CV175" s="148"/>
      <c r="CW175" s="148"/>
      <c r="CX175" s="148"/>
      <c r="CY175" s="148"/>
      <c r="CZ175" s="148"/>
    </row>
    <row r="176" spans="1:104" x14ac:dyDescent="0.35">
      <c r="B176" s="225" t="s">
        <v>504</v>
      </c>
      <c r="C176" s="225" t="s">
        <v>607</v>
      </c>
      <c r="D176" s="225"/>
      <c r="E176" s="232"/>
      <c r="F176" s="232"/>
      <c r="G176" s="232"/>
      <c r="H176" s="232"/>
      <c r="I176" s="232"/>
      <c r="J176" s="232"/>
      <c r="K176" s="232"/>
      <c r="L176" s="232"/>
      <c r="M176" s="232"/>
      <c r="N176" s="232"/>
      <c r="O176" s="232"/>
      <c r="P176" s="232"/>
      <c r="Q176" s="232"/>
      <c r="R176" s="232"/>
      <c r="S176" s="232"/>
      <c r="T176" s="232"/>
      <c r="U176" s="232"/>
      <c r="V176" s="232"/>
      <c r="W176" s="232"/>
      <c r="X176" s="232"/>
      <c r="Y176" s="232"/>
      <c r="Z176" s="232"/>
      <c r="AA176" s="232"/>
      <c r="AB176" s="232"/>
      <c r="AC176" s="232"/>
      <c r="AD176" s="232"/>
      <c r="AE176" s="232"/>
      <c r="AF176" s="232"/>
      <c r="AG176" s="232"/>
      <c r="AH176" s="232"/>
      <c r="AI176" s="232"/>
      <c r="AJ176" s="232"/>
      <c r="AK176" s="232"/>
      <c r="AL176" s="232"/>
      <c r="AM176" s="232"/>
      <c r="AN176" s="232"/>
      <c r="AO176" s="232"/>
      <c r="AP176" s="232"/>
      <c r="AQ176" s="232"/>
      <c r="AR176" s="232"/>
      <c r="AS176" s="232"/>
      <c r="AT176" s="232"/>
      <c r="AU176" s="232"/>
      <c r="AV176" s="232"/>
      <c r="AW176" s="232"/>
      <c r="AX176" s="232"/>
      <c r="AY176" s="232"/>
      <c r="AZ176" s="232"/>
      <c r="BA176" s="232"/>
      <c r="BB176" s="232"/>
      <c r="BC176" s="232"/>
      <c r="BD176" s="232"/>
      <c r="BE176" s="232"/>
      <c r="BF176" s="232"/>
      <c r="BG176" s="232"/>
      <c r="BH176" s="232"/>
      <c r="BI176" s="232"/>
      <c r="BJ176" s="232"/>
      <c r="BK176" s="232"/>
      <c r="BL176" s="232"/>
      <c r="BM176" s="232"/>
      <c r="BN176" s="232"/>
      <c r="BO176" s="232"/>
      <c r="BP176" s="232"/>
      <c r="BQ176" s="232"/>
      <c r="BR176" s="232"/>
      <c r="BS176" s="232"/>
      <c r="BT176" s="232"/>
      <c r="BU176" s="232"/>
      <c r="BV176" s="232"/>
      <c r="BW176" s="232"/>
      <c r="BX176" s="232"/>
      <c r="BY176" s="232"/>
      <c r="BZ176" s="232"/>
      <c r="CA176" s="232"/>
      <c r="CB176" s="232"/>
      <c r="CC176" s="232"/>
      <c r="CD176" s="232"/>
      <c r="CE176" s="232"/>
      <c r="CF176" s="232"/>
      <c r="CG176" s="232"/>
      <c r="CH176" s="232"/>
      <c r="CI176" s="232"/>
      <c r="CJ176" s="232"/>
      <c r="CK176" s="232"/>
      <c r="CL176" s="232"/>
      <c r="CM176" s="232"/>
      <c r="CN176" s="232"/>
      <c r="CO176" s="232"/>
      <c r="CP176" s="232"/>
      <c r="CQ176" s="232"/>
      <c r="CR176" s="232"/>
      <c r="CS176" s="232"/>
      <c r="CT176" s="232"/>
      <c r="CU176" s="232"/>
      <c r="CV176" s="232"/>
      <c r="CW176" s="232"/>
      <c r="CX176" s="232"/>
      <c r="CY176" s="232"/>
      <c r="CZ176" s="232"/>
    </row>
    <row r="177" spans="2:104" x14ac:dyDescent="0.35">
      <c r="B177" s="120"/>
      <c r="C177" s="120"/>
      <c r="D177" s="120"/>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137"/>
      <c r="AD177" s="137"/>
      <c r="AE177" s="137"/>
      <c r="AF177" s="137"/>
      <c r="AG177" s="137"/>
      <c r="AH177" s="137"/>
      <c r="AI177" s="137"/>
      <c r="AJ177" s="137"/>
      <c r="AK177" s="137"/>
      <c r="AL177" s="137"/>
      <c r="AM177" s="137"/>
      <c r="AN177" s="137"/>
      <c r="AO177" s="137"/>
      <c r="AP177" s="137"/>
      <c r="AQ177" s="137"/>
      <c r="AR177" s="137"/>
      <c r="AS177" s="137"/>
      <c r="AT177" s="137"/>
      <c r="AU177" s="137"/>
      <c r="AV177" s="137"/>
      <c r="AW177" s="137"/>
      <c r="AX177" s="137"/>
      <c r="AY177" s="137"/>
      <c r="AZ177" s="137"/>
      <c r="BA177" s="137"/>
      <c r="BB177" s="137"/>
      <c r="BC177" s="137"/>
      <c r="BD177" s="137"/>
      <c r="BE177" s="137"/>
      <c r="BF177" s="137"/>
      <c r="BG177" s="137"/>
      <c r="BH177" s="137"/>
      <c r="BI177" s="137"/>
      <c r="BJ177" s="137"/>
      <c r="BK177" s="137"/>
      <c r="BL177" s="137"/>
      <c r="BM177" s="137"/>
      <c r="BN177" s="137"/>
      <c r="BO177" s="137"/>
      <c r="BP177" s="137"/>
      <c r="BQ177" s="137"/>
      <c r="BR177" s="137"/>
      <c r="BS177" s="137"/>
      <c r="BT177" s="137"/>
      <c r="BU177" s="137"/>
      <c r="BV177" s="137"/>
      <c r="BW177" s="137"/>
      <c r="BX177" s="137"/>
      <c r="BY177" s="137"/>
      <c r="BZ177" s="137"/>
      <c r="CA177" s="137"/>
      <c r="CB177" s="137"/>
      <c r="CC177" s="137"/>
      <c r="CD177" s="137"/>
      <c r="CE177" s="137"/>
      <c r="CF177" s="137"/>
      <c r="CG177" s="137"/>
      <c r="CH177" s="137"/>
      <c r="CI177" s="137"/>
      <c r="CJ177" s="137"/>
      <c r="CK177" s="137"/>
      <c r="CL177" s="137"/>
      <c r="CM177" s="137"/>
      <c r="CN177" s="137"/>
      <c r="CO177" s="137"/>
      <c r="CP177" s="137"/>
      <c r="CQ177" s="137"/>
      <c r="CR177" s="137"/>
      <c r="CS177" s="137"/>
      <c r="CT177" s="137"/>
      <c r="CU177" s="137"/>
      <c r="CV177" s="137"/>
      <c r="CW177" s="137"/>
      <c r="CX177" s="137"/>
      <c r="CY177" s="137"/>
      <c r="CZ177" s="137"/>
    </row>
    <row r="178" spans="2:104" x14ac:dyDescent="0.35">
      <c r="B178" s="120"/>
      <c r="C178" s="723" t="s">
        <v>157</v>
      </c>
      <c r="D178" s="140" t="s">
        <v>158</v>
      </c>
      <c r="E178" s="569">
        <f>$E$60</f>
        <v>2056</v>
      </c>
      <c r="F178" s="569">
        <f>E178+1</f>
        <v>2057</v>
      </c>
      <c r="G178" s="569">
        <f t="shared" ref="G178:G179" si="481">F178+1</f>
        <v>2058</v>
      </c>
      <c r="H178" s="569">
        <f t="shared" ref="H178:H179" si="482">G178+1</f>
        <v>2059</v>
      </c>
      <c r="I178" s="569">
        <f t="shared" ref="I178:I179" si="483">H178+1</f>
        <v>2060</v>
      </c>
      <c r="J178" s="569">
        <f t="shared" ref="J178:J179" si="484">I178+1</f>
        <v>2061</v>
      </c>
      <c r="K178" s="569">
        <f t="shared" ref="K178:K179" si="485">J178+1</f>
        <v>2062</v>
      </c>
      <c r="L178" s="569">
        <f t="shared" ref="L178:L179" si="486">K178+1</f>
        <v>2063</v>
      </c>
      <c r="M178" s="569">
        <f t="shared" ref="M178:M179" si="487">L178+1</f>
        <v>2064</v>
      </c>
      <c r="N178" s="569">
        <f t="shared" ref="N178:N179" si="488">M178+1</f>
        <v>2065</v>
      </c>
      <c r="O178" s="139">
        <f t="shared" ref="O178:O179" si="489">N178+1</f>
        <v>2066</v>
      </c>
      <c r="P178" s="139">
        <f t="shared" ref="P178:P179" si="490">O178+1</f>
        <v>2067</v>
      </c>
      <c r="Q178" s="139">
        <f t="shared" ref="Q178:Q179" si="491">P178+1</f>
        <v>2068</v>
      </c>
      <c r="R178" s="139">
        <f t="shared" ref="R178:R179" si="492">Q178+1</f>
        <v>2069</v>
      </c>
      <c r="S178" s="139">
        <f t="shared" ref="S178:S179" si="493">R178+1</f>
        <v>2070</v>
      </c>
      <c r="T178" s="139">
        <f t="shared" ref="T178:T179" si="494">S178+1</f>
        <v>2071</v>
      </c>
      <c r="U178" s="139">
        <f t="shared" ref="U178:U179" si="495">T178+1</f>
        <v>2072</v>
      </c>
      <c r="V178" s="139">
        <f t="shared" ref="V178:V179" si="496">U178+1</f>
        <v>2073</v>
      </c>
      <c r="W178" s="139">
        <f t="shared" ref="W178:W179" si="497">V178+1</f>
        <v>2074</v>
      </c>
      <c r="X178" s="139">
        <f t="shared" ref="X178:X179" si="498">W178+1</f>
        <v>2075</v>
      </c>
      <c r="Y178" s="139">
        <f t="shared" ref="Y178:Y179" si="499">X178+1</f>
        <v>2076</v>
      </c>
      <c r="Z178" s="139">
        <f t="shared" ref="Z178:Z179" si="500">Y178+1</f>
        <v>2077</v>
      </c>
      <c r="AA178" s="139">
        <f t="shared" ref="AA178:AA179" si="501">Z178+1</f>
        <v>2078</v>
      </c>
      <c r="AB178" s="139">
        <f t="shared" ref="AB178:AB179" si="502">AA178+1</f>
        <v>2079</v>
      </c>
      <c r="AC178" s="139">
        <f t="shared" ref="AC178:AC179" si="503">AB178+1</f>
        <v>2080</v>
      </c>
      <c r="AD178" s="139">
        <f t="shared" ref="AD178:AD179" si="504">AC178+1</f>
        <v>2081</v>
      </c>
      <c r="AE178" s="139">
        <f t="shared" ref="AE178:AE179" si="505">AD178+1</f>
        <v>2082</v>
      </c>
      <c r="AF178" s="139">
        <f t="shared" ref="AF178:AF179" si="506">AE178+1</f>
        <v>2083</v>
      </c>
      <c r="AG178" s="139">
        <f t="shared" ref="AG178:AG179" si="507">AF178+1</f>
        <v>2084</v>
      </c>
      <c r="AH178" s="139">
        <f t="shared" ref="AH178:AH179" si="508">AG178+1</f>
        <v>2085</v>
      </c>
      <c r="AI178" s="139">
        <f t="shared" ref="AI178:AI179" si="509">AH178+1</f>
        <v>2086</v>
      </c>
      <c r="AJ178" s="139">
        <f t="shared" ref="AJ178:AJ179" si="510">AI178+1</f>
        <v>2087</v>
      </c>
      <c r="AK178" s="139">
        <f t="shared" ref="AK178:AK179" si="511">AJ178+1</f>
        <v>2088</v>
      </c>
      <c r="AL178" s="139">
        <f t="shared" ref="AL178:AL179" si="512">AK178+1</f>
        <v>2089</v>
      </c>
      <c r="AM178" s="139">
        <f t="shared" ref="AM178:AM179" si="513">AL178+1</f>
        <v>2090</v>
      </c>
      <c r="AN178" s="139">
        <f t="shared" ref="AN178:AN179" si="514">AM178+1</f>
        <v>2091</v>
      </c>
      <c r="AO178" s="139">
        <f t="shared" ref="AO178:AO179" si="515">AN178+1</f>
        <v>2092</v>
      </c>
      <c r="AP178" s="139">
        <f t="shared" ref="AP178:AP179" si="516">AO178+1</f>
        <v>2093</v>
      </c>
      <c r="AQ178" s="139">
        <f t="shared" ref="AQ178:AQ179" si="517">AP178+1</f>
        <v>2094</v>
      </c>
      <c r="AR178" s="139">
        <f t="shared" ref="AR178:AR179" si="518">AQ178+1</f>
        <v>2095</v>
      </c>
      <c r="AS178" s="139">
        <f t="shared" ref="AS178:AS179" si="519">AR178+1</f>
        <v>2096</v>
      </c>
      <c r="AT178" s="139">
        <f t="shared" ref="AT178:AT179" si="520">AS178+1</f>
        <v>2097</v>
      </c>
      <c r="AU178" s="139">
        <f t="shared" ref="AU178:AU179" si="521">AT178+1</f>
        <v>2098</v>
      </c>
      <c r="AV178" s="139">
        <f t="shared" ref="AV178:AV179" si="522">AU178+1</f>
        <v>2099</v>
      </c>
      <c r="AW178" s="139">
        <f t="shared" ref="AW178:AW179" si="523">AV178+1</f>
        <v>2100</v>
      </c>
      <c r="AX178" s="139">
        <f t="shared" ref="AX178:AX179" si="524">AW178+1</f>
        <v>2101</v>
      </c>
      <c r="AY178" s="139">
        <f t="shared" ref="AY178:AY179" si="525">AX178+1</f>
        <v>2102</v>
      </c>
      <c r="AZ178" s="139">
        <f t="shared" ref="AZ178:AZ179" si="526">AY178+1</f>
        <v>2103</v>
      </c>
      <c r="BA178" s="139">
        <f t="shared" ref="BA178:BA179" si="527">AZ178+1</f>
        <v>2104</v>
      </c>
      <c r="BB178" s="139">
        <f t="shared" ref="BB178:BB179" si="528">BA178+1</f>
        <v>2105</v>
      </c>
      <c r="BC178" s="139">
        <f t="shared" ref="BC178:BC179" si="529">BB178+1</f>
        <v>2106</v>
      </c>
      <c r="BD178" s="139">
        <f t="shared" ref="BD178:BD179" si="530">BC178+1</f>
        <v>2107</v>
      </c>
      <c r="BE178" s="139">
        <f t="shared" ref="BE178:BE179" si="531">BD178+1</f>
        <v>2108</v>
      </c>
      <c r="BF178" s="139">
        <f t="shared" ref="BF178:BF179" si="532">BE178+1</f>
        <v>2109</v>
      </c>
      <c r="BG178" s="139">
        <f t="shared" ref="BG178:BG179" si="533">BF178+1</f>
        <v>2110</v>
      </c>
      <c r="BH178" s="139">
        <f t="shared" ref="BH178:BH179" si="534">BG178+1</f>
        <v>2111</v>
      </c>
      <c r="BI178" s="139">
        <f t="shared" ref="BI178:BI179" si="535">BH178+1</f>
        <v>2112</v>
      </c>
      <c r="BJ178" s="139">
        <f t="shared" ref="BJ178:BJ179" si="536">BI178+1</f>
        <v>2113</v>
      </c>
      <c r="BK178" s="139">
        <f t="shared" ref="BK178:BK179" si="537">BJ178+1</f>
        <v>2114</v>
      </c>
      <c r="BL178" s="139">
        <f t="shared" ref="BL178:BL179" si="538">BK178+1</f>
        <v>2115</v>
      </c>
      <c r="BM178" s="139">
        <f t="shared" ref="BM178:BM179" si="539">BL178+1</f>
        <v>2116</v>
      </c>
      <c r="BN178" s="139">
        <f t="shared" ref="BN178:BN179" si="540">BM178+1</f>
        <v>2117</v>
      </c>
      <c r="BO178" s="139">
        <f t="shared" ref="BO178:BO179" si="541">BN178+1</f>
        <v>2118</v>
      </c>
      <c r="BP178" s="139">
        <f t="shared" ref="BP178:BP179" si="542">BO178+1</f>
        <v>2119</v>
      </c>
      <c r="BQ178" s="139">
        <f t="shared" ref="BQ178:BQ179" si="543">BP178+1</f>
        <v>2120</v>
      </c>
      <c r="BR178" s="139">
        <f t="shared" ref="BR178:BR179" si="544">BQ178+1</f>
        <v>2121</v>
      </c>
      <c r="BS178" s="139">
        <f t="shared" ref="BS178:BS179" si="545">BR178+1</f>
        <v>2122</v>
      </c>
      <c r="BT178" s="139">
        <f t="shared" ref="BT178:BT179" si="546">BS178+1</f>
        <v>2123</v>
      </c>
      <c r="BU178" s="139">
        <f t="shared" ref="BU178:BU179" si="547">BT178+1</f>
        <v>2124</v>
      </c>
      <c r="BV178" s="139">
        <f t="shared" ref="BV178:BV179" si="548">BU178+1</f>
        <v>2125</v>
      </c>
      <c r="BW178" s="139">
        <f t="shared" ref="BW178:BW179" si="549">BV178+1</f>
        <v>2126</v>
      </c>
      <c r="BX178" s="139">
        <f t="shared" ref="BX178:BX179" si="550">BW178+1</f>
        <v>2127</v>
      </c>
      <c r="BY178" s="139">
        <f t="shared" ref="BY178:BY179" si="551">BX178+1</f>
        <v>2128</v>
      </c>
      <c r="BZ178" s="139">
        <f t="shared" ref="BZ178:BZ179" si="552">BY178+1</f>
        <v>2129</v>
      </c>
      <c r="CA178" s="139">
        <f t="shared" ref="CA178:CA179" si="553">BZ178+1</f>
        <v>2130</v>
      </c>
      <c r="CB178" s="139">
        <f t="shared" ref="CB178:CB179" si="554">CA178+1</f>
        <v>2131</v>
      </c>
      <c r="CC178" s="139">
        <f t="shared" ref="CC178:CC179" si="555">CB178+1</f>
        <v>2132</v>
      </c>
      <c r="CD178" s="139">
        <f t="shared" ref="CD178:CD179" si="556">CC178+1</f>
        <v>2133</v>
      </c>
      <c r="CE178" s="139">
        <f t="shared" ref="CE178:CE179" si="557">CD178+1</f>
        <v>2134</v>
      </c>
      <c r="CF178" s="139">
        <f t="shared" ref="CF178:CF179" si="558">CE178+1</f>
        <v>2135</v>
      </c>
      <c r="CG178" s="139">
        <f t="shared" ref="CG178:CG179" si="559">CF178+1</f>
        <v>2136</v>
      </c>
      <c r="CH178" s="139">
        <f t="shared" ref="CH178:CH179" si="560">CG178+1</f>
        <v>2137</v>
      </c>
      <c r="CI178" s="139">
        <f t="shared" ref="CI178:CI179" si="561">CH178+1</f>
        <v>2138</v>
      </c>
      <c r="CJ178" s="139">
        <f t="shared" ref="CJ178:CJ179" si="562">CI178+1</f>
        <v>2139</v>
      </c>
      <c r="CK178" s="139">
        <f t="shared" ref="CK178:CK179" si="563">CJ178+1</f>
        <v>2140</v>
      </c>
      <c r="CL178" s="139">
        <f t="shared" ref="CL178:CL179" si="564">CK178+1</f>
        <v>2141</v>
      </c>
      <c r="CM178" s="139">
        <f t="shared" ref="CM178:CM179" si="565">CL178+1</f>
        <v>2142</v>
      </c>
      <c r="CN178" s="139">
        <f t="shared" ref="CN178:CN179" si="566">CM178+1</f>
        <v>2143</v>
      </c>
      <c r="CO178" s="139">
        <f t="shared" ref="CO178:CO179" si="567">CN178+1</f>
        <v>2144</v>
      </c>
      <c r="CP178" s="139">
        <f t="shared" ref="CP178:CP179" si="568">CO178+1</f>
        <v>2145</v>
      </c>
      <c r="CQ178" s="139">
        <f t="shared" ref="CQ178:CQ179" si="569">CP178+1</f>
        <v>2146</v>
      </c>
      <c r="CR178" s="139">
        <f t="shared" ref="CR178:CR179" si="570">CQ178+1</f>
        <v>2147</v>
      </c>
      <c r="CS178" s="139">
        <f t="shared" ref="CS178:CS179" si="571">CR178+1</f>
        <v>2148</v>
      </c>
      <c r="CT178" s="139">
        <f t="shared" ref="CT178:CT179" si="572">CS178+1</f>
        <v>2149</v>
      </c>
      <c r="CU178" s="139">
        <f t="shared" ref="CU178:CU179" si="573">CT178+1</f>
        <v>2150</v>
      </c>
      <c r="CV178" s="139">
        <f t="shared" ref="CV178:CV179" si="574">CU178+1</f>
        <v>2151</v>
      </c>
      <c r="CW178" s="139">
        <f t="shared" ref="CW178:CW179" si="575">CV178+1</f>
        <v>2152</v>
      </c>
      <c r="CX178" s="139">
        <f t="shared" ref="CX178:CX179" si="576">CW178+1</f>
        <v>2153</v>
      </c>
      <c r="CY178" s="139">
        <f t="shared" ref="CY178:CY179" si="577">CX178+1</f>
        <v>2154</v>
      </c>
      <c r="CZ178" s="139">
        <f t="shared" ref="CZ178:CZ179" si="578">CY178+1</f>
        <v>2155</v>
      </c>
    </row>
    <row r="179" spans="2:104" x14ac:dyDescent="0.35">
      <c r="B179" s="105"/>
      <c r="C179" s="723"/>
      <c r="D179" s="141" t="s">
        <v>159</v>
      </c>
      <c r="E179" s="570">
        <v>1</v>
      </c>
      <c r="F179" s="570">
        <f>E179+1</f>
        <v>2</v>
      </c>
      <c r="G179" s="570">
        <f t="shared" si="481"/>
        <v>3</v>
      </c>
      <c r="H179" s="570">
        <f t="shared" si="482"/>
        <v>4</v>
      </c>
      <c r="I179" s="570">
        <f t="shared" si="483"/>
        <v>5</v>
      </c>
      <c r="J179" s="570">
        <f t="shared" si="484"/>
        <v>6</v>
      </c>
      <c r="K179" s="570">
        <f t="shared" si="485"/>
        <v>7</v>
      </c>
      <c r="L179" s="570">
        <f t="shared" si="486"/>
        <v>8</v>
      </c>
      <c r="M179" s="570">
        <f t="shared" si="487"/>
        <v>9</v>
      </c>
      <c r="N179" s="570">
        <f t="shared" si="488"/>
        <v>10</v>
      </c>
      <c r="O179" s="138">
        <f t="shared" si="489"/>
        <v>11</v>
      </c>
      <c r="P179" s="138">
        <f t="shared" si="490"/>
        <v>12</v>
      </c>
      <c r="Q179" s="138">
        <f t="shared" si="491"/>
        <v>13</v>
      </c>
      <c r="R179" s="138">
        <f t="shared" si="492"/>
        <v>14</v>
      </c>
      <c r="S179" s="138">
        <f t="shared" si="493"/>
        <v>15</v>
      </c>
      <c r="T179" s="138">
        <f t="shared" si="494"/>
        <v>16</v>
      </c>
      <c r="U179" s="138">
        <f t="shared" si="495"/>
        <v>17</v>
      </c>
      <c r="V179" s="138">
        <f t="shared" si="496"/>
        <v>18</v>
      </c>
      <c r="W179" s="138">
        <f t="shared" si="497"/>
        <v>19</v>
      </c>
      <c r="X179" s="138">
        <f t="shared" si="498"/>
        <v>20</v>
      </c>
      <c r="Y179" s="138">
        <f t="shared" si="499"/>
        <v>21</v>
      </c>
      <c r="Z179" s="138">
        <f t="shared" si="500"/>
        <v>22</v>
      </c>
      <c r="AA179" s="138">
        <f t="shared" si="501"/>
        <v>23</v>
      </c>
      <c r="AB179" s="138">
        <f t="shared" si="502"/>
        <v>24</v>
      </c>
      <c r="AC179" s="138">
        <f t="shared" si="503"/>
        <v>25</v>
      </c>
      <c r="AD179" s="138">
        <f t="shared" si="504"/>
        <v>26</v>
      </c>
      <c r="AE179" s="138">
        <f t="shared" si="505"/>
        <v>27</v>
      </c>
      <c r="AF179" s="138">
        <f t="shared" si="506"/>
        <v>28</v>
      </c>
      <c r="AG179" s="138">
        <f t="shared" si="507"/>
        <v>29</v>
      </c>
      <c r="AH179" s="138">
        <f t="shared" si="508"/>
        <v>30</v>
      </c>
      <c r="AI179" s="138">
        <f t="shared" si="509"/>
        <v>31</v>
      </c>
      <c r="AJ179" s="138">
        <f t="shared" si="510"/>
        <v>32</v>
      </c>
      <c r="AK179" s="138">
        <f t="shared" si="511"/>
        <v>33</v>
      </c>
      <c r="AL179" s="138">
        <f t="shared" si="512"/>
        <v>34</v>
      </c>
      <c r="AM179" s="138">
        <f t="shared" si="513"/>
        <v>35</v>
      </c>
      <c r="AN179" s="138">
        <f t="shared" si="514"/>
        <v>36</v>
      </c>
      <c r="AO179" s="138">
        <f t="shared" si="515"/>
        <v>37</v>
      </c>
      <c r="AP179" s="138">
        <f t="shared" si="516"/>
        <v>38</v>
      </c>
      <c r="AQ179" s="138">
        <f t="shared" si="517"/>
        <v>39</v>
      </c>
      <c r="AR179" s="138">
        <f t="shared" si="518"/>
        <v>40</v>
      </c>
      <c r="AS179" s="138">
        <f t="shared" si="519"/>
        <v>41</v>
      </c>
      <c r="AT179" s="138">
        <f t="shared" si="520"/>
        <v>42</v>
      </c>
      <c r="AU179" s="138">
        <f t="shared" si="521"/>
        <v>43</v>
      </c>
      <c r="AV179" s="138">
        <f t="shared" si="522"/>
        <v>44</v>
      </c>
      <c r="AW179" s="138">
        <f t="shared" si="523"/>
        <v>45</v>
      </c>
      <c r="AX179" s="138">
        <f t="shared" si="524"/>
        <v>46</v>
      </c>
      <c r="AY179" s="138">
        <f t="shared" si="525"/>
        <v>47</v>
      </c>
      <c r="AZ179" s="138">
        <f t="shared" si="526"/>
        <v>48</v>
      </c>
      <c r="BA179" s="138">
        <f t="shared" si="527"/>
        <v>49</v>
      </c>
      <c r="BB179" s="138">
        <f t="shared" si="528"/>
        <v>50</v>
      </c>
      <c r="BC179" s="138">
        <f t="shared" si="529"/>
        <v>51</v>
      </c>
      <c r="BD179" s="138">
        <f t="shared" si="530"/>
        <v>52</v>
      </c>
      <c r="BE179" s="138">
        <f t="shared" si="531"/>
        <v>53</v>
      </c>
      <c r="BF179" s="138">
        <f t="shared" si="532"/>
        <v>54</v>
      </c>
      <c r="BG179" s="138">
        <f t="shared" si="533"/>
        <v>55</v>
      </c>
      <c r="BH179" s="138">
        <f t="shared" si="534"/>
        <v>56</v>
      </c>
      <c r="BI179" s="138">
        <f t="shared" si="535"/>
        <v>57</v>
      </c>
      <c r="BJ179" s="138">
        <f t="shared" si="536"/>
        <v>58</v>
      </c>
      <c r="BK179" s="138">
        <f t="shared" si="537"/>
        <v>59</v>
      </c>
      <c r="BL179" s="138">
        <f t="shared" si="538"/>
        <v>60</v>
      </c>
      <c r="BM179" s="138">
        <f t="shared" si="539"/>
        <v>61</v>
      </c>
      <c r="BN179" s="138">
        <f t="shared" si="540"/>
        <v>62</v>
      </c>
      <c r="BO179" s="138">
        <f t="shared" si="541"/>
        <v>63</v>
      </c>
      <c r="BP179" s="138">
        <f t="shared" si="542"/>
        <v>64</v>
      </c>
      <c r="BQ179" s="138">
        <f t="shared" si="543"/>
        <v>65</v>
      </c>
      <c r="BR179" s="138">
        <f t="shared" si="544"/>
        <v>66</v>
      </c>
      <c r="BS179" s="138">
        <f t="shared" si="545"/>
        <v>67</v>
      </c>
      <c r="BT179" s="138">
        <f t="shared" si="546"/>
        <v>68</v>
      </c>
      <c r="BU179" s="138">
        <f t="shared" si="547"/>
        <v>69</v>
      </c>
      <c r="BV179" s="138">
        <f t="shared" si="548"/>
        <v>70</v>
      </c>
      <c r="BW179" s="138">
        <f t="shared" si="549"/>
        <v>71</v>
      </c>
      <c r="BX179" s="138">
        <f t="shared" si="550"/>
        <v>72</v>
      </c>
      <c r="BY179" s="138">
        <f t="shared" si="551"/>
        <v>73</v>
      </c>
      <c r="BZ179" s="138">
        <f t="shared" si="552"/>
        <v>74</v>
      </c>
      <c r="CA179" s="138">
        <f t="shared" si="553"/>
        <v>75</v>
      </c>
      <c r="CB179" s="138">
        <f t="shared" si="554"/>
        <v>76</v>
      </c>
      <c r="CC179" s="138">
        <f t="shared" si="555"/>
        <v>77</v>
      </c>
      <c r="CD179" s="138">
        <f t="shared" si="556"/>
        <v>78</v>
      </c>
      <c r="CE179" s="138">
        <f t="shared" si="557"/>
        <v>79</v>
      </c>
      <c r="CF179" s="138">
        <f t="shared" si="558"/>
        <v>80</v>
      </c>
      <c r="CG179" s="138">
        <f t="shared" si="559"/>
        <v>81</v>
      </c>
      <c r="CH179" s="138">
        <f t="shared" si="560"/>
        <v>82</v>
      </c>
      <c r="CI179" s="138">
        <f t="shared" si="561"/>
        <v>83</v>
      </c>
      <c r="CJ179" s="138">
        <f t="shared" si="562"/>
        <v>84</v>
      </c>
      <c r="CK179" s="138">
        <f t="shared" si="563"/>
        <v>85</v>
      </c>
      <c r="CL179" s="138">
        <f t="shared" si="564"/>
        <v>86</v>
      </c>
      <c r="CM179" s="138">
        <f t="shared" si="565"/>
        <v>87</v>
      </c>
      <c r="CN179" s="138">
        <f t="shared" si="566"/>
        <v>88</v>
      </c>
      <c r="CO179" s="138">
        <f t="shared" si="567"/>
        <v>89</v>
      </c>
      <c r="CP179" s="138">
        <f t="shared" si="568"/>
        <v>90</v>
      </c>
      <c r="CQ179" s="138">
        <f t="shared" si="569"/>
        <v>91</v>
      </c>
      <c r="CR179" s="138">
        <f t="shared" si="570"/>
        <v>92</v>
      </c>
      <c r="CS179" s="138">
        <f t="shared" si="571"/>
        <v>93</v>
      </c>
      <c r="CT179" s="138">
        <f t="shared" si="572"/>
        <v>94</v>
      </c>
      <c r="CU179" s="138">
        <f t="shared" si="573"/>
        <v>95</v>
      </c>
      <c r="CV179" s="138">
        <f t="shared" si="574"/>
        <v>96</v>
      </c>
      <c r="CW179" s="138">
        <f t="shared" si="575"/>
        <v>97</v>
      </c>
      <c r="CX179" s="138">
        <f t="shared" si="576"/>
        <v>98</v>
      </c>
      <c r="CY179" s="138">
        <f t="shared" si="577"/>
        <v>99</v>
      </c>
      <c r="CZ179" s="138">
        <f t="shared" si="578"/>
        <v>100</v>
      </c>
    </row>
    <row r="180" spans="2:104" x14ac:dyDescent="0.35">
      <c r="B180" s="105"/>
      <c r="C180" s="723"/>
      <c r="H180" s="101"/>
      <c r="I180" s="101"/>
      <c r="J180" s="101"/>
      <c r="K180" s="101"/>
      <c r="L180" s="101"/>
      <c r="M180" s="101"/>
      <c r="N180" s="101"/>
    </row>
    <row r="181" spans="2:104" x14ac:dyDescent="0.35">
      <c r="B181" s="105"/>
      <c r="C181" s="126">
        <f t="shared" ref="C181:C197" si="579">SUM(E181:CZ181)</f>
        <v>471718473.51150692</v>
      </c>
      <c r="D181" s="105" t="s">
        <v>672</v>
      </c>
      <c r="E181" s="484">
        <f t="shared" ref="E181:AJ181" si="580">E159</f>
        <v>0</v>
      </c>
      <c r="F181" s="484">
        <f t="shared" si="580"/>
        <v>0</v>
      </c>
      <c r="G181" s="484">
        <f t="shared" si="580"/>
        <v>0</v>
      </c>
      <c r="H181" s="484">
        <f t="shared" si="580"/>
        <v>0</v>
      </c>
      <c r="I181" s="484">
        <f t="shared" si="580"/>
        <v>35171139.104612388</v>
      </c>
      <c r="J181" s="484">
        <f t="shared" si="580"/>
        <v>35874561.886704639</v>
      </c>
      <c r="K181" s="484">
        <f t="shared" si="580"/>
        <v>36592053.124438725</v>
      </c>
      <c r="L181" s="484">
        <f t="shared" si="580"/>
        <v>37323894.186927505</v>
      </c>
      <c r="M181" s="484">
        <f t="shared" si="580"/>
        <v>38070372.070666045</v>
      </c>
      <c r="N181" s="484">
        <f t="shared" si="580"/>
        <v>38831779.512079373</v>
      </c>
      <c r="O181" s="484">
        <f t="shared" si="580"/>
        <v>39608415.102320947</v>
      </c>
      <c r="P181" s="484">
        <f t="shared" si="580"/>
        <v>40400583.404367372</v>
      </c>
      <c r="Q181" s="484">
        <f t="shared" si="580"/>
        <v>41208595.072454721</v>
      </c>
      <c r="R181" s="484">
        <f t="shared" si="580"/>
        <v>42032766.97390382</v>
      </c>
      <c r="S181" s="484">
        <f t="shared" si="580"/>
        <v>42873422.313381881</v>
      </c>
      <c r="T181" s="484">
        <f t="shared" si="580"/>
        <v>43730890.75964953</v>
      </c>
      <c r="U181" s="484">
        <f t="shared" si="580"/>
        <v>0</v>
      </c>
      <c r="V181" s="484">
        <f t="shared" si="580"/>
        <v>0</v>
      </c>
      <c r="W181" s="484">
        <f t="shared" si="580"/>
        <v>0</v>
      </c>
      <c r="X181" s="484">
        <f t="shared" si="580"/>
        <v>0</v>
      </c>
      <c r="Y181" s="484">
        <f t="shared" si="580"/>
        <v>0</v>
      </c>
      <c r="Z181" s="484">
        <f t="shared" si="580"/>
        <v>0</v>
      </c>
      <c r="AA181" s="484">
        <f t="shared" si="580"/>
        <v>0</v>
      </c>
      <c r="AB181" s="484">
        <f t="shared" si="580"/>
        <v>0</v>
      </c>
      <c r="AC181" s="484">
        <f t="shared" si="580"/>
        <v>0</v>
      </c>
      <c r="AD181" s="484">
        <f t="shared" si="580"/>
        <v>0</v>
      </c>
      <c r="AE181" s="484">
        <f t="shared" si="580"/>
        <v>0</v>
      </c>
      <c r="AF181" s="484">
        <f t="shared" si="580"/>
        <v>0</v>
      </c>
      <c r="AG181" s="484">
        <f t="shared" si="580"/>
        <v>0</v>
      </c>
      <c r="AH181" s="484">
        <f t="shared" si="580"/>
        <v>0</v>
      </c>
      <c r="AI181" s="484">
        <f t="shared" si="580"/>
        <v>0</v>
      </c>
      <c r="AJ181" s="484">
        <f t="shared" si="580"/>
        <v>0</v>
      </c>
      <c r="AK181" s="484">
        <f t="shared" ref="AK181:BP181" si="581">AK159</f>
        <v>0</v>
      </c>
      <c r="AL181" s="484">
        <f t="shared" si="581"/>
        <v>0</v>
      </c>
      <c r="AM181" s="484">
        <f t="shared" si="581"/>
        <v>0</v>
      </c>
      <c r="AN181" s="484">
        <f t="shared" si="581"/>
        <v>0</v>
      </c>
      <c r="AO181" s="484">
        <f t="shared" si="581"/>
        <v>0</v>
      </c>
      <c r="AP181" s="484">
        <f t="shared" si="581"/>
        <v>0</v>
      </c>
      <c r="AQ181" s="484">
        <f t="shared" si="581"/>
        <v>0</v>
      </c>
      <c r="AR181" s="484">
        <f t="shared" si="581"/>
        <v>0</v>
      </c>
      <c r="AS181" s="484">
        <f t="shared" si="581"/>
        <v>0</v>
      </c>
      <c r="AT181" s="484">
        <f t="shared" si="581"/>
        <v>0</v>
      </c>
      <c r="AU181" s="484">
        <f t="shared" si="581"/>
        <v>0</v>
      </c>
      <c r="AV181" s="484">
        <f t="shared" si="581"/>
        <v>0</v>
      </c>
      <c r="AW181" s="484">
        <f t="shared" si="581"/>
        <v>0</v>
      </c>
      <c r="AX181" s="484">
        <f t="shared" si="581"/>
        <v>0</v>
      </c>
      <c r="AY181" s="484">
        <f t="shared" si="581"/>
        <v>0</v>
      </c>
      <c r="AZ181" s="484">
        <f t="shared" si="581"/>
        <v>0</v>
      </c>
      <c r="BA181" s="484">
        <f t="shared" si="581"/>
        <v>0</v>
      </c>
      <c r="BB181" s="484">
        <f t="shared" si="581"/>
        <v>0</v>
      </c>
      <c r="BC181" s="484">
        <f t="shared" si="581"/>
        <v>0</v>
      </c>
      <c r="BD181" s="484">
        <f t="shared" si="581"/>
        <v>0</v>
      </c>
      <c r="BE181" s="484">
        <f t="shared" si="581"/>
        <v>0</v>
      </c>
      <c r="BF181" s="484">
        <f t="shared" si="581"/>
        <v>0</v>
      </c>
      <c r="BG181" s="484">
        <f t="shared" si="581"/>
        <v>0</v>
      </c>
      <c r="BH181" s="484">
        <f t="shared" si="581"/>
        <v>0</v>
      </c>
      <c r="BI181" s="484">
        <f t="shared" si="581"/>
        <v>0</v>
      </c>
      <c r="BJ181" s="484">
        <f t="shared" si="581"/>
        <v>0</v>
      </c>
      <c r="BK181" s="484">
        <f t="shared" si="581"/>
        <v>0</v>
      </c>
      <c r="BL181" s="484">
        <f t="shared" si="581"/>
        <v>0</v>
      </c>
      <c r="BM181" s="484">
        <f t="shared" si="581"/>
        <v>0</v>
      </c>
      <c r="BN181" s="484">
        <f t="shared" si="581"/>
        <v>0</v>
      </c>
      <c r="BO181" s="484">
        <f t="shared" si="581"/>
        <v>0</v>
      </c>
      <c r="BP181" s="484">
        <f t="shared" si="581"/>
        <v>0</v>
      </c>
      <c r="BQ181" s="484">
        <f t="shared" ref="BQ181:CZ181" si="582">BQ159</f>
        <v>0</v>
      </c>
      <c r="BR181" s="484">
        <f t="shared" si="582"/>
        <v>0</v>
      </c>
      <c r="BS181" s="484">
        <f t="shared" si="582"/>
        <v>0</v>
      </c>
      <c r="BT181" s="484">
        <f t="shared" si="582"/>
        <v>0</v>
      </c>
      <c r="BU181" s="484">
        <f t="shared" si="582"/>
        <v>0</v>
      </c>
      <c r="BV181" s="484">
        <f t="shared" si="582"/>
        <v>0</v>
      </c>
      <c r="BW181" s="484">
        <f t="shared" si="582"/>
        <v>0</v>
      </c>
      <c r="BX181" s="484">
        <f t="shared" si="582"/>
        <v>0</v>
      </c>
      <c r="BY181" s="484">
        <f t="shared" si="582"/>
        <v>0</v>
      </c>
      <c r="BZ181" s="484">
        <f t="shared" si="582"/>
        <v>0</v>
      </c>
      <c r="CA181" s="484">
        <f t="shared" si="582"/>
        <v>0</v>
      </c>
      <c r="CB181" s="484">
        <f t="shared" si="582"/>
        <v>0</v>
      </c>
      <c r="CC181" s="484">
        <f t="shared" si="582"/>
        <v>0</v>
      </c>
      <c r="CD181" s="484">
        <f t="shared" si="582"/>
        <v>0</v>
      </c>
      <c r="CE181" s="484">
        <f t="shared" si="582"/>
        <v>0</v>
      </c>
      <c r="CF181" s="484">
        <f t="shared" si="582"/>
        <v>0</v>
      </c>
      <c r="CG181" s="484">
        <f t="shared" si="582"/>
        <v>0</v>
      </c>
      <c r="CH181" s="484">
        <f t="shared" si="582"/>
        <v>0</v>
      </c>
      <c r="CI181" s="484">
        <f t="shared" si="582"/>
        <v>0</v>
      </c>
      <c r="CJ181" s="484">
        <f t="shared" si="582"/>
        <v>0</v>
      </c>
      <c r="CK181" s="484">
        <f t="shared" si="582"/>
        <v>0</v>
      </c>
      <c r="CL181" s="484">
        <f t="shared" si="582"/>
        <v>0</v>
      </c>
      <c r="CM181" s="484">
        <f t="shared" si="582"/>
        <v>0</v>
      </c>
      <c r="CN181" s="484">
        <f t="shared" si="582"/>
        <v>0</v>
      </c>
      <c r="CO181" s="484">
        <f t="shared" si="582"/>
        <v>0</v>
      </c>
      <c r="CP181" s="484">
        <f t="shared" si="582"/>
        <v>0</v>
      </c>
      <c r="CQ181" s="484">
        <f t="shared" si="582"/>
        <v>0</v>
      </c>
      <c r="CR181" s="484">
        <f t="shared" si="582"/>
        <v>0</v>
      </c>
      <c r="CS181" s="484">
        <f t="shared" si="582"/>
        <v>0</v>
      </c>
      <c r="CT181" s="484">
        <f t="shared" si="582"/>
        <v>0</v>
      </c>
      <c r="CU181" s="484">
        <f t="shared" si="582"/>
        <v>0</v>
      </c>
      <c r="CV181" s="484">
        <f t="shared" si="582"/>
        <v>0</v>
      </c>
      <c r="CW181" s="484">
        <f t="shared" si="582"/>
        <v>0</v>
      </c>
      <c r="CX181" s="484">
        <f t="shared" si="582"/>
        <v>0</v>
      </c>
      <c r="CY181" s="484">
        <f t="shared" si="582"/>
        <v>0</v>
      </c>
      <c r="CZ181" s="484">
        <f t="shared" si="582"/>
        <v>0</v>
      </c>
    </row>
    <row r="182" spans="2:104" x14ac:dyDescent="0.35">
      <c r="B182" s="105"/>
      <c r="C182" s="126">
        <f>SUM(E182:CZ182)</f>
        <v>0</v>
      </c>
      <c r="D182" s="101" t="s">
        <v>679</v>
      </c>
      <c r="E182" s="484">
        <v>0</v>
      </c>
      <c r="F182" s="484">
        <v>0</v>
      </c>
      <c r="G182" s="484">
        <v>0</v>
      </c>
      <c r="H182" s="484">
        <v>0</v>
      </c>
      <c r="I182" s="484">
        <v>0</v>
      </c>
      <c r="J182" s="484">
        <v>0</v>
      </c>
      <c r="K182" s="484">
        <v>0</v>
      </c>
      <c r="L182" s="484">
        <v>0</v>
      </c>
      <c r="M182" s="484">
        <v>0</v>
      </c>
      <c r="N182" s="484">
        <v>0</v>
      </c>
      <c r="O182" s="484">
        <v>0</v>
      </c>
      <c r="P182" s="484">
        <v>0</v>
      </c>
      <c r="Q182" s="484">
        <v>0</v>
      </c>
      <c r="R182" s="484">
        <v>0</v>
      </c>
      <c r="S182" s="484">
        <v>0</v>
      </c>
      <c r="T182" s="484">
        <v>0</v>
      </c>
      <c r="U182" s="484">
        <v>0</v>
      </c>
      <c r="V182" s="484">
        <v>0</v>
      </c>
      <c r="W182" s="484">
        <v>0</v>
      </c>
      <c r="X182" s="484">
        <v>0</v>
      </c>
      <c r="Y182" s="484">
        <v>0</v>
      </c>
      <c r="Z182" s="484">
        <v>0</v>
      </c>
      <c r="AA182" s="484">
        <v>0</v>
      </c>
      <c r="AB182" s="484">
        <v>0</v>
      </c>
      <c r="AC182" s="484">
        <v>0</v>
      </c>
      <c r="AD182" s="484">
        <v>0</v>
      </c>
      <c r="AE182" s="484">
        <v>0</v>
      </c>
      <c r="AF182" s="484">
        <v>0</v>
      </c>
      <c r="AG182" s="484">
        <v>0</v>
      </c>
      <c r="AH182" s="484">
        <v>0</v>
      </c>
      <c r="AI182" s="484">
        <v>0</v>
      </c>
      <c r="AJ182" s="484">
        <v>0</v>
      </c>
      <c r="AK182" s="484">
        <v>0</v>
      </c>
      <c r="AL182" s="484">
        <v>0</v>
      </c>
      <c r="AM182" s="484">
        <v>0</v>
      </c>
      <c r="AN182" s="484">
        <v>0</v>
      </c>
      <c r="AO182" s="484">
        <v>0</v>
      </c>
      <c r="AP182" s="484">
        <v>0</v>
      </c>
      <c r="AQ182" s="484">
        <v>0</v>
      </c>
      <c r="AR182" s="484">
        <v>0</v>
      </c>
      <c r="AS182" s="484">
        <v>0</v>
      </c>
      <c r="AT182" s="484">
        <v>0</v>
      </c>
      <c r="AU182" s="484">
        <v>0</v>
      </c>
      <c r="AV182" s="484">
        <v>0</v>
      </c>
      <c r="AW182" s="484">
        <v>0</v>
      </c>
      <c r="AX182" s="484">
        <v>0</v>
      </c>
      <c r="AY182" s="484">
        <v>0</v>
      </c>
      <c r="AZ182" s="484">
        <v>0</v>
      </c>
      <c r="BA182" s="484">
        <v>0</v>
      </c>
      <c r="BB182" s="484">
        <v>0</v>
      </c>
      <c r="BC182" s="484">
        <v>0</v>
      </c>
      <c r="BD182" s="484">
        <v>0</v>
      </c>
      <c r="BE182" s="484">
        <v>0</v>
      </c>
      <c r="BF182" s="484">
        <v>0</v>
      </c>
      <c r="BG182" s="484">
        <v>0</v>
      </c>
      <c r="BH182" s="484">
        <v>0</v>
      </c>
      <c r="BI182" s="484">
        <v>0</v>
      </c>
      <c r="BJ182" s="484">
        <v>0</v>
      </c>
      <c r="BK182" s="484">
        <v>0</v>
      </c>
      <c r="BL182" s="484">
        <v>0</v>
      </c>
      <c r="BM182" s="484">
        <v>0</v>
      </c>
      <c r="BN182" s="484">
        <v>0</v>
      </c>
      <c r="BO182" s="484">
        <v>0</v>
      </c>
      <c r="BP182" s="484">
        <v>0</v>
      </c>
      <c r="BQ182" s="484">
        <v>0</v>
      </c>
      <c r="BR182" s="484">
        <v>0</v>
      </c>
      <c r="BS182" s="484">
        <v>0</v>
      </c>
      <c r="BT182" s="484">
        <v>0</v>
      </c>
      <c r="BU182" s="484">
        <v>0</v>
      </c>
      <c r="BV182" s="484">
        <v>0</v>
      </c>
      <c r="BW182" s="484">
        <v>0</v>
      </c>
      <c r="BX182" s="484">
        <v>0</v>
      </c>
      <c r="BY182" s="484">
        <v>0</v>
      </c>
      <c r="BZ182" s="484">
        <v>0</v>
      </c>
      <c r="CA182" s="484">
        <v>0</v>
      </c>
      <c r="CB182" s="484">
        <v>0</v>
      </c>
      <c r="CC182" s="484">
        <v>0</v>
      </c>
      <c r="CD182" s="484">
        <v>0</v>
      </c>
      <c r="CE182" s="484">
        <v>0</v>
      </c>
      <c r="CF182" s="484">
        <v>0</v>
      </c>
      <c r="CG182" s="484">
        <v>0</v>
      </c>
      <c r="CH182" s="484">
        <v>0</v>
      </c>
      <c r="CI182" s="484">
        <v>0</v>
      </c>
      <c r="CJ182" s="484">
        <v>0</v>
      </c>
      <c r="CK182" s="484">
        <v>0</v>
      </c>
      <c r="CL182" s="484">
        <v>0</v>
      </c>
      <c r="CM182" s="484">
        <v>0</v>
      </c>
      <c r="CN182" s="484">
        <v>0</v>
      </c>
      <c r="CO182" s="484">
        <v>0</v>
      </c>
      <c r="CP182" s="484">
        <v>0</v>
      </c>
      <c r="CQ182" s="484">
        <v>0</v>
      </c>
      <c r="CR182" s="484">
        <v>0</v>
      </c>
      <c r="CS182" s="484">
        <v>0</v>
      </c>
      <c r="CT182" s="484">
        <v>0</v>
      </c>
      <c r="CU182" s="484">
        <v>0</v>
      </c>
      <c r="CV182" s="484">
        <v>0</v>
      </c>
      <c r="CW182" s="484">
        <v>0</v>
      </c>
      <c r="CX182" s="484">
        <v>0</v>
      </c>
      <c r="CY182" s="484">
        <v>0</v>
      </c>
      <c r="CZ182" s="484">
        <v>0</v>
      </c>
    </row>
    <row r="183" spans="2:104" x14ac:dyDescent="0.35">
      <c r="B183" s="98"/>
      <c r="C183" s="126">
        <f t="shared" si="579"/>
        <v>63223894.918402664</v>
      </c>
      <c r="D183" s="121" t="s">
        <v>662</v>
      </c>
      <c r="E183" s="484">
        <f t="shared" ref="E183:AJ183" si="583">E136</f>
        <v>0</v>
      </c>
      <c r="F183" s="484">
        <f t="shared" si="583"/>
        <v>0</v>
      </c>
      <c r="G183" s="484">
        <f t="shared" si="583"/>
        <v>0</v>
      </c>
      <c r="H183" s="484">
        <f t="shared" si="583"/>
        <v>0</v>
      </c>
      <c r="I183" s="484">
        <f t="shared" si="583"/>
        <v>4713948.1020479752</v>
      </c>
      <c r="J183" s="484">
        <f t="shared" si="583"/>
        <v>4808227.0640889341</v>
      </c>
      <c r="K183" s="484">
        <f t="shared" si="583"/>
        <v>4904391.6053707125</v>
      </c>
      <c r="L183" s="484">
        <f t="shared" si="583"/>
        <v>5002479.4374781279</v>
      </c>
      <c r="M183" s="484">
        <f t="shared" si="583"/>
        <v>5102529.0262276893</v>
      </c>
      <c r="N183" s="484">
        <f t="shared" si="583"/>
        <v>5204579.6067522438</v>
      </c>
      <c r="O183" s="484">
        <f t="shared" si="583"/>
        <v>5308671.1988872867</v>
      </c>
      <c r="P183" s="484">
        <f t="shared" si="583"/>
        <v>5414844.6228650333</v>
      </c>
      <c r="Q183" s="484">
        <f t="shared" si="583"/>
        <v>5523141.5153223341</v>
      </c>
      <c r="R183" s="484">
        <f t="shared" si="583"/>
        <v>5633604.3456287812</v>
      </c>
      <c r="S183" s="484">
        <f t="shared" si="583"/>
        <v>5746276.4325413555</v>
      </c>
      <c r="T183" s="484">
        <f t="shared" si="583"/>
        <v>5861201.9611921841</v>
      </c>
      <c r="U183" s="484">
        <f t="shared" si="583"/>
        <v>0</v>
      </c>
      <c r="V183" s="484">
        <f t="shared" si="583"/>
        <v>0</v>
      </c>
      <c r="W183" s="484">
        <f t="shared" si="583"/>
        <v>0</v>
      </c>
      <c r="X183" s="484">
        <f t="shared" si="583"/>
        <v>0</v>
      </c>
      <c r="Y183" s="484">
        <f t="shared" si="583"/>
        <v>0</v>
      </c>
      <c r="Z183" s="484">
        <f t="shared" si="583"/>
        <v>0</v>
      </c>
      <c r="AA183" s="484">
        <f t="shared" si="583"/>
        <v>0</v>
      </c>
      <c r="AB183" s="484">
        <f t="shared" si="583"/>
        <v>0</v>
      </c>
      <c r="AC183" s="484">
        <f t="shared" si="583"/>
        <v>0</v>
      </c>
      <c r="AD183" s="484">
        <f t="shared" si="583"/>
        <v>0</v>
      </c>
      <c r="AE183" s="484">
        <f t="shared" si="583"/>
        <v>0</v>
      </c>
      <c r="AF183" s="484">
        <f t="shared" si="583"/>
        <v>0</v>
      </c>
      <c r="AG183" s="484">
        <f t="shared" si="583"/>
        <v>0</v>
      </c>
      <c r="AH183" s="484">
        <f t="shared" si="583"/>
        <v>0</v>
      </c>
      <c r="AI183" s="484">
        <f t="shared" si="583"/>
        <v>0</v>
      </c>
      <c r="AJ183" s="484">
        <f t="shared" si="583"/>
        <v>0</v>
      </c>
      <c r="AK183" s="484">
        <f t="shared" ref="AK183:BP183" si="584">AK136</f>
        <v>0</v>
      </c>
      <c r="AL183" s="484">
        <f t="shared" si="584"/>
        <v>0</v>
      </c>
      <c r="AM183" s="484">
        <f t="shared" si="584"/>
        <v>0</v>
      </c>
      <c r="AN183" s="484">
        <f t="shared" si="584"/>
        <v>0</v>
      </c>
      <c r="AO183" s="484">
        <f t="shared" si="584"/>
        <v>0</v>
      </c>
      <c r="AP183" s="484">
        <f t="shared" si="584"/>
        <v>0</v>
      </c>
      <c r="AQ183" s="484">
        <f t="shared" si="584"/>
        <v>0</v>
      </c>
      <c r="AR183" s="484">
        <f t="shared" si="584"/>
        <v>0</v>
      </c>
      <c r="AS183" s="484">
        <f t="shared" si="584"/>
        <v>0</v>
      </c>
      <c r="AT183" s="484">
        <f t="shared" si="584"/>
        <v>0</v>
      </c>
      <c r="AU183" s="484">
        <f t="shared" si="584"/>
        <v>0</v>
      </c>
      <c r="AV183" s="484">
        <f t="shared" si="584"/>
        <v>0</v>
      </c>
      <c r="AW183" s="484">
        <f t="shared" si="584"/>
        <v>0</v>
      </c>
      <c r="AX183" s="484">
        <f t="shared" si="584"/>
        <v>0</v>
      </c>
      <c r="AY183" s="484">
        <f t="shared" si="584"/>
        <v>0</v>
      </c>
      <c r="AZ183" s="484">
        <f t="shared" si="584"/>
        <v>0</v>
      </c>
      <c r="BA183" s="484">
        <f t="shared" si="584"/>
        <v>0</v>
      </c>
      <c r="BB183" s="484">
        <f t="shared" si="584"/>
        <v>0</v>
      </c>
      <c r="BC183" s="484">
        <f t="shared" si="584"/>
        <v>0</v>
      </c>
      <c r="BD183" s="484">
        <f t="shared" si="584"/>
        <v>0</v>
      </c>
      <c r="BE183" s="484">
        <f t="shared" si="584"/>
        <v>0</v>
      </c>
      <c r="BF183" s="484">
        <f t="shared" si="584"/>
        <v>0</v>
      </c>
      <c r="BG183" s="484">
        <f t="shared" si="584"/>
        <v>0</v>
      </c>
      <c r="BH183" s="484">
        <f t="shared" si="584"/>
        <v>0</v>
      </c>
      <c r="BI183" s="484">
        <f t="shared" si="584"/>
        <v>0</v>
      </c>
      <c r="BJ183" s="484">
        <f t="shared" si="584"/>
        <v>0</v>
      </c>
      <c r="BK183" s="484">
        <f t="shared" si="584"/>
        <v>0</v>
      </c>
      <c r="BL183" s="484">
        <f t="shared" si="584"/>
        <v>0</v>
      </c>
      <c r="BM183" s="484">
        <f t="shared" si="584"/>
        <v>0</v>
      </c>
      <c r="BN183" s="484">
        <f t="shared" si="584"/>
        <v>0</v>
      </c>
      <c r="BO183" s="484">
        <f t="shared" si="584"/>
        <v>0</v>
      </c>
      <c r="BP183" s="484">
        <f t="shared" si="584"/>
        <v>0</v>
      </c>
      <c r="BQ183" s="484">
        <f t="shared" ref="BQ183:CZ183" si="585">BQ136</f>
        <v>0</v>
      </c>
      <c r="BR183" s="484">
        <f t="shared" si="585"/>
        <v>0</v>
      </c>
      <c r="BS183" s="484">
        <f t="shared" si="585"/>
        <v>0</v>
      </c>
      <c r="BT183" s="484">
        <f t="shared" si="585"/>
        <v>0</v>
      </c>
      <c r="BU183" s="484">
        <f t="shared" si="585"/>
        <v>0</v>
      </c>
      <c r="BV183" s="484">
        <f t="shared" si="585"/>
        <v>0</v>
      </c>
      <c r="BW183" s="484">
        <f t="shared" si="585"/>
        <v>0</v>
      </c>
      <c r="BX183" s="484">
        <f t="shared" si="585"/>
        <v>0</v>
      </c>
      <c r="BY183" s="484">
        <f t="shared" si="585"/>
        <v>0</v>
      </c>
      <c r="BZ183" s="484">
        <f t="shared" si="585"/>
        <v>0</v>
      </c>
      <c r="CA183" s="484">
        <f t="shared" si="585"/>
        <v>0</v>
      </c>
      <c r="CB183" s="484">
        <f t="shared" si="585"/>
        <v>0</v>
      </c>
      <c r="CC183" s="484">
        <f t="shared" si="585"/>
        <v>0</v>
      </c>
      <c r="CD183" s="484">
        <f t="shared" si="585"/>
        <v>0</v>
      </c>
      <c r="CE183" s="484">
        <f t="shared" si="585"/>
        <v>0</v>
      </c>
      <c r="CF183" s="484">
        <f t="shared" si="585"/>
        <v>0</v>
      </c>
      <c r="CG183" s="484">
        <f t="shared" si="585"/>
        <v>0</v>
      </c>
      <c r="CH183" s="484">
        <f t="shared" si="585"/>
        <v>0</v>
      </c>
      <c r="CI183" s="484">
        <f t="shared" si="585"/>
        <v>0</v>
      </c>
      <c r="CJ183" s="484">
        <f t="shared" si="585"/>
        <v>0</v>
      </c>
      <c r="CK183" s="484">
        <f t="shared" si="585"/>
        <v>0</v>
      </c>
      <c r="CL183" s="484">
        <f t="shared" si="585"/>
        <v>0</v>
      </c>
      <c r="CM183" s="484">
        <f t="shared" si="585"/>
        <v>0</v>
      </c>
      <c r="CN183" s="484">
        <f t="shared" si="585"/>
        <v>0</v>
      </c>
      <c r="CO183" s="484">
        <f t="shared" si="585"/>
        <v>0</v>
      </c>
      <c r="CP183" s="484">
        <f t="shared" si="585"/>
        <v>0</v>
      </c>
      <c r="CQ183" s="484">
        <f t="shared" si="585"/>
        <v>0</v>
      </c>
      <c r="CR183" s="484">
        <f t="shared" si="585"/>
        <v>0</v>
      </c>
      <c r="CS183" s="484">
        <f t="shared" si="585"/>
        <v>0</v>
      </c>
      <c r="CT183" s="484">
        <f t="shared" si="585"/>
        <v>0</v>
      </c>
      <c r="CU183" s="484">
        <f t="shared" si="585"/>
        <v>0</v>
      </c>
      <c r="CV183" s="484">
        <f t="shared" si="585"/>
        <v>0</v>
      </c>
      <c r="CW183" s="484">
        <f t="shared" si="585"/>
        <v>0</v>
      </c>
      <c r="CX183" s="484">
        <f t="shared" si="585"/>
        <v>0</v>
      </c>
      <c r="CY183" s="484">
        <f t="shared" si="585"/>
        <v>0</v>
      </c>
      <c r="CZ183" s="484">
        <f t="shared" si="585"/>
        <v>0</v>
      </c>
    </row>
    <row r="184" spans="2:104" x14ac:dyDescent="0.35">
      <c r="B184" s="105"/>
      <c r="C184" s="126">
        <f t="shared" si="579"/>
        <v>147296739.22715732</v>
      </c>
      <c r="D184" s="101" t="s">
        <v>680</v>
      </c>
      <c r="E184" s="484">
        <f t="shared" ref="E184:AJ184" si="586">E149</f>
        <v>0</v>
      </c>
      <c r="F184" s="484">
        <f t="shared" si="586"/>
        <v>0</v>
      </c>
      <c r="G184" s="484">
        <f t="shared" si="586"/>
        <v>0</v>
      </c>
      <c r="H184" s="484">
        <f t="shared" si="586"/>
        <v>0</v>
      </c>
      <c r="I184" s="484">
        <f t="shared" si="586"/>
        <v>9283798.0100313425</v>
      </c>
      <c r="J184" s="484">
        <f t="shared" si="586"/>
        <v>17639216.219059549</v>
      </c>
      <c r="K184" s="484">
        <f t="shared" si="586"/>
        <v>15875294.597153597</v>
      </c>
      <c r="L184" s="484">
        <f t="shared" si="586"/>
        <v>14297048.935448267</v>
      </c>
      <c r="M184" s="484">
        <f t="shared" si="586"/>
        <v>12867344.04190344</v>
      </c>
      <c r="N184" s="484">
        <f t="shared" si="586"/>
        <v>11567612.320499055</v>
      </c>
      <c r="O184" s="484">
        <f t="shared" si="586"/>
        <v>10954881.651836986</v>
      </c>
      <c r="P184" s="484">
        <f t="shared" si="586"/>
        <v>10954881.651836986</v>
      </c>
      <c r="Q184" s="484">
        <f t="shared" si="586"/>
        <v>10973449.247857047</v>
      </c>
      <c r="R184" s="484">
        <f t="shared" si="586"/>
        <v>10954881.651836986</v>
      </c>
      <c r="S184" s="484">
        <f t="shared" si="586"/>
        <v>10973449.247857047</v>
      </c>
      <c r="T184" s="484">
        <f t="shared" si="586"/>
        <v>10954881.651836986</v>
      </c>
      <c r="U184" s="484">
        <f t="shared" si="586"/>
        <v>0</v>
      </c>
      <c r="V184" s="484">
        <f t="shared" si="586"/>
        <v>0</v>
      </c>
      <c r="W184" s="484">
        <f t="shared" si="586"/>
        <v>0</v>
      </c>
      <c r="X184" s="484">
        <f t="shared" si="586"/>
        <v>0</v>
      </c>
      <c r="Y184" s="484">
        <f t="shared" si="586"/>
        <v>0</v>
      </c>
      <c r="Z184" s="484">
        <f t="shared" si="586"/>
        <v>0</v>
      </c>
      <c r="AA184" s="484">
        <f t="shared" si="586"/>
        <v>0</v>
      </c>
      <c r="AB184" s="484">
        <f t="shared" si="586"/>
        <v>0</v>
      </c>
      <c r="AC184" s="484">
        <f t="shared" si="586"/>
        <v>0</v>
      </c>
      <c r="AD184" s="484">
        <f t="shared" si="586"/>
        <v>0</v>
      </c>
      <c r="AE184" s="484">
        <f t="shared" si="586"/>
        <v>0</v>
      </c>
      <c r="AF184" s="484">
        <f t="shared" si="586"/>
        <v>0</v>
      </c>
      <c r="AG184" s="484">
        <f t="shared" si="586"/>
        <v>0</v>
      </c>
      <c r="AH184" s="484">
        <f t="shared" si="586"/>
        <v>0</v>
      </c>
      <c r="AI184" s="484">
        <f t="shared" si="586"/>
        <v>0</v>
      </c>
      <c r="AJ184" s="484">
        <f t="shared" si="586"/>
        <v>0</v>
      </c>
      <c r="AK184" s="484">
        <f t="shared" ref="AK184:BP184" si="587">AK149</f>
        <v>0</v>
      </c>
      <c r="AL184" s="484">
        <f t="shared" si="587"/>
        <v>0</v>
      </c>
      <c r="AM184" s="484">
        <f t="shared" si="587"/>
        <v>0</v>
      </c>
      <c r="AN184" s="484">
        <f t="shared" si="587"/>
        <v>0</v>
      </c>
      <c r="AO184" s="484">
        <f t="shared" si="587"/>
        <v>0</v>
      </c>
      <c r="AP184" s="484">
        <f t="shared" si="587"/>
        <v>0</v>
      </c>
      <c r="AQ184" s="484">
        <f t="shared" si="587"/>
        <v>0</v>
      </c>
      <c r="AR184" s="484">
        <f t="shared" si="587"/>
        <v>0</v>
      </c>
      <c r="AS184" s="484">
        <f t="shared" si="587"/>
        <v>0</v>
      </c>
      <c r="AT184" s="484">
        <f t="shared" si="587"/>
        <v>0</v>
      </c>
      <c r="AU184" s="484">
        <f t="shared" si="587"/>
        <v>0</v>
      </c>
      <c r="AV184" s="484">
        <f t="shared" si="587"/>
        <v>0</v>
      </c>
      <c r="AW184" s="484">
        <f t="shared" si="587"/>
        <v>0</v>
      </c>
      <c r="AX184" s="484">
        <f t="shared" si="587"/>
        <v>0</v>
      </c>
      <c r="AY184" s="484">
        <f t="shared" si="587"/>
        <v>0</v>
      </c>
      <c r="AZ184" s="484">
        <f t="shared" si="587"/>
        <v>0</v>
      </c>
      <c r="BA184" s="484">
        <f t="shared" si="587"/>
        <v>0</v>
      </c>
      <c r="BB184" s="484">
        <f t="shared" si="587"/>
        <v>0</v>
      </c>
      <c r="BC184" s="484">
        <f t="shared" si="587"/>
        <v>0</v>
      </c>
      <c r="BD184" s="484">
        <f t="shared" si="587"/>
        <v>0</v>
      </c>
      <c r="BE184" s="484">
        <f t="shared" si="587"/>
        <v>0</v>
      </c>
      <c r="BF184" s="484">
        <f t="shared" si="587"/>
        <v>0</v>
      </c>
      <c r="BG184" s="484">
        <f t="shared" si="587"/>
        <v>0</v>
      </c>
      <c r="BH184" s="484">
        <f t="shared" si="587"/>
        <v>0</v>
      </c>
      <c r="BI184" s="484">
        <f t="shared" si="587"/>
        <v>0</v>
      </c>
      <c r="BJ184" s="484">
        <f t="shared" si="587"/>
        <v>0</v>
      </c>
      <c r="BK184" s="484">
        <f t="shared" si="587"/>
        <v>0</v>
      </c>
      <c r="BL184" s="484">
        <f t="shared" si="587"/>
        <v>0</v>
      </c>
      <c r="BM184" s="484">
        <f t="shared" si="587"/>
        <v>0</v>
      </c>
      <c r="BN184" s="484">
        <f t="shared" si="587"/>
        <v>0</v>
      </c>
      <c r="BO184" s="484">
        <f t="shared" si="587"/>
        <v>0</v>
      </c>
      <c r="BP184" s="484">
        <f t="shared" si="587"/>
        <v>0</v>
      </c>
      <c r="BQ184" s="484">
        <f t="shared" ref="BQ184:CZ184" si="588">BQ149</f>
        <v>0</v>
      </c>
      <c r="BR184" s="484">
        <f t="shared" si="588"/>
        <v>0</v>
      </c>
      <c r="BS184" s="484">
        <f t="shared" si="588"/>
        <v>0</v>
      </c>
      <c r="BT184" s="484">
        <f t="shared" si="588"/>
        <v>0</v>
      </c>
      <c r="BU184" s="484">
        <f t="shared" si="588"/>
        <v>0</v>
      </c>
      <c r="BV184" s="484">
        <f t="shared" si="588"/>
        <v>0</v>
      </c>
      <c r="BW184" s="484">
        <f t="shared" si="588"/>
        <v>0</v>
      </c>
      <c r="BX184" s="484">
        <f t="shared" si="588"/>
        <v>0</v>
      </c>
      <c r="BY184" s="484">
        <f t="shared" si="588"/>
        <v>0</v>
      </c>
      <c r="BZ184" s="484">
        <f t="shared" si="588"/>
        <v>0</v>
      </c>
      <c r="CA184" s="484">
        <f t="shared" si="588"/>
        <v>0</v>
      </c>
      <c r="CB184" s="484">
        <f t="shared" si="588"/>
        <v>0</v>
      </c>
      <c r="CC184" s="484">
        <f t="shared" si="588"/>
        <v>0</v>
      </c>
      <c r="CD184" s="484">
        <f t="shared" si="588"/>
        <v>0</v>
      </c>
      <c r="CE184" s="484">
        <f t="shared" si="588"/>
        <v>0</v>
      </c>
      <c r="CF184" s="484">
        <f t="shared" si="588"/>
        <v>0</v>
      </c>
      <c r="CG184" s="484">
        <f t="shared" si="588"/>
        <v>0</v>
      </c>
      <c r="CH184" s="484">
        <f t="shared" si="588"/>
        <v>0</v>
      </c>
      <c r="CI184" s="484">
        <f t="shared" si="588"/>
        <v>0</v>
      </c>
      <c r="CJ184" s="484">
        <f t="shared" si="588"/>
        <v>0</v>
      </c>
      <c r="CK184" s="484">
        <f t="shared" si="588"/>
        <v>0</v>
      </c>
      <c r="CL184" s="484">
        <f t="shared" si="588"/>
        <v>0</v>
      </c>
      <c r="CM184" s="484">
        <f t="shared" si="588"/>
        <v>0</v>
      </c>
      <c r="CN184" s="484">
        <f t="shared" si="588"/>
        <v>0</v>
      </c>
      <c r="CO184" s="484">
        <f t="shared" si="588"/>
        <v>0</v>
      </c>
      <c r="CP184" s="484">
        <f t="shared" si="588"/>
        <v>0</v>
      </c>
      <c r="CQ184" s="484">
        <f t="shared" si="588"/>
        <v>0</v>
      </c>
      <c r="CR184" s="484">
        <f t="shared" si="588"/>
        <v>0</v>
      </c>
      <c r="CS184" s="484">
        <f t="shared" si="588"/>
        <v>0</v>
      </c>
      <c r="CT184" s="484">
        <f t="shared" si="588"/>
        <v>0</v>
      </c>
      <c r="CU184" s="484">
        <f t="shared" si="588"/>
        <v>0</v>
      </c>
      <c r="CV184" s="484">
        <f t="shared" si="588"/>
        <v>0</v>
      </c>
      <c r="CW184" s="484">
        <f t="shared" si="588"/>
        <v>0</v>
      </c>
      <c r="CX184" s="484">
        <f t="shared" si="588"/>
        <v>0</v>
      </c>
      <c r="CY184" s="484">
        <f t="shared" si="588"/>
        <v>0</v>
      </c>
      <c r="CZ184" s="484">
        <f t="shared" si="588"/>
        <v>0</v>
      </c>
    </row>
    <row r="185" spans="2:104" x14ac:dyDescent="0.35">
      <c r="B185" s="105"/>
      <c r="C185" s="126">
        <f t="shared" si="579"/>
        <v>261197839.36594698</v>
      </c>
      <c r="D185" s="101" t="s">
        <v>681</v>
      </c>
      <c r="E185" s="485">
        <f>E181-SUM(E182:E184)</f>
        <v>0</v>
      </c>
      <c r="F185" s="485">
        <f t="shared" ref="F185:BQ185" si="589">F181-SUM(F182:F184)</f>
        <v>0</v>
      </c>
      <c r="G185" s="485">
        <f t="shared" si="589"/>
        <v>0</v>
      </c>
      <c r="H185" s="485">
        <f>H181-SUM(H182:H184)</f>
        <v>0</v>
      </c>
      <c r="I185" s="485">
        <f>I181-SUM(I182:I184)</f>
        <v>21173392.992533069</v>
      </c>
      <c r="J185" s="485">
        <f t="shared" si="589"/>
        <v>13427118.603556156</v>
      </c>
      <c r="K185" s="485">
        <f t="shared" si="589"/>
        <v>15812366.921914417</v>
      </c>
      <c r="L185" s="485">
        <f t="shared" si="589"/>
        <v>18024365.814001109</v>
      </c>
      <c r="M185" s="485">
        <f t="shared" si="589"/>
        <v>20100499.002534915</v>
      </c>
      <c r="N185" s="485">
        <f t="shared" si="589"/>
        <v>22059587.584828075</v>
      </c>
      <c r="O185" s="485">
        <f t="shared" si="589"/>
        <v>23344862.251596674</v>
      </c>
      <c r="P185" s="485">
        <f t="shared" si="589"/>
        <v>24030857.129665352</v>
      </c>
      <c r="Q185" s="485">
        <f t="shared" si="589"/>
        <v>24712004.30927534</v>
      </c>
      <c r="R185" s="485">
        <f t="shared" si="589"/>
        <v>25444280.976438053</v>
      </c>
      <c r="S185" s="485">
        <f t="shared" si="589"/>
        <v>26153696.632983476</v>
      </c>
      <c r="T185" s="485">
        <f t="shared" si="589"/>
        <v>26914807.146620359</v>
      </c>
      <c r="U185" s="485">
        <f t="shared" si="589"/>
        <v>0</v>
      </c>
      <c r="V185" s="485">
        <f t="shared" si="589"/>
        <v>0</v>
      </c>
      <c r="W185" s="485">
        <f t="shared" si="589"/>
        <v>0</v>
      </c>
      <c r="X185" s="485">
        <f t="shared" si="589"/>
        <v>0</v>
      </c>
      <c r="Y185" s="485">
        <f t="shared" si="589"/>
        <v>0</v>
      </c>
      <c r="Z185" s="485">
        <f t="shared" si="589"/>
        <v>0</v>
      </c>
      <c r="AA185" s="485">
        <f t="shared" si="589"/>
        <v>0</v>
      </c>
      <c r="AB185" s="485">
        <f t="shared" si="589"/>
        <v>0</v>
      </c>
      <c r="AC185" s="485">
        <f t="shared" si="589"/>
        <v>0</v>
      </c>
      <c r="AD185" s="485">
        <f t="shared" si="589"/>
        <v>0</v>
      </c>
      <c r="AE185" s="485">
        <f t="shared" si="589"/>
        <v>0</v>
      </c>
      <c r="AF185" s="485">
        <f t="shared" si="589"/>
        <v>0</v>
      </c>
      <c r="AG185" s="485">
        <f t="shared" si="589"/>
        <v>0</v>
      </c>
      <c r="AH185" s="485">
        <f t="shared" si="589"/>
        <v>0</v>
      </c>
      <c r="AI185" s="485">
        <f t="shared" si="589"/>
        <v>0</v>
      </c>
      <c r="AJ185" s="485">
        <f t="shared" si="589"/>
        <v>0</v>
      </c>
      <c r="AK185" s="485">
        <f t="shared" si="589"/>
        <v>0</v>
      </c>
      <c r="AL185" s="485">
        <f t="shared" si="589"/>
        <v>0</v>
      </c>
      <c r="AM185" s="485">
        <f t="shared" si="589"/>
        <v>0</v>
      </c>
      <c r="AN185" s="485">
        <f t="shared" si="589"/>
        <v>0</v>
      </c>
      <c r="AO185" s="485">
        <f t="shared" si="589"/>
        <v>0</v>
      </c>
      <c r="AP185" s="485">
        <f t="shared" si="589"/>
        <v>0</v>
      </c>
      <c r="AQ185" s="485">
        <f t="shared" si="589"/>
        <v>0</v>
      </c>
      <c r="AR185" s="485">
        <f t="shared" si="589"/>
        <v>0</v>
      </c>
      <c r="AS185" s="485">
        <f t="shared" si="589"/>
        <v>0</v>
      </c>
      <c r="AT185" s="485">
        <f t="shared" si="589"/>
        <v>0</v>
      </c>
      <c r="AU185" s="485">
        <f t="shared" si="589"/>
        <v>0</v>
      </c>
      <c r="AV185" s="485">
        <f t="shared" si="589"/>
        <v>0</v>
      </c>
      <c r="AW185" s="485">
        <f t="shared" si="589"/>
        <v>0</v>
      </c>
      <c r="AX185" s="485">
        <f t="shared" si="589"/>
        <v>0</v>
      </c>
      <c r="AY185" s="485">
        <f t="shared" si="589"/>
        <v>0</v>
      </c>
      <c r="AZ185" s="485">
        <f t="shared" si="589"/>
        <v>0</v>
      </c>
      <c r="BA185" s="485">
        <f t="shared" si="589"/>
        <v>0</v>
      </c>
      <c r="BB185" s="485">
        <f t="shared" si="589"/>
        <v>0</v>
      </c>
      <c r="BC185" s="485">
        <f t="shared" si="589"/>
        <v>0</v>
      </c>
      <c r="BD185" s="485">
        <f t="shared" si="589"/>
        <v>0</v>
      </c>
      <c r="BE185" s="485">
        <f t="shared" si="589"/>
        <v>0</v>
      </c>
      <c r="BF185" s="485">
        <f t="shared" si="589"/>
        <v>0</v>
      </c>
      <c r="BG185" s="485">
        <f t="shared" si="589"/>
        <v>0</v>
      </c>
      <c r="BH185" s="485">
        <f t="shared" si="589"/>
        <v>0</v>
      </c>
      <c r="BI185" s="485">
        <f t="shared" si="589"/>
        <v>0</v>
      </c>
      <c r="BJ185" s="485">
        <f t="shared" si="589"/>
        <v>0</v>
      </c>
      <c r="BK185" s="485">
        <f t="shared" si="589"/>
        <v>0</v>
      </c>
      <c r="BL185" s="485">
        <f t="shared" si="589"/>
        <v>0</v>
      </c>
      <c r="BM185" s="485">
        <f t="shared" si="589"/>
        <v>0</v>
      </c>
      <c r="BN185" s="485">
        <f t="shared" si="589"/>
        <v>0</v>
      </c>
      <c r="BO185" s="485">
        <f t="shared" si="589"/>
        <v>0</v>
      </c>
      <c r="BP185" s="485">
        <f t="shared" si="589"/>
        <v>0</v>
      </c>
      <c r="BQ185" s="485">
        <f t="shared" si="589"/>
        <v>0</v>
      </c>
      <c r="BR185" s="485">
        <f t="shared" ref="BR185:CZ185" si="590">BR181-SUM(BR182:BR184)</f>
        <v>0</v>
      </c>
      <c r="BS185" s="485">
        <f t="shared" si="590"/>
        <v>0</v>
      </c>
      <c r="BT185" s="485">
        <f t="shared" si="590"/>
        <v>0</v>
      </c>
      <c r="BU185" s="485">
        <f t="shared" si="590"/>
        <v>0</v>
      </c>
      <c r="BV185" s="485">
        <f t="shared" si="590"/>
        <v>0</v>
      </c>
      <c r="BW185" s="485">
        <f t="shared" si="590"/>
        <v>0</v>
      </c>
      <c r="BX185" s="485">
        <f t="shared" si="590"/>
        <v>0</v>
      </c>
      <c r="BY185" s="485">
        <f t="shared" si="590"/>
        <v>0</v>
      </c>
      <c r="BZ185" s="485">
        <f t="shared" si="590"/>
        <v>0</v>
      </c>
      <c r="CA185" s="485">
        <f t="shared" si="590"/>
        <v>0</v>
      </c>
      <c r="CB185" s="485">
        <f t="shared" si="590"/>
        <v>0</v>
      </c>
      <c r="CC185" s="485">
        <f t="shared" si="590"/>
        <v>0</v>
      </c>
      <c r="CD185" s="485">
        <f t="shared" si="590"/>
        <v>0</v>
      </c>
      <c r="CE185" s="485">
        <f t="shared" si="590"/>
        <v>0</v>
      </c>
      <c r="CF185" s="485">
        <f t="shared" si="590"/>
        <v>0</v>
      </c>
      <c r="CG185" s="485">
        <f t="shared" si="590"/>
        <v>0</v>
      </c>
      <c r="CH185" s="485">
        <f t="shared" si="590"/>
        <v>0</v>
      </c>
      <c r="CI185" s="485">
        <f t="shared" si="590"/>
        <v>0</v>
      </c>
      <c r="CJ185" s="485">
        <f t="shared" si="590"/>
        <v>0</v>
      </c>
      <c r="CK185" s="485">
        <f t="shared" si="590"/>
        <v>0</v>
      </c>
      <c r="CL185" s="485">
        <f t="shared" si="590"/>
        <v>0</v>
      </c>
      <c r="CM185" s="485">
        <f t="shared" si="590"/>
        <v>0</v>
      </c>
      <c r="CN185" s="485">
        <f t="shared" si="590"/>
        <v>0</v>
      </c>
      <c r="CO185" s="485">
        <f t="shared" si="590"/>
        <v>0</v>
      </c>
      <c r="CP185" s="485">
        <f t="shared" si="590"/>
        <v>0</v>
      </c>
      <c r="CQ185" s="485">
        <f t="shared" si="590"/>
        <v>0</v>
      </c>
      <c r="CR185" s="485">
        <f t="shared" si="590"/>
        <v>0</v>
      </c>
      <c r="CS185" s="485">
        <f t="shared" si="590"/>
        <v>0</v>
      </c>
      <c r="CT185" s="485">
        <f t="shared" si="590"/>
        <v>0</v>
      </c>
      <c r="CU185" s="485">
        <f t="shared" si="590"/>
        <v>0</v>
      </c>
      <c r="CV185" s="485">
        <f t="shared" si="590"/>
        <v>0</v>
      </c>
      <c r="CW185" s="485">
        <f t="shared" si="590"/>
        <v>0</v>
      </c>
      <c r="CX185" s="485">
        <f t="shared" si="590"/>
        <v>0</v>
      </c>
      <c r="CY185" s="485">
        <f t="shared" si="590"/>
        <v>0</v>
      </c>
      <c r="CZ185" s="485">
        <f t="shared" si="590"/>
        <v>0</v>
      </c>
    </row>
    <row r="186" spans="2:104" x14ac:dyDescent="0.35">
      <c r="B186" s="490"/>
      <c r="C186" s="126"/>
      <c r="D186" s="101" t="s">
        <v>682</v>
      </c>
      <c r="E186" s="485">
        <v>0</v>
      </c>
      <c r="F186" s="485">
        <f t="shared" ref="F186:AK186" si="591">IF(F179&lt;=$E$61+$E$62,E186+F185,0)</f>
        <v>0</v>
      </c>
      <c r="G186" s="485">
        <f t="shared" si="591"/>
        <v>0</v>
      </c>
      <c r="H186" s="485">
        <f t="shared" si="591"/>
        <v>0</v>
      </c>
      <c r="I186" s="485">
        <f t="shared" si="591"/>
        <v>21173392.992533069</v>
      </c>
      <c r="J186" s="485">
        <f t="shared" si="591"/>
        <v>34600511.596089229</v>
      </c>
      <c r="K186" s="485">
        <f t="shared" si="591"/>
        <v>50412878.518003643</v>
      </c>
      <c r="L186" s="485">
        <f t="shared" si="591"/>
        <v>68437244.332004756</v>
      </c>
      <c r="M186" s="485">
        <f t="shared" si="591"/>
        <v>88537743.334539667</v>
      </c>
      <c r="N186" s="485">
        <f t="shared" si="591"/>
        <v>110597330.91936775</v>
      </c>
      <c r="O186" s="485">
        <f t="shared" si="591"/>
        <v>133942193.17096442</v>
      </c>
      <c r="P186" s="485">
        <f t="shared" si="591"/>
        <v>157973050.30062976</v>
      </c>
      <c r="Q186" s="485">
        <f t="shared" si="591"/>
        <v>182685054.60990509</v>
      </c>
      <c r="R186" s="485">
        <f t="shared" si="591"/>
        <v>208129335.58634314</v>
      </c>
      <c r="S186" s="485">
        <f t="shared" si="591"/>
        <v>234283032.21932662</v>
      </c>
      <c r="T186" s="485">
        <f t="shared" si="591"/>
        <v>261197839.36594698</v>
      </c>
      <c r="U186" s="485">
        <f t="shared" si="591"/>
        <v>0</v>
      </c>
      <c r="V186" s="485">
        <f t="shared" si="591"/>
        <v>0</v>
      </c>
      <c r="W186" s="485">
        <f t="shared" si="591"/>
        <v>0</v>
      </c>
      <c r="X186" s="485">
        <f t="shared" si="591"/>
        <v>0</v>
      </c>
      <c r="Y186" s="485">
        <f t="shared" si="591"/>
        <v>0</v>
      </c>
      <c r="Z186" s="485">
        <f t="shared" si="591"/>
        <v>0</v>
      </c>
      <c r="AA186" s="485">
        <f t="shared" si="591"/>
        <v>0</v>
      </c>
      <c r="AB186" s="485">
        <f t="shared" si="591"/>
        <v>0</v>
      </c>
      <c r="AC186" s="485">
        <f t="shared" si="591"/>
        <v>0</v>
      </c>
      <c r="AD186" s="485">
        <f t="shared" si="591"/>
        <v>0</v>
      </c>
      <c r="AE186" s="485">
        <f t="shared" si="591"/>
        <v>0</v>
      </c>
      <c r="AF186" s="485">
        <f t="shared" si="591"/>
        <v>0</v>
      </c>
      <c r="AG186" s="485">
        <f t="shared" si="591"/>
        <v>0</v>
      </c>
      <c r="AH186" s="485">
        <f t="shared" si="591"/>
        <v>0</v>
      </c>
      <c r="AI186" s="485">
        <f t="shared" si="591"/>
        <v>0</v>
      </c>
      <c r="AJ186" s="485">
        <f t="shared" si="591"/>
        <v>0</v>
      </c>
      <c r="AK186" s="485">
        <f t="shared" si="591"/>
        <v>0</v>
      </c>
      <c r="AL186" s="485">
        <f t="shared" ref="AL186:BQ186" si="592">IF(AL179&lt;=$E$61+$E$62,AK186+AL185,0)</f>
        <v>0</v>
      </c>
      <c r="AM186" s="485">
        <f t="shared" si="592"/>
        <v>0</v>
      </c>
      <c r="AN186" s="485">
        <f t="shared" si="592"/>
        <v>0</v>
      </c>
      <c r="AO186" s="485">
        <f t="shared" si="592"/>
        <v>0</v>
      </c>
      <c r="AP186" s="485">
        <f t="shared" si="592"/>
        <v>0</v>
      </c>
      <c r="AQ186" s="485">
        <f t="shared" si="592"/>
        <v>0</v>
      </c>
      <c r="AR186" s="485">
        <f t="shared" si="592"/>
        <v>0</v>
      </c>
      <c r="AS186" s="485">
        <f t="shared" si="592"/>
        <v>0</v>
      </c>
      <c r="AT186" s="485">
        <f t="shared" si="592"/>
        <v>0</v>
      </c>
      <c r="AU186" s="485">
        <f t="shared" si="592"/>
        <v>0</v>
      </c>
      <c r="AV186" s="485">
        <f t="shared" si="592"/>
        <v>0</v>
      </c>
      <c r="AW186" s="485">
        <f t="shared" si="592"/>
        <v>0</v>
      </c>
      <c r="AX186" s="485">
        <f t="shared" si="592"/>
        <v>0</v>
      </c>
      <c r="AY186" s="485">
        <f t="shared" si="592"/>
        <v>0</v>
      </c>
      <c r="AZ186" s="485">
        <f t="shared" si="592"/>
        <v>0</v>
      </c>
      <c r="BA186" s="485">
        <f t="shared" si="592"/>
        <v>0</v>
      </c>
      <c r="BB186" s="485">
        <f t="shared" si="592"/>
        <v>0</v>
      </c>
      <c r="BC186" s="485">
        <f t="shared" si="592"/>
        <v>0</v>
      </c>
      <c r="BD186" s="485">
        <f t="shared" si="592"/>
        <v>0</v>
      </c>
      <c r="BE186" s="485">
        <f t="shared" si="592"/>
        <v>0</v>
      </c>
      <c r="BF186" s="485">
        <f t="shared" si="592"/>
        <v>0</v>
      </c>
      <c r="BG186" s="485">
        <f t="shared" si="592"/>
        <v>0</v>
      </c>
      <c r="BH186" s="485">
        <f t="shared" si="592"/>
        <v>0</v>
      </c>
      <c r="BI186" s="485">
        <f t="shared" si="592"/>
        <v>0</v>
      </c>
      <c r="BJ186" s="485">
        <f t="shared" si="592"/>
        <v>0</v>
      </c>
      <c r="BK186" s="485">
        <f t="shared" si="592"/>
        <v>0</v>
      </c>
      <c r="BL186" s="485">
        <f t="shared" si="592"/>
        <v>0</v>
      </c>
      <c r="BM186" s="485">
        <f t="shared" si="592"/>
        <v>0</v>
      </c>
      <c r="BN186" s="485">
        <f t="shared" si="592"/>
        <v>0</v>
      </c>
      <c r="BO186" s="485">
        <f t="shared" si="592"/>
        <v>0</v>
      </c>
      <c r="BP186" s="485">
        <f t="shared" si="592"/>
        <v>0</v>
      </c>
      <c r="BQ186" s="485">
        <f t="shared" si="592"/>
        <v>0</v>
      </c>
      <c r="BR186" s="485">
        <f t="shared" ref="BR186:CW186" si="593">IF(BR179&lt;=$E$61+$E$62,BQ186+BR185,0)</f>
        <v>0</v>
      </c>
      <c r="BS186" s="485">
        <f t="shared" si="593"/>
        <v>0</v>
      </c>
      <c r="BT186" s="485">
        <f t="shared" si="593"/>
        <v>0</v>
      </c>
      <c r="BU186" s="485">
        <f t="shared" si="593"/>
        <v>0</v>
      </c>
      <c r="BV186" s="485">
        <f t="shared" si="593"/>
        <v>0</v>
      </c>
      <c r="BW186" s="485">
        <f t="shared" si="593"/>
        <v>0</v>
      </c>
      <c r="BX186" s="485">
        <f t="shared" si="593"/>
        <v>0</v>
      </c>
      <c r="BY186" s="485">
        <f t="shared" si="593"/>
        <v>0</v>
      </c>
      <c r="BZ186" s="485">
        <f t="shared" si="593"/>
        <v>0</v>
      </c>
      <c r="CA186" s="485">
        <f t="shared" si="593"/>
        <v>0</v>
      </c>
      <c r="CB186" s="485">
        <f t="shared" si="593"/>
        <v>0</v>
      </c>
      <c r="CC186" s="485">
        <f t="shared" si="593"/>
        <v>0</v>
      </c>
      <c r="CD186" s="485">
        <f t="shared" si="593"/>
        <v>0</v>
      </c>
      <c r="CE186" s="485">
        <f t="shared" si="593"/>
        <v>0</v>
      </c>
      <c r="CF186" s="485">
        <f t="shared" si="593"/>
        <v>0</v>
      </c>
      <c r="CG186" s="485">
        <f t="shared" si="593"/>
        <v>0</v>
      </c>
      <c r="CH186" s="485">
        <f t="shared" si="593"/>
        <v>0</v>
      </c>
      <c r="CI186" s="485">
        <f t="shared" si="593"/>
        <v>0</v>
      </c>
      <c r="CJ186" s="485">
        <f t="shared" si="593"/>
        <v>0</v>
      </c>
      <c r="CK186" s="485">
        <f t="shared" si="593"/>
        <v>0</v>
      </c>
      <c r="CL186" s="485">
        <f t="shared" si="593"/>
        <v>0</v>
      </c>
      <c r="CM186" s="485">
        <f t="shared" si="593"/>
        <v>0</v>
      </c>
      <c r="CN186" s="485">
        <f t="shared" si="593"/>
        <v>0</v>
      </c>
      <c r="CO186" s="485">
        <f t="shared" si="593"/>
        <v>0</v>
      </c>
      <c r="CP186" s="485">
        <f t="shared" si="593"/>
        <v>0</v>
      </c>
      <c r="CQ186" s="485">
        <f t="shared" si="593"/>
        <v>0</v>
      </c>
      <c r="CR186" s="485">
        <f t="shared" si="593"/>
        <v>0</v>
      </c>
      <c r="CS186" s="485">
        <f t="shared" si="593"/>
        <v>0</v>
      </c>
      <c r="CT186" s="485">
        <f t="shared" si="593"/>
        <v>0</v>
      </c>
      <c r="CU186" s="485">
        <f t="shared" si="593"/>
        <v>0</v>
      </c>
      <c r="CV186" s="485">
        <f t="shared" si="593"/>
        <v>0</v>
      </c>
      <c r="CW186" s="485">
        <f t="shared" si="593"/>
        <v>0</v>
      </c>
      <c r="CX186" s="485">
        <f t="shared" ref="CX186:CZ186" si="594">IF(CX179&lt;=$E$61+$E$62,CW186+CX185,0)</f>
        <v>0</v>
      </c>
      <c r="CY186" s="485">
        <f t="shared" si="594"/>
        <v>0</v>
      </c>
      <c r="CZ186" s="485">
        <f t="shared" si="594"/>
        <v>0</v>
      </c>
    </row>
    <row r="187" spans="2:104" x14ac:dyDescent="0.35">
      <c r="B187" s="490"/>
      <c r="C187" s="126">
        <f t="shared" si="579"/>
        <v>42529053.002832651</v>
      </c>
      <c r="D187" s="101" t="s">
        <v>683</v>
      </c>
      <c r="E187" s="485">
        <f>IF(E172&lt;0.3*E185,E172,MAX(0.3*E185,0))</f>
        <v>0</v>
      </c>
      <c r="F187" s="485">
        <f t="shared" ref="F187" si="595">IF(F172&lt;0.3*F185,F172,MAX(0.3*F185,0))</f>
        <v>0</v>
      </c>
      <c r="G187" s="485">
        <f>IF(G172&lt;0.3*G185,G172,MAX(0.3*G185,0))</f>
        <v>0</v>
      </c>
      <c r="H187" s="485">
        <f>IF(H172&lt;0.3*H185,H172,MAX(0.3*H185,0))</f>
        <v>0</v>
      </c>
      <c r="I187" s="485">
        <f>IF(I172&lt;0.3*I185,I172,MAX(0.3*I185,0))</f>
        <v>6286109.7795335827</v>
      </c>
      <c r="J187" s="485">
        <f t="shared" ref="J187:AG187" si="596">IF(J172&lt;0.3*J185,J172,MAX(0.3*J185,0))</f>
        <v>4028135.5810668468</v>
      </c>
      <c r="K187" s="485">
        <f t="shared" si="596"/>
        <v>4743710.0765743246</v>
      </c>
      <c r="L187" s="485">
        <f t="shared" si="596"/>
        <v>5099830.6538319178</v>
      </c>
      <c r="M187" s="485">
        <f t="shared" si="596"/>
        <v>4656031.9921983285</v>
      </c>
      <c r="N187" s="485">
        <f t="shared" si="596"/>
        <v>4185605.4108667239</v>
      </c>
      <c r="O187" s="485">
        <f t="shared" si="596"/>
        <v>3686953.2346552229</v>
      </c>
      <c r="P187" s="485">
        <f t="shared" si="596"/>
        <v>3158381.9278710322</v>
      </c>
      <c r="Q187" s="485">
        <f t="shared" si="596"/>
        <v>2598096.3426797893</v>
      </c>
      <c r="R187" s="485">
        <f t="shared" si="596"/>
        <v>2004193.6223770725</v>
      </c>
      <c r="S187" s="485">
        <f t="shared" si="596"/>
        <v>1374656.7388561924</v>
      </c>
      <c r="T187" s="485">
        <f t="shared" si="596"/>
        <v>707347.64232405962</v>
      </c>
      <c r="U187" s="485">
        <f t="shared" si="596"/>
        <v>-1.1175870895385742E-9</v>
      </c>
      <c r="V187" s="485">
        <f t="shared" si="596"/>
        <v>-1.1846423149108887E-9</v>
      </c>
      <c r="W187" s="485">
        <f t="shared" si="596"/>
        <v>-1.2557208538055418E-9</v>
      </c>
      <c r="X187" s="485">
        <f t="shared" si="596"/>
        <v>-1.3310641050338744E-9</v>
      </c>
      <c r="Y187" s="485">
        <f t="shared" si="596"/>
        <v>-1.4109279513359068E-9</v>
      </c>
      <c r="Z187" s="485">
        <f t="shared" si="596"/>
        <v>-1.4955836284160612E-9</v>
      </c>
      <c r="AA187" s="485">
        <f t="shared" si="596"/>
        <v>-1.5853186461210249E-9</v>
      </c>
      <c r="AB187" s="485">
        <f t="shared" si="596"/>
        <v>-1.6804377648882865E-9</v>
      </c>
      <c r="AC187" s="485">
        <f t="shared" si="596"/>
        <v>-1.7812640307815838E-9</v>
      </c>
      <c r="AD187" s="485">
        <f t="shared" si="596"/>
        <v>-1.8881398726284786E-9</v>
      </c>
      <c r="AE187" s="485">
        <f t="shared" si="596"/>
        <v>-2.0014282649861875E-9</v>
      </c>
      <c r="AF187" s="485">
        <f t="shared" si="596"/>
        <v>-2.121513960885359E-9</v>
      </c>
      <c r="AG187" s="485">
        <f t="shared" si="596"/>
        <v>-2.2488047985384804E-9</v>
      </c>
      <c r="AH187" s="485">
        <f>IF(AH172&lt;0.3*AH185,AH172,MAX(0.3*AH185,0))</f>
        <v>-2.3837330864507888E-9</v>
      </c>
      <c r="AI187" s="485">
        <f>IF(AI172&lt;0.3*AI185,AI172,MAX(0.3*AI185,0))</f>
        <v>-2.5267570716378363E-9</v>
      </c>
      <c r="AJ187" s="485">
        <f t="shared" ref="AJ187:CU187" si="597">IF(AJ172&lt;0.3*AJ185,AJ172,MAX(0.3*AJ185,0))</f>
        <v>-2.6783624959361065E-9</v>
      </c>
      <c r="AK187" s="485">
        <f t="shared" si="597"/>
        <v>-2.8390642456922729E-9</v>
      </c>
      <c r="AL187" s="485">
        <f t="shared" si="597"/>
        <v>-3.0094081004338092E-9</v>
      </c>
      <c r="AM187" s="485">
        <f t="shared" si="597"/>
        <v>-3.1899725864598378E-9</v>
      </c>
      <c r="AN187" s="485">
        <f t="shared" si="597"/>
        <v>-3.3813709416474281E-9</v>
      </c>
      <c r="AO187" s="485">
        <f t="shared" si="597"/>
        <v>-3.5842531981462739E-9</v>
      </c>
      <c r="AP187" s="485">
        <f t="shared" si="597"/>
        <v>-3.7993083900350508E-9</v>
      </c>
      <c r="AQ187" s="485">
        <f t="shared" si="597"/>
        <v>-4.0272668934371533E-9</v>
      </c>
      <c r="AR187" s="485">
        <f t="shared" si="597"/>
        <v>-4.2689029070433831E-9</v>
      </c>
      <c r="AS187" s="485">
        <f t="shared" si="597"/>
        <v>-4.5250370814659855E-9</v>
      </c>
      <c r="AT187" s="485">
        <f t="shared" si="597"/>
        <v>-4.7965393063539443E-9</v>
      </c>
      <c r="AU187" s="485">
        <f t="shared" si="597"/>
        <v>-5.0843316647351813E-9</v>
      </c>
      <c r="AV187" s="485">
        <f t="shared" si="597"/>
        <v>-5.3893915646192918E-9</v>
      </c>
      <c r="AW187" s="485">
        <f t="shared" si="597"/>
        <v>-5.7127550584964495E-9</v>
      </c>
      <c r="AX187" s="485">
        <f t="shared" si="597"/>
        <v>-6.0555203620062361E-9</v>
      </c>
      <c r="AY187" s="485">
        <f t="shared" si="597"/>
        <v>-6.4188515837266112E-9</v>
      </c>
      <c r="AZ187" s="485">
        <f t="shared" si="597"/>
        <v>-6.8039826787502077E-9</v>
      </c>
      <c r="BA187" s="485">
        <f t="shared" si="597"/>
        <v>-7.2122216394752209E-9</v>
      </c>
      <c r="BB187" s="485">
        <f t="shared" si="597"/>
        <v>-7.6449549378437352E-9</v>
      </c>
      <c r="BC187" s="485">
        <f t="shared" si="597"/>
        <v>-8.1036522341143588E-9</v>
      </c>
      <c r="BD187" s="485">
        <f t="shared" si="597"/>
        <v>-8.5898713681612192E-9</v>
      </c>
      <c r="BE187" s="485">
        <f t="shared" si="597"/>
        <v>-9.1052636502508921E-9</v>
      </c>
      <c r="BF187" s="485">
        <f t="shared" si="597"/>
        <v>-9.6515794692659465E-9</v>
      </c>
      <c r="BG187" s="485">
        <f t="shared" si="597"/>
        <v>-1.0230674237421902E-8</v>
      </c>
      <c r="BH187" s="485">
        <f t="shared" si="597"/>
        <v>-1.0844514691667215E-8</v>
      </c>
      <c r="BI187" s="485">
        <f t="shared" si="597"/>
        <v>-1.149518557316725E-8</v>
      </c>
      <c r="BJ187" s="485">
        <f t="shared" si="597"/>
        <v>-1.2184896707557284E-8</v>
      </c>
      <c r="BK187" s="485">
        <f t="shared" si="597"/>
        <v>-1.2915990510010722E-8</v>
      </c>
      <c r="BL187" s="485">
        <f t="shared" si="597"/>
        <v>-1.3690949940611364E-8</v>
      </c>
      <c r="BM187" s="485">
        <f t="shared" si="597"/>
        <v>-1.4512406937048047E-8</v>
      </c>
      <c r="BN187" s="485">
        <f t="shared" si="597"/>
        <v>-1.5383151353270931E-8</v>
      </c>
      <c r="BO187" s="485">
        <f t="shared" si="597"/>
        <v>-1.6306140434467186E-8</v>
      </c>
      <c r="BP187" s="485">
        <f t="shared" si="597"/>
        <v>-1.7284508860535216E-8</v>
      </c>
      <c r="BQ187" s="485">
        <f t="shared" si="597"/>
        <v>-1.8321579392167333E-8</v>
      </c>
      <c r="BR187" s="485">
        <f t="shared" si="597"/>
        <v>-1.9420874155697373E-8</v>
      </c>
      <c r="BS187" s="485">
        <f t="shared" si="597"/>
        <v>-2.0586126605039211E-8</v>
      </c>
      <c r="BT187" s="485">
        <f t="shared" si="597"/>
        <v>-2.1821294201341566E-8</v>
      </c>
      <c r="BU187" s="485">
        <f t="shared" si="597"/>
        <v>-2.313057185342206E-8</v>
      </c>
      <c r="BV187" s="485">
        <f t="shared" si="597"/>
        <v>-2.4518406164627383E-8</v>
      </c>
      <c r="BW187" s="485">
        <f t="shared" si="597"/>
        <v>-2.5989510534505023E-8</v>
      </c>
      <c r="BX187" s="485">
        <f t="shared" si="597"/>
        <v>-2.7548881166575325E-8</v>
      </c>
      <c r="BY187" s="485">
        <f t="shared" si="597"/>
        <v>-2.9201814036569843E-8</v>
      </c>
      <c r="BZ187" s="485">
        <f t="shared" si="597"/>
        <v>-3.0953922878764034E-8</v>
      </c>
      <c r="CA187" s="485">
        <f t="shared" si="597"/>
        <v>-3.2811158251489878E-8</v>
      </c>
      <c r="CB187" s="485">
        <f t="shared" si="597"/>
        <v>-3.4779827746579266E-8</v>
      </c>
      <c r="CC187" s="485">
        <f t="shared" si="597"/>
        <v>-3.686661741137402E-8</v>
      </c>
      <c r="CD187" s="485">
        <f t="shared" si="597"/>
        <v>-3.907861445605646E-8</v>
      </c>
      <c r="CE187" s="485">
        <f t="shared" si="597"/>
        <v>-4.1423331323419847E-8</v>
      </c>
      <c r="CF187" s="485">
        <f t="shared" si="597"/>
        <v>-4.3908731202825034E-8</v>
      </c>
      <c r="CG187" s="485">
        <f t="shared" si="597"/>
        <v>-4.6543255074994537E-8</v>
      </c>
      <c r="CH187" s="485">
        <f t="shared" si="597"/>
        <v>-4.9335850379494204E-8</v>
      </c>
      <c r="CI187" s="485">
        <f t="shared" si="597"/>
        <v>-5.2296001402263859E-8</v>
      </c>
      <c r="CJ187" s="485">
        <f t="shared" si="597"/>
        <v>-5.5433761486399689E-8</v>
      </c>
      <c r="CK187" s="485">
        <f t="shared" si="597"/>
        <v>-5.8759787175583676E-8</v>
      </c>
      <c r="CL187" s="485">
        <f t="shared" si="597"/>
        <v>-6.2285374406118693E-8</v>
      </c>
      <c r="CM187" s="485">
        <f t="shared" si="597"/>
        <v>-6.6022496870485827E-8</v>
      </c>
      <c r="CN187" s="485">
        <f t="shared" si="597"/>
        <v>-6.9983846682714972E-8</v>
      </c>
      <c r="CO187" s="485">
        <f t="shared" si="597"/>
        <v>-7.4182877483677863E-8</v>
      </c>
      <c r="CP187" s="485">
        <f t="shared" si="597"/>
        <v>-7.8633850132698537E-8</v>
      </c>
      <c r="CQ187" s="485">
        <f t="shared" si="597"/>
        <v>-8.3351881140660445E-8</v>
      </c>
      <c r="CR187" s="485">
        <f t="shared" si="597"/>
        <v>-8.8352994009100074E-8</v>
      </c>
      <c r="CS187" s="485">
        <f t="shared" si="597"/>
        <v>-9.3654173649646072E-8</v>
      </c>
      <c r="CT187" s="485">
        <f t="shared" si="597"/>
        <v>-9.9273424068624844E-8</v>
      </c>
      <c r="CU187" s="485">
        <f t="shared" si="597"/>
        <v>-1.0522982951274233E-7</v>
      </c>
      <c r="CV187" s="485">
        <f t="shared" ref="CV187:CZ187" si="598">IF(CV172&lt;0.3*CV185,CV172,MAX(0.3*CV185,0))</f>
        <v>-1.1154361928350687E-7</v>
      </c>
      <c r="CW187" s="485">
        <f t="shared" si="598"/>
        <v>-1.1823623644051729E-7</v>
      </c>
      <c r="CX187" s="485">
        <f t="shared" si="598"/>
        <v>-1.2533041062694833E-7</v>
      </c>
      <c r="CY187" s="485">
        <f t="shared" si="598"/>
        <v>-1.3285023526456524E-7</v>
      </c>
      <c r="CZ187" s="485">
        <f t="shared" si="598"/>
        <v>-1.4082124938043915E-7</v>
      </c>
    </row>
    <row r="188" spans="2:104" x14ac:dyDescent="0.35">
      <c r="B188" s="98"/>
      <c r="C188" s="126">
        <f t="shared" si="579"/>
        <v>14590667.069552334</v>
      </c>
      <c r="D188" s="101" t="s">
        <v>684</v>
      </c>
      <c r="E188" s="485">
        <f t="shared" ref="E188:G188" si="599">IF(AND(E187&lt;0.3*E185,D190&gt;0),MIN(D190,0.3*E185-E187),0)</f>
        <v>0</v>
      </c>
      <c r="F188" s="485">
        <f t="shared" si="599"/>
        <v>0</v>
      </c>
      <c r="G188" s="485">
        <f t="shared" si="599"/>
        <v>0</v>
      </c>
      <c r="H188" s="485">
        <f>IF(AND(H187&lt;0.3*H185,G190&gt;0),MIN(G190,0.3*H185-H187),0)</f>
        <v>0</v>
      </c>
      <c r="I188" s="485">
        <f>IF(AND(I187&lt;0.3*I185,H190&gt;0),MIN(H190,0.3*I185-I187),0)</f>
        <v>65908.118226338178</v>
      </c>
      <c r="J188" s="485">
        <f t="shared" ref="J188:AG188" si="600">IF(AND(J187&lt;0.3*J185,I190&gt;0),MIN(I190,0.3*J185-J187),0)</f>
        <v>0</v>
      </c>
      <c r="K188" s="485">
        <f t="shared" si="600"/>
        <v>0</v>
      </c>
      <c r="L188" s="485">
        <f t="shared" si="600"/>
        <v>307479.09036841523</v>
      </c>
      <c r="M188" s="485">
        <f t="shared" si="600"/>
        <v>1374117.7085621459</v>
      </c>
      <c r="N188" s="485">
        <f t="shared" si="600"/>
        <v>2432270.8645816981</v>
      </c>
      <c r="O188" s="485">
        <f t="shared" si="600"/>
        <v>3316505.4408237794</v>
      </c>
      <c r="P188" s="485">
        <f t="shared" si="600"/>
        <v>4050875.2110285736</v>
      </c>
      <c r="Q188" s="485">
        <f t="shared" si="600"/>
        <v>3043510.6359613831</v>
      </c>
      <c r="R188" s="485">
        <f t="shared" si="600"/>
        <v>0</v>
      </c>
      <c r="S188" s="485">
        <f t="shared" si="600"/>
        <v>0</v>
      </c>
      <c r="T188" s="485">
        <f t="shared" si="600"/>
        <v>0</v>
      </c>
      <c r="U188" s="485">
        <f t="shared" si="600"/>
        <v>0</v>
      </c>
      <c r="V188" s="485">
        <f t="shared" si="600"/>
        <v>0</v>
      </c>
      <c r="W188" s="485">
        <f t="shared" si="600"/>
        <v>0</v>
      </c>
      <c r="X188" s="485">
        <f t="shared" si="600"/>
        <v>0</v>
      </c>
      <c r="Y188" s="485">
        <f t="shared" si="600"/>
        <v>0</v>
      </c>
      <c r="Z188" s="485">
        <f t="shared" si="600"/>
        <v>0</v>
      </c>
      <c r="AA188" s="485">
        <f t="shared" si="600"/>
        <v>0</v>
      </c>
      <c r="AB188" s="485">
        <f t="shared" si="600"/>
        <v>0</v>
      </c>
      <c r="AC188" s="485">
        <f t="shared" si="600"/>
        <v>0</v>
      </c>
      <c r="AD188" s="485">
        <f t="shared" si="600"/>
        <v>0</v>
      </c>
      <c r="AE188" s="485">
        <f t="shared" si="600"/>
        <v>0</v>
      </c>
      <c r="AF188" s="485">
        <f t="shared" si="600"/>
        <v>0</v>
      </c>
      <c r="AG188" s="485">
        <f t="shared" si="600"/>
        <v>0</v>
      </c>
      <c r="AH188" s="485">
        <f>IF(AND(AH187&lt;0.3*AH185,AG190&gt;0),MIN(AG190,0.3*AH185-AH187),0)</f>
        <v>0</v>
      </c>
      <c r="AI188" s="485">
        <f>IF(AND(AI187&lt;0.3*AI185,AH190&gt;0),MIN(AH190,0.3*AI185-AI187),0)</f>
        <v>0</v>
      </c>
      <c r="AJ188" s="485">
        <f t="shared" ref="AJ188" si="601">IF(AND(AJ187&lt;0.3*AJ185,AI190&gt;0),MIN(AI190,0.3*AJ185-AJ187),0)</f>
        <v>0</v>
      </c>
      <c r="AK188" s="485">
        <f t="shared" ref="AK188" si="602">IF(AND(AK187&lt;0.3*AK185,AJ190&gt;0),MIN(AJ190,0.3*AK185-AK187),0)</f>
        <v>0</v>
      </c>
      <c r="AL188" s="485">
        <f t="shared" ref="AL188" si="603">IF(AND(AL187&lt;0.3*AL185,AK190&gt;0),MIN(AK190,0.3*AL185-AL187),0)</f>
        <v>0</v>
      </c>
      <c r="AM188" s="485">
        <f t="shared" ref="AM188" si="604">IF(AND(AM187&lt;0.3*AM185,AL190&gt;0),MIN(AL190,0.3*AM185-AM187),0)</f>
        <v>0</v>
      </c>
      <c r="AN188" s="485">
        <f t="shared" ref="AN188" si="605">IF(AND(AN187&lt;0.3*AN185,AM190&gt;0),MIN(AM190,0.3*AN185-AN187),0)</f>
        <v>0</v>
      </c>
      <c r="AO188" s="485">
        <f t="shared" ref="AO188" si="606">IF(AND(AO187&lt;0.3*AO185,AN190&gt;0),MIN(AN190,0.3*AO185-AO187),0)</f>
        <v>0</v>
      </c>
      <c r="AP188" s="485">
        <f t="shared" ref="AP188" si="607">IF(AND(AP187&lt;0.3*AP185,AO190&gt;0),MIN(AO190,0.3*AP185-AP187),0)</f>
        <v>0</v>
      </c>
      <c r="AQ188" s="485">
        <f t="shared" ref="AQ188" si="608">IF(AND(AQ187&lt;0.3*AQ185,AP190&gt;0),MIN(AP190,0.3*AQ185-AQ187),0)</f>
        <v>0</v>
      </c>
      <c r="AR188" s="485">
        <f t="shared" ref="AR188" si="609">IF(AND(AR187&lt;0.3*AR185,AQ190&gt;0),MIN(AQ190,0.3*AR185-AR187),0)</f>
        <v>0</v>
      </c>
      <c r="AS188" s="485">
        <f t="shared" ref="AS188" si="610">IF(AND(AS187&lt;0.3*AS185,AR190&gt;0),MIN(AR190,0.3*AS185-AS187),0)</f>
        <v>0</v>
      </c>
      <c r="AT188" s="485">
        <f t="shared" ref="AT188" si="611">IF(AND(AT187&lt;0.3*AT185,AS190&gt;0),MIN(AS190,0.3*AT185-AT187),0)</f>
        <v>0</v>
      </c>
      <c r="AU188" s="485">
        <f t="shared" ref="AU188" si="612">IF(AND(AU187&lt;0.3*AU185,AT190&gt;0),MIN(AT190,0.3*AU185-AU187),0)</f>
        <v>0</v>
      </c>
      <c r="AV188" s="485">
        <f t="shared" ref="AV188" si="613">IF(AND(AV187&lt;0.3*AV185,AU190&gt;0),MIN(AU190,0.3*AV185-AV187),0)</f>
        <v>0</v>
      </c>
      <c r="AW188" s="485">
        <f t="shared" ref="AW188" si="614">IF(AND(AW187&lt;0.3*AW185,AV190&gt;0),MIN(AV190,0.3*AW185-AW187),0)</f>
        <v>0</v>
      </c>
      <c r="AX188" s="485">
        <f t="shared" ref="AX188" si="615">IF(AND(AX187&lt;0.3*AX185,AW190&gt;0),MIN(AW190,0.3*AX185-AX187),0)</f>
        <v>0</v>
      </c>
      <c r="AY188" s="485">
        <f t="shared" ref="AY188" si="616">IF(AND(AY187&lt;0.3*AY185,AX190&gt;0),MIN(AX190,0.3*AY185-AY187),0)</f>
        <v>0</v>
      </c>
      <c r="AZ188" s="485">
        <f t="shared" ref="AZ188" si="617">IF(AND(AZ187&lt;0.3*AZ185,AY190&gt;0),MIN(AY190,0.3*AZ185-AZ187),0)</f>
        <v>0</v>
      </c>
      <c r="BA188" s="485">
        <f t="shared" ref="BA188" si="618">IF(AND(BA187&lt;0.3*BA185,AZ190&gt;0),MIN(AZ190,0.3*BA185-BA187),0)</f>
        <v>0</v>
      </c>
      <c r="BB188" s="485">
        <f t="shared" ref="BB188" si="619">IF(AND(BB187&lt;0.3*BB185,BA190&gt;0),MIN(BA190,0.3*BB185-BB187),0)</f>
        <v>0</v>
      </c>
      <c r="BC188" s="485">
        <f t="shared" ref="BC188" si="620">IF(AND(BC187&lt;0.3*BC185,BB190&gt;0),MIN(BB190,0.3*BC185-BC187),0)</f>
        <v>0</v>
      </c>
      <c r="BD188" s="485">
        <f t="shared" ref="BD188" si="621">IF(AND(BD187&lt;0.3*BD185,BC190&gt;0),MIN(BC190,0.3*BD185-BD187),0)</f>
        <v>0</v>
      </c>
      <c r="BE188" s="485">
        <f t="shared" ref="BE188" si="622">IF(AND(BE187&lt;0.3*BE185,BD190&gt;0),MIN(BD190,0.3*BE185-BE187),0)</f>
        <v>0</v>
      </c>
      <c r="BF188" s="485">
        <f t="shared" ref="BF188" si="623">IF(AND(BF187&lt;0.3*BF185,BE190&gt;0),MIN(BE190,0.3*BF185-BF187),0)</f>
        <v>0</v>
      </c>
      <c r="BG188" s="485">
        <f t="shared" ref="BG188" si="624">IF(AND(BG187&lt;0.3*BG185,BF190&gt;0),MIN(BF190,0.3*BG185-BG187),0)</f>
        <v>0</v>
      </c>
      <c r="BH188" s="485">
        <f t="shared" ref="BH188:BK188" si="625">IF(AND(BH187&lt;0.3*BH185,BG190&gt;0),MIN(BG190,0.3*BH185-BH187),0)</f>
        <v>0</v>
      </c>
      <c r="BI188" s="485">
        <f t="shared" si="625"/>
        <v>0</v>
      </c>
      <c r="BJ188" s="485">
        <f t="shared" si="625"/>
        <v>0</v>
      </c>
      <c r="BK188" s="485">
        <f t="shared" si="625"/>
        <v>0</v>
      </c>
      <c r="BL188" s="485">
        <f t="shared" ref="BL188" si="626">IF(AND(BL187&lt;0.3*BL185,BK190&gt;0),MIN(BK190,0.3*BL185-BL187),0)</f>
        <v>0</v>
      </c>
      <c r="BM188" s="485">
        <f t="shared" ref="BM188" si="627">IF(AND(BM187&lt;0.3*BM185,BL190&gt;0),MIN(BL190,0.3*BM185-BM187),0)</f>
        <v>0</v>
      </c>
      <c r="BN188" s="485">
        <f t="shared" ref="BN188" si="628">IF(AND(BN187&lt;0.3*BN185,BM190&gt;0),MIN(BM190,0.3*BN185-BN187),0)</f>
        <v>0</v>
      </c>
      <c r="BO188" s="485">
        <f t="shared" ref="BO188" si="629">IF(AND(BO187&lt;0.3*BO185,BN190&gt;0),MIN(BN190,0.3*BO185-BO187),0)</f>
        <v>0</v>
      </c>
      <c r="BP188" s="485">
        <f t="shared" ref="BP188" si="630">IF(AND(BP187&lt;0.3*BP185,BO190&gt;0),MIN(BO190,0.3*BP185-BP187),0)</f>
        <v>0</v>
      </c>
      <c r="BQ188" s="485">
        <f t="shared" ref="BQ188" si="631">IF(AND(BQ187&lt;0.3*BQ185,BP190&gt;0),MIN(BP190,0.3*BQ185-BQ187),0)</f>
        <v>0</v>
      </c>
      <c r="BR188" s="485">
        <f t="shared" ref="BR188" si="632">IF(AND(BR187&lt;0.3*BR185,BQ190&gt;0),MIN(BQ190,0.3*BR185-BR187),0)</f>
        <v>0</v>
      </c>
      <c r="BS188" s="485">
        <f t="shared" ref="BS188" si="633">IF(AND(BS187&lt;0.3*BS185,BR190&gt;0),MIN(BR190,0.3*BS185-BS187),0)</f>
        <v>0</v>
      </c>
      <c r="BT188" s="485">
        <f t="shared" ref="BT188" si="634">IF(AND(BT187&lt;0.3*BT185,BS190&gt;0),MIN(BS190,0.3*BT185-BT187),0)</f>
        <v>0</v>
      </c>
      <c r="BU188" s="485">
        <f t="shared" ref="BU188" si="635">IF(AND(BU187&lt;0.3*BU185,BT190&gt;0),MIN(BT190,0.3*BU185-BU187),0)</f>
        <v>0</v>
      </c>
      <c r="BV188" s="485">
        <f t="shared" ref="BV188" si="636">IF(AND(BV187&lt;0.3*BV185,BU190&gt;0),MIN(BU190,0.3*BV185-BV187),0)</f>
        <v>0</v>
      </c>
      <c r="BW188" s="485">
        <f t="shared" ref="BW188" si="637">IF(AND(BW187&lt;0.3*BW185,BV190&gt;0),MIN(BV190,0.3*BW185-BW187),0)</f>
        <v>0</v>
      </c>
      <c r="BX188" s="485">
        <f t="shared" ref="BX188" si="638">IF(AND(BX187&lt;0.3*BX185,BW190&gt;0),MIN(BW190,0.3*BX185-BX187),0)</f>
        <v>0</v>
      </c>
      <c r="BY188" s="485">
        <f t="shared" ref="BY188" si="639">IF(AND(BY187&lt;0.3*BY185,BX190&gt;0),MIN(BX190,0.3*BY185-BY187),0)</f>
        <v>0</v>
      </c>
      <c r="BZ188" s="485">
        <f t="shared" ref="BZ188" si="640">IF(AND(BZ187&lt;0.3*BZ185,BY190&gt;0),MIN(BY190,0.3*BZ185-BZ187),0)</f>
        <v>0</v>
      </c>
      <c r="CA188" s="485">
        <f t="shared" ref="CA188" si="641">IF(AND(CA187&lt;0.3*CA185,BZ190&gt;0),MIN(BZ190,0.3*CA185-CA187),0)</f>
        <v>0</v>
      </c>
      <c r="CB188" s="485">
        <f t="shared" ref="CB188" si="642">IF(AND(CB187&lt;0.3*CB185,CA190&gt;0),MIN(CA190,0.3*CB185-CB187),0)</f>
        <v>0</v>
      </c>
      <c r="CC188" s="485">
        <f t="shared" ref="CC188" si="643">IF(AND(CC187&lt;0.3*CC185,CB190&gt;0),MIN(CB190,0.3*CC185-CC187),0)</f>
        <v>0</v>
      </c>
      <c r="CD188" s="485">
        <f t="shared" ref="CD188" si="644">IF(AND(CD187&lt;0.3*CD185,CC190&gt;0),MIN(CC190,0.3*CD185-CD187),0)</f>
        <v>0</v>
      </c>
      <c r="CE188" s="485">
        <f t="shared" ref="CE188" si="645">IF(AND(CE187&lt;0.3*CE185,CD190&gt;0),MIN(CD190,0.3*CE185-CE187),0)</f>
        <v>0</v>
      </c>
      <c r="CF188" s="485">
        <f t="shared" ref="CF188" si="646">IF(AND(CF187&lt;0.3*CF185,CE190&gt;0),MIN(CE190,0.3*CF185-CF187),0)</f>
        <v>0</v>
      </c>
      <c r="CG188" s="485">
        <f t="shared" ref="CG188" si="647">IF(AND(CG187&lt;0.3*CG185,CF190&gt;0),MIN(CF190,0.3*CG185-CG187),0)</f>
        <v>0</v>
      </c>
      <c r="CH188" s="485">
        <f t="shared" ref="CH188" si="648">IF(AND(CH187&lt;0.3*CH185,CG190&gt;0),MIN(CG190,0.3*CH185-CH187),0)</f>
        <v>0</v>
      </c>
      <c r="CI188" s="485">
        <f t="shared" ref="CI188:CL188" si="649">IF(AND(CI187&lt;0.3*CI185,CH190&gt;0),MIN(CH190,0.3*CI185-CI187),0)</f>
        <v>0</v>
      </c>
      <c r="CJ188" s="485">
        <f t="shared" si="649"/>
        <v>0</v>
      </c>
      <c r="CK188" s="485">
        <f t="shared" si="649"/>
        <v>0</v>
      </c>
      <c r="CL188" s="485">
        <f t="shared" si="649"/>
        <v>0</v>
      </c>
      <c r="CM188" s="485">
        <f t="shared" ref="CM188" si="650">IF(AND(CM187&lt;0.3*CM185,CL190&gt;0),MIN(CL190,0.3*CM185-CM187),0)</f>
        <v>0</v>
      </c>
      <c r="CN188" s="485">
        <f t="shared" ref="CN188" si="651">IF(AND(CN187&lt;0.3*CN185,CM190&gt;0),MIN(CM190,0.3*CN185-CN187),0)</f>
        <v>0</v>
      </c>
      <c r="CO188" s="485">
        <f t="shared" ref="CO188" si="652">IF(AND(CO187&lt;0.3*CO185,CN190&gt;0),MIN(CN190,0.3*CO185-CO187),0)</f>
        <v>0</v>
      </c>
      <c r="CP188" s="485">
        <f t="shared" ref="CP188" si="653">IF(AND(CP187&lt;0.3*CP185,CO190&gt;0),MIN(CO190,0.3*CP185-CP187),0)</f>
        <v>0</v>
      </c>
      <c r="CQ188" s="485">
        <f t="shared" ref="CQ188" si="654">IF(AND(CQ187&lt;0.3*CQ185,CP190&gt;0),MIN(CP190,0.3*CQ185-CQ187),0)</f>
        <v>0</v>
      </c>
      <c r="CR188" s="485">
        <f t="shared" ref="CR188" si="655">IF(AND(CR187&lt;0.3*CR185,CQ190&gt;0),MIN(CQ190,0.3*CR185-CR187),0)</f>
        <v>0</v>
      </c>
      <c r="CS188" s="485">
        <f t="shared" ref="CS188" si="656">IF(AND(CS187&lt;0.3*CS185,CR190&gt;0),MIN(CR190,0.3*CS185-CS187),0)</f>
        <v>0</v>
      </c>
      <c r="CT188" s="485">
        <f t="shared" ref="CT188" si="657">IF(AND(CT187&lt;0.3*CT185,CS190&gt;0),MIN(CS190,0.3*CT185-CT187),0)</f>
        <v>0</v>
      </c>
      <c r="CU188" s="485">
        <f t="shared" ref="CU188" si="658">IF(AND(CU187&lt;0.3*CU185,CT190&gt;0),MIN(CT190,0.3*CU185-CU187),0)</f>
        <v>0</v>
      </c>
      <c r="CV188" s="485">
        <f t="shared" ref="CV188" si="659">IF(AND(CV187&lt;0.3*CV185,CU190&gt;0),MIN(CU190,0.3*CV185-CV187),0)</f>
        <v>0</v>
      </c>
      <c r="CW188" s="485">
        <f t="shared" ref="CW188" si="660">IF(AND(CW187&lt;0.3*CW185,CV190&gt;0),MIN(CV190,0.3*CW185-CW187),0)</f>
        <v>0</v>
      </c>
      <c r="CX188" s="485">
        <f t="shared" ref="CX188" si="661">IF(AND(CX187&lt;0.3*CX185,CW190&gt;0),MIN(CW190,0.3*CX185-CX187),0)</f>
        <v>0</v>
      </c>
      <c r="CY188" s="485">
        <f t="shared" ref="CY188" si="662">IF(AND(CY187&lt;0.3*CY185,CX190&gt;0),MIN(CX190,0.3*CY185-CY187),0)</f>
        <v>0</v>
      </c>
      <c r="CZ188" s="485">
        <f t="shared" ref="CZ188" si="663">IF(AND(CZ187&lt;0.3*CZ185,CY190&gt;0),MIN(CY190,0.3*CZ185-CZ187),0)</f>
        <v>0</v>
      </c>
    </row>
    <row r="189" spans="2:104" x14ac:dyDescent="0.35">
      <c r="B189" s="98"/>
      <c r="C189" s="126">
        <f t="shared" si="579"/>
        <v>14590667.069552336</v>
      </c>
      <c r="D189" s="101" t="s">
        <v>685</v>
      </c>
      <c r="E189" s="485">
        <f>IF(E187&lt;E172,E172-E187,0)</f>
        <v>579541.78988280718</v>
      </c>
      <c r="F189" s="485">
        <f>IF(F187&lt;F172,F172-F187,0)</f>
        <v>1769540.3022222009</v>
      </c>
      <c r="G189" s="485">
        <f>IF(G187&lt;G172,G172-G187,0)</f>
        <v>3651141.8882982866</v>
      </c>
      <c r="H189" s="485">
        <f>IF(H187&lt;H172,H172-H187,0)</f>
        <v>5930292.2448430024</v>
      </c>
      <c r="I189" s="485">
        <f>IF(I187&lt;I172,I172-I187,0)</f>
        <v>0</v>
      </c>
      <c r="J189" s="485">
        <f t="shared" ref="J189:AG189" si="664">IF(J187&lt;J172,J172-J187,0)</f>
        <v>1885352.2843752466</v>
      </c>
      <c r="K189" s="485">
        <f t="shared" si="664"/>
        <v>774798.55993079115</v>
      </c>
      <c r="L189" s="485">
        <f t="shared" si="664"/>
        <v>0</v>
      </c>
      <c r="M189" s="485">
        <f t="shared" si="664"/>
        <v>0</v>
      </c>
      <c r="N189" s="485">
        <f t="shared" si="664"/>
        <v>0</v>
      </c>
      <c r="O189" s="485">
        <f t="shared" si="664"/>
        <v>0</v>
      </c>
      <c r="P189" s="485">
        <f t="shared" si="664"/>
        <v>0</v>
      </c>
      <c r="Q189" s="485">
        <f t="shared" si="664"/>
        <v>0</v>
      </c>
      <c r="R189" s="485">
        <f t="shared" si="664"/>
        <v>0</v>
      </c>
      <c r="S189" s="485">
        <f t="shared" si="664"/>
        <v>0</v>
      </c>
      <c r="T189" s="485">
        <f t="shared" si="664"/>
        <v>0</v>
      </c>
      <c r="U189" s="485">
        <f t="shared" si="664"/>
        <v>0</v>
      </c>
      <c r="V189" s="485">
        <f t="shared" si="664"/>
        <v>0</v>
      </c>
      <c r="W189" s="485">
        <f t="shared" si="664"/>
        <v>0</v>
      </c>
      <c r="X189" s="485">
        <f t="shared" si="664"/>
        <v>0</v>
      </c>
      <c r="Y189" s="485">
        <f t="shared" si="664"/>
        <v>0</v>
      </c>
      <c r="Z189" s="485">
        <f t="shared" si="664"/>
        <v>0</v>
      </c>
      <c r="AA189" s="485">
        <f t="shared" si="664"/>
        <v>0</v>
      </c>
      <c r="AB189" s="485">
        <f t="shared" si="664"/>
        <v>0</v>
      </c>
      <c r="AC189" s="485">
        <f t="shared" si="664"/>
        <v>0</v>
      </c>
      <c r="AD189" s="485">
        <f t="shared" si="664"/>
        <v>0</v>
      </c>
      <c r="AE189" s="485">
        <f t="shared" si="664"/>
        <v>0</v>
      </c>
      <c r="AF189" s="485">
        <f t="shared" si="664"/>
        <v>0</v>
      </c>
      <c r="AG189" s="485">
        <f t="shared" si="664"/>
        <v>0</v>
      </c>
      <c r="AH189" s="485">
        <f>IF(AH187&lt;AH172,AH172-AH187,0)</f>
        <v>0</v>
      </c>
      <c r="AI189" s="485">
        <f>IF(AI187&lt;AI172,AI172-AI187,0)</f>
        <v>0</v>
      </c>
      <c r="AJ189" s="485">
        <f t="shared" ref="AJ189:CU189" si="665">IF(AJ187&lt;AJ172,AJ172-AJ187,0)</f>
        <v>0</v>
      </c>
      <c r="AK189" s="485">
        <f t="shared" si="665"/>
        <v>0</v>
      </c>
      <c r="AL189" s="485">
        <f t="shared" si="665"/>
        <v>0</v>
      </c>
      <c r="AM189" s="485">
        <f t="shared" si="665"/>
        <v>0</v>
      </c>
      <c r="AN189" s="485">
        <f t="shared" si="665"/>
        <v>0</v>
      </c>
      <c r="AO189" s="485">
        <f t="shared" si="665"/>
        <v>0</v>
      </c>
      <c r="AP189" s="485">
        <f t="shared" si="665"/>
        <v>0</v>
      </c>
      <c r="AQ189" s="485">
        <f t="shared" si="665"/>
        <v>0</v>
      </c>
      <c r="AR189" s="485">
        <f t="shared" si="665"/>
        <v>0</v>
      </c>
      <c r="AS189" s="485">
        <f t="shared" si="665"/>
        <v>0</v>
      </c>
      <c r="AT189" s="485">
        <f t="shared" si="665"/>
        <v>0</v>
      </c>
      <c r="AU189" s="485">
        <f t="shared" si="665"/>
        <v>0</v>
      </c>
      <c r="AV189" s="485">
        <f t="shared" si="665"/>
        <v>0</v>
      </c>
      <c r="AW189" s="485">
        <f t="shared" si="665"/>
        <v>0</v>
      </c>
      <c r="AX189" s="485">
        <f t="shared" si="665"/>
        <v>0</v>
      </c>
      <c r="AY189" s="485">
        <f t="shared" si="665"/>
        <v>0</v>
      </c>
      <c r="AZ189" s="485">
        <f t="shared" si="665"/>
        <v>0</v>
      </c>
      <c r="BA189" s="485">
        <f t="shared" si="665"/>
        <v>0</v>
      </c>
      <c r="BB189" s="485">
        <f t="shared" si="665"/>
        <v>0</v>
      </c>
      <c r="BC189" s="485">
        <f t="shared" si="665"/>
        <v>0</v>
      </c>
      <c r="BD189" s="485">
        <f t="shared" si="665"/>
        <v>0</v>
      </c>
      <c r="BE189" s="485">
        <f t="shared" si="665"/>
        <v>0</v>
      </c>
      <c r="BF189" s="485">
        <f t="shared" si="665"/>
        <v>0</v>
      </c>
      <c r="BG189" s="485">
        <f t="shared" si="665"/>
        <v>0</v>
      </c>
      <c r="BH189" s="485">
        <f t="shared" si="665"/>
        <v>0</v>
      </c>
      <c r="BI189" s="485">
        <f t="shared" si="665"/>
        <v>0</v>
      </c>
      <c r="BJ189" s="485">
        <f t="shared" si="665"/>
        <v>0</v>
      </c>
      <c r="BK189" s="485">
        <f t="shared" si="665"/>
        <v>0</v>
      </c>
      <c r="BL189" s="485">
        <f t="shared" si="665"/>
        <v>0</v>
      </c>
      <c r="BM189" s="485">
        <f t="shared" si="665"/>
        <v>0</v>
      </c>
      <c r="BN189" s="485">
        <f t="shared" si="665"/>
        <v>0</v>
      </c>
      <c r="BO189" s="485">
        <f t="shared" si="665"/>
        <v>0</v>
      </c>
      <c r="BP189" s="485">
        <f t="shared" si="665"/>
        <v>0</v>
      </c>
      <c r="BQ189" s="485">
        <f t="shared" si="665"/>
        <v>0</v>
      </c>
      <c r="BR189" s="485">
        <f t="shared" si="665"/>
        <v>0</v>
      </c>
      <c r="BS189" s="485">
        <f t="shared" si="665"/>
        <v>0</v>
      </c>
      <c r="BT189" s="485">
        <f t="shared" si="665"/>
        <v>0</v>
      </c>
      <c r="BU189" s="485">
        <f t="shared" si="665"/>
        <v>0</v>
      </c>
      <c r="BV189" s="485">
        <f t="shared" si="665"/>
        <v>0</v>
      </c>
      <c r="BW189" s="485">
        <f t="shared" si="665"/>
        <v>0</v>
      </c>
      <c r="BX189" s="485">
        <f t="shared" si="665"/>
        <v>0</v>
      </c>
      <c r="BY189" s="485">
        <f t="shared" si="665"/>
        <v>0</v>
      </c>
      <c r="BZ189" s="485">
        <f t="shared" si="665"/>
        <v>0</v>
      </c>
      <c r="CA189" s="485">
        <f t="shared" si="665"/>
        <v>0</v>
      </c>
      <c r="CB189" s="485">
        <f t="shared" si="665"/>
        <v>0</v>
      </c>
      <c r="CC189" s="485">
        <f t="shared" si="665"/>
        <v>0</v>
      </c>
      <c r="CD189" s="485">
        <f t="shared" si="665"/>
        <v>0</v>
      </c>
      <c r="CE189" s="485">
        <f t="shared" si="665"/>
        <v>0</v>
      </c>
      <c r="CF189" s="485">
        <f t="shared" si="665"/>
        <v>0</v>
      </c>
      <c r="CG189" s="485">
        <f t="shared" si="665"/>
        <v>0</v>
      </c>
      <c r="CH189" s="485">
        <f t="shared" si="665"/>
        <v>0</v>
      </c>
      <c r="CI189" s="485">
        <f t="shared" si="665"/>
        <v>0</v>
      </c>
      <c r="CJ189" s="485">
        <f t="shared" si="665"/>
        <v>0</v>
      </c>
      <c r="CK189" s="485">
        <f t="shared" si="665"/>
        <v>0</v>
      </c>
      <c r="CL189" s="485">
        <f t="shared" si="665"/>
        <v>0</v>
      </c>
      <c r="CM189" s="485">
        <f t="shared" si="665"/>
        <v>0</v>
      </c>
      <c r="CN189" s="485">
        <f t="shared" si="665"/>
        <v>0</v>
      </c>
      <c r="CO189" s="485">
        <f t="shared" si="665"/>
        <v>0</v>
      </c>
      <c r="CP189" s="485">
        <f t="shared" si="665"/>
        <v>0</v>
      </c>
      <c r="CQ189" s="485">
        <f t="shared" si="665"/>
        <v>0</v>
      </c>
      <c r="CR189" s="485">
        <f t="shared" si="665"/>
        <v>0</v>
      </c>
      <c r="CS189" s="485">
        <f t="shared" si="665"/>
        <v>0</v>
      </c>
      <c r="CT189" s="485">
        <f t="shared" si="665"/>
        <v>0</v>
      </c>
      <c r="CU189" s="485">
        <f t="shared" si="665"/>
        <v>0</v>
      </c>
      <c r="CV189" s="485">
        <f t="shared" ref="CV189:CZ189" si="666">IF(CV187&lt;CV172,CV172-CV187,0)</f>
        <v>0</v>
      </c>
      <c r="CW189" s="485">
        <f t="shared" si="666"/>
        <v>0</v>
      </c>
      <c r="CX189" s="485">
        <f t="shared" si="666"/>
        <v>0</v>
      </c>
      <c r="CY189" s="485">
        <f t="shared" si="666"/>
        <v>0</v>
      </c>
      <c r="CZ189" s="485">
        <f t="shared" si="666"/>
        <v>0</v>
      </c>
    </row>
    <row r="190" spans="2:104" x14ac:dyDescent="0.35">
      <c r="B190" s="98"/>
      <c r="C190" s="126"/>
      <c r="D190" s="101" t="s">
        <v>686</v>
      </c>
      <c r="E190" s="485">
        <f>E189</f>
        <v>579541.78988280718</v>
      </c>
      <c r="F190" s="485">
        <f>IF(F179&lt;=$E$61+$E$62,F189+E190-F188,0)</f>
        <v>2349082.0921050082</v>
      </c>
      <c r="G190" s="485">
        <f t="shared" ref="G190:U190" si="667">IF(G179&lt;=$E$61+$E$62,G189+F190-G188,0)</f>
        <v>6000223.9804032948</v>
      </c>
      <c r="H190" s="485">
        <f t="shared" si="667"/>
        <v>11930516.225246297</v>
      </c>
      <c r="I190" s="485">
        <f>IF(I179&lt;=$E$61+$E$62,I189+H190-I188,0)</f>
        <v>11864608.107019959</v>
      </c>
      <c r="J190" s="485">
        <f t="shared" si="667"/>
        <v>13749960.391395206</v>
      </c>
      <c r="K190" s="485">
        <f t="shared" si="667"/>
        <v>14524758.951325998</v>
      </c>
      <c r="L190" s="485">
        <f t="shared" si="667"/>
        <v>14217279.860957582</v>
      </c>
      <c r="M190" s="485">
        <f t="shared" si="667"/>
        <v>12843162.152395435</v>
      </c>
      <c r="N190" s="485">
        <f t="shared" si="667"/>
        <v>10410891.287813736</v>
      </c>
      <c r="O190" s="485">
        <f t="shared" si="667"/>
        <v>7094385.8469899567</v>
      </c>
      <c r="P190" s="485">
        <f t="shared" si="667"/>
        <v>3043510.6359613831</v>
      </c>
      <c r="Q190" s="485">
        <f t="shared" si="667"/>
        <v>0</v>
      </c>
      <c r="R190" s="485">
        <f t="shared" si="667"/>
        <v>0</v>
      </c>
      <c r="S190" s="485">
        <f t="shared" si="667"/>
        <v>0</v>
      </c>
      <c r="T190" s="485">
        <f t="shared" si="667"/>
        <v>0</v>
      </c>
      <c r="U190" s="485">
        <f t="shared" si="667"/>
        <v>0</v>
      </c>
      <c r="V190" s="485">
        <f>IF(V179&lt;=$E$61+$E$62,V189+U190-V188,0)</f>
        <v>0</v>
      </c>
      <c r="W190" s="485">
        <f t="shared" ref="W190" si="668">IF(W179&lt;=$E$61+$E$62,W189+V190-W188,0)</f>
        <v>0</v>
      </c>
      <c r="X190" s="485">
        <f t="shared" ref="X190" si="669">IF(X179&lt;=$E$61+$E$62,X189+W190-X188,0)</f>
        <v>0</v>
      </c>
      <c r="Y190" s="485">
        <f t="shared" ref="Y190" si="670">IF(Y179&lt;=$E$61+$E$62,Y189+X190-Y188,0)</f>
        <v>0</v>
      </c>
      <c r="Z190" s="485">
        <f t="shared" ref="Z190" si="671">IF(Z179&lt;=$E$61+$E$62,Z189+Y190-Z188,0)</f>
        <v>0</v>
      </c>
      <c r="AA190" s="485">
        <f t="shared" ref="AA190" si="672">IF(AA179&lt;=$E$61+$E$62,AA189+Z190-AA188,0)</f>
        <v>0</v>
      </c>
      <c r="AB190" s="485">
        <f t="shared" ref="AB190" si="673">IF(AB179&lt;=$E$61+$E$62,AB189+AA190-AB188,0)</f>
        <v>0</v>
      </c>
      <c r="AC190" s="485">
        <f t="shared" ref="AC190" si="674">IF(AC179&lt;=$E$61+$E$62,AC189+AB190-AC188,0)</f>
        <v>0</v>
      </c>
      <c r="AD190" s="485">
        <f t="shared" ref="AD190" si="675">IF(AD179&lt;=$E$61+$E$62,AD189+AC190-AD188,0)</f>
        <v>0</v>
      </c>
      <c r="AE190" s="485">
        <f t="shared" ref="AE190" si="676">IF(AE179&lt;=$E$61+$E$62,AE189+AD190-AE188,0)</f>
        <v>0</v>
      </c>
      <c r="AF190" s="485">
        <f t="shared" ref="AF190" si="677">IF(AF179&lt;=$E$61+$E$62,AF189+AE190-AF188,0)</f>
        <v>0</v>
      </c>
      <c r="AG190" s="485">
        <f>IF(AG179&lt;=$E$61+$E$62,AG189+AF190-AG188,0)</f>
        <v>0</v>
      </c>
      <c r="AH190" s="485">
        <f t="shared" ref="AH190" si="678">IF(AH179&lt;=$E$61+$E$62,AH189+AG190-AH188,0)</f>
        <v>0</v>
      </c>
      <c r="AI190" s="485">
        <f t="shared" ref="AI190:AJ190" si="679">IF(AI179&lt;=$E$61+$E$62,AI189+AH190-AI188,0)</f>
        <v>0</v>
      </c>
      <c r="AJ190" s="485">
        <f t="shared" si="679"/>
        <v>0</v>
      </c>
      <c r="AK190" s="485">
        <f t="shared" ref="AK190" si="680">IF(AK179&lt;=$E$61+$E$62,AK189+AJ190-AK188,0)</f>
        <v>0</v>
      </c>
      <c r="AL190" s="485">
        <f t="shared" ref="AL190" si="681">IF(AL179&lt;=$E$61+$E$62,AL189+AK190-AL188,0)</f>
        <v>0</v>
      </c>
      <c r="AM190" s="485">
        <f t="shared" ref="AM190" si="682">IF(AM179&lt;=$E$61+$E$62,AM189+AL190-AM188,0)</f>
        <v>0</v>
      </c>
      <c r="AN190" s="485">
        <f t="shared" ref="AN190" si="683">IF(AN179&lt;=$E$61+$E$62,AN189+AM190-AN188,0)</f>
        <v>0</v>
      </c>
      <c r="AO190" s="485">
        <f t="shared" ref="AO190" si="684">IF(AO179&lt;=$E$61+$E$62,AO189+AN190-AO188,0)</f>
        <v>0</v>
      </c>
      <c r="AP190" s="485">
        <f t="shared" ref="AP190" si="685">IF(AP179&lt;=$E$61+$E$62,AP189+AO190-AP188,0)</f>
        <v>0</v>
      </c>
      <c r="AQ190" s="485">
        <f t="shared" ref="AQ190" si="686">IF(AQ179&lt;=$E$61+$E$62,AQ189+AP190-AQ188,0)</f>
        <v>0</v>
      </c>
      <c r="AR190" s="485">
        <f t="shared" ref="AR190" si="687">IF(AR179&lt;=$E$61+$E$62,AR189+AQ190-AR188,0)</f>
        <v>0</v>
      </c>
      <c r="AS190" s="485">
        <f t="shared" ref="AS190" si="688">IF(AS179&lt;=$E$61+$E$62,AS189+AR190-AS188,0)</f>
        <v>0</v>
      </c>
      <c r="AT190" s="485">
        <f t="shared" ref="AT190" si="689">IF(AT179&lt;=$E$61+$E$62,AT189+AS190-AT188,0)</f>
        <v>0</v>
      </c>
      <c r="AU190" s="485">
        <f t="shared" ref="AU190" si="690">IF(AU179&lt;=$E$61+$E$62,AU189+AT190-AU188,0)</f>
        <v>0</v>
      </c>
      <c r="AV190" s="485">
        <f t="shared" ref="AV190" si="691">IF(AV179&lt;=$E$61+$E$62,AV189+AU190-AV188,0)</f>
        <v>0</v>
      </c>
      <c r="AW190" s="485">
        <f t="shared" ref="AW190" si="692">IF(AW179&lt;=$E$61+$E$62,AW189+AV190-AW188,0)</f>
        <v>0</v>
      </c>
      <c r="AX190" s="485">
        <f t="shared" ref="AX190" si="693">IF(AX179&lt;=$E$61+$E$62,AX189+AW190-AX188,0)</f>
        <v>0</v>
      </c>
      <c r="AY190" s="485">
        <f t="shared" ref="AY190:AZ190" si="694">IF(AY179&lt;=$E$61+$E$62,AY189+AX190-AY188,0)</f>
        <v>0</v>
      </c>
      <c r="AZ190" s="485">
        <f t="shared" si="694"/>
        <v>0</v>
      </c>
      <c r="BA190" s="485">
        <f t="shared" ref="BA190" si="695">IF(BA179&lt;=$E$61+$E$62,BA189+AZ190-BA188,0)</f>
        <v>0</v>
      </c>
      <c r="BB190" s="485">
        <f t="shared" ref="BB190" si="696">IF(BB179&lt;=$E$61+$E$62,BB189+BA190-BB188,0)</f>
        <v>0</v>
      </c>
      <c r="BC190" s="485">
        <f t="shared" ref="BC190" si="697">IF(BC179&lt;=$E$61+$E$62,BC189+BB190-BC188,0)</f>
        <v>0</v>
      </c>
      <c r="BD190" s="485">
        <f t="shared" ref="BD190" si="698">IF(BD179&lt;=$E$61+$E$62,BD189+BC190-BD188,0)</f>
        <v>0</v>
      </c>
      <c r="BE190" s="485">
        <f t="shared" ref="BE190" si="699">IF(BE179&lt;=$E$61+$E$62,BE189+BD190-BE188,0)</f>
        <v>0</v>
      </c>
      <c r="BF190" s="485">
        <f t="shared" ref="BF190" si="700">IF(BF179&lt;=$E$61+$E$62,BF189+BE190-BF188,0)</f>
        <v>0</v>
      </c>
      <c r="BG190" s="485">
        <f t="shared" ref="BG190" si="701">IF(BG179&lt;=$E$61+$E$62,BG189+BF190-BG188,0)</f>
        <v>0</v>
      </c>
      <c r="BH190" s="485">
        <f t="shared" ref="BH190" si="702">IF(BH179&lt;=$E$61+$E$62,BH189+BG190-BH188,0)</f>
        <v>0</v>
      </c>
      <c r="BI190" s="485">
        <f t="shared" ref="BI190" si="703">IF(BI179&lt;=$E$61+$E$62,BI189+BH190-BI188,0)</f>
        <v>0</v>
      </c>
      <c r="BJ190" s="485">
        <f t="shared" ref="BJ190" si="704">IF(BJ179&lt;=$E$61+$E$62,BJ189+BI190-BJ188,0)</f>
        <v>0</v>
      </c>
      <c r="BK190" s="485">
        <f t="shared" ref="BK190" si="705">IF(BK179&lt;=$E$61+$E$62,BK189+BJ190-BK188,0)</f>
        <v>0</v>
      </c>
      <c r="BL190" s="485">
        <f t="shared" ref="BL190" si="706">IF(BL179&lt;=$E$61+$E$62,BL189+BK190-BL188,0)</f>
        <v>0</v>
      </c>
      <c r="BM190" s="485">
        <f t="shared" ref="BM190:BN190" si="707">IF(BM179&lt;=$E$61+$E$62,BM189+BL190-BM188,0)</f>
        <v>0</v>
      </c>
      <c r="BN190" s="485">
        <f t="shared" si="707"/>
        <v>0</v>
      </c>
      <c r="BO190" s="485">
        <f t="shared" ref="BO190" si="708">IF(BO179&lt;=$E$61+$E$62,BO189+BN190-BO188,0)</f>
        <v>0</v>
      </c>
      <c r="BP190" s="485">
        <f t="shared" ref="BP190" si="709">IF(BP179&lt;=$E$61+$E$62,BP189+BO190-BP188,0)</f>
        <v>0</v>
      </c>
      <c r="BQ190" s="485">
        <f t="shared" ref="BQ190" si="710">IF(BQ179&lt;=$E$61+$E$62,BQ189+BP190-BQ188,0)</f>
        <v>0</v>
      </c>
      <c r="BR190" s="485">
        <f t="shared" ref="BR190" si="711">IF(BR179&lt;=$E$61+$E$62,BR189+BQ190-BR188,0)</f>
        <v>0</v>
      </c>
      <c r="BS190" s="485">
        <f t="shared" ref="BS190" si="712">IF(BS179&lt;=$E$61+$E$62,BS189+BR190-BS188,0)</f>
        <v>0</v>
      </c>
      <c r="BT190" s="485">
        <f t="shared" ref="BT190" si="713">IF(BT179&lt;=$E$61+$E$62,BT189+BS190-BT188,0)</f>
        <v>0</v>
      </c>
      <c r="BU190" s="485">
        <f t="shared" ref="BU190" si="714">IF(BU179&lt;=$E$61+$E$62,BU189+BT190-BU188,0)</f>
        <v>0</v>
      </c>
      <c r="BV190" s="485">
        <f t="shared" ref="BV190" si="715">IF(BV179&lt;=$E$61+$E$62,BV189+BU190-BV188,0)</f>
        <v>0</v>
      </c>
      <c r="BW190" s="485">
        <f t="shared" ref="BW190" si="716">IF(BW179&lt;=$E$61+$E$62,BW189+BV190-BW188,0)</f>
        <v>0</v>
      </c>
      <c r="BX190" s="485">
        <f t="shared" ref="BX190" si="717">IF(BX179&lt;=$E$61+$E$62,BX189+BW190-BX188,0)</f>
        <v>0</v>
      </c>
      <c r="BY190" s="485">
        <f t="shared" ref="BY190" si="718">IF(BY179&lt;=$E$61+$E$62,BY189+BX190-BY188,0)</f>
        <v>0</v>
      </c>
      <c r="BZ190" s="485">
        <f t="shared" ref="BZ190" si="719">IF(BZ179&lt;=$E$61+$E$62,BZ189+BY190-BZ188,0)</f>
        <v>0</v>
      </c>
      <c r="CA190" s="485">
        <f t="shared" ref="CA190" si="720">IF(CA179&lt;=$E$61+$E$62,CA189+BZ190-CA188,0)</f>
        <v>0</v>
      </c>
      <c r="CB190" s="485">
        <f t="shared" ref="CB190" si="721">IF(CB179&lt;=$E$61+$E$62,CB189+CA190-CB188,0)</f>
        <v>0</v>
      </c>
      <c r="CC190" s="485">
        <f t="shared" ref="CC190:CD190" si="722">IF(CC179&lt;=$E$61+$E$62,CC189+CB190-CC188,0)</f>
        <v>0</v>
      </c>
      <c r="CD190" s="485">
        <f t="shared" si="722"/>
        <v>0</v>
      </c>
      <c r="CE190" s="485">
        <f t="shared" ref="CE190" si="723">IF(CE179&lt;=$E$61+$E$62,CE189+CD190-CE188,0)</f>
        <v>0</v>
      </c>
      <c r="CF190" s="485">
        <f t="shared" ref="CF190" si="724">IF(CF179&lt;=$E$61+$E$62,CF189+CE190-CF188,0)</f>
        <v>0</v>
      </c>
      <c r="CG190" s="485">
        <f t="shared" ref="CG190" si="725">IF(CG179&lt;=$E$61+$E$62,CG189+CF190-CG188,0)</f>
        <v>0</v>
      </c>
      <c r="CH190" s="485">
        <f t="shared" ref="CH190" si="726">IF(CH179&lt;=$E$61+$E$62,CH189+CG190-CH188,0)</f>
        <v>0</v>
      </c>
      <c r="CI190" s="485">
        <f t="shared" ref="CI190" si="727">IF(CI179&lt;=$E$61+$E$62,CI189+CH190-CI188,0)</f>
        <v>0</v>
      </c>
      <c r="CJ190" s="485">
        <f t="shared" ref="CJ190" si="728">IF(CJ179&lt;=$E$61+$E$62,CJ189+CI190-CJ188,0)</f>
        <v>0</v>
      </c>
      <c r="CK190" s="485">
        <f t="shared" ref="CK190" si="729">IF(CK179&lt;=$E$61+$E$62,CK189+CJ190-CK188,0)</f>
        <v>0</v>
      </c>
      <c r="CL190" s="485">
        <f t="shared" ref="CL190" si="730">IF(CL179&lt;=$E$61+$E$62,CL189+CK190-CL188,0)</f>
        <v>0</v>
      </c>
      <c r="CM190" s="485">
        <f t="shared" ref="CM190" si="731">IF(CM179&lt;=$E$61+$E$62,CM189+CL190-CM188,0)</f>
        <v>0</v>
      </c>
      <c r="CN190" s="485">
        <f t="shared" ref="CN190" si="732">IF(CN179&lt;=$E$61+$E$62,CN189+CM190-CN188,0)</f>
        <v>0</v>
      </c>
      <c r="CO190" s="485">
        <f t="shared" ref="CO190" si="733">IF(CO179&lt;=$E$61+$E$62,CO189+CN190-CO188,0)</f>
        <v>0</v>
      </c>
      <c r="CP190" s="485">
        <f t="shared" ref="CP190" si="734">IF(CP179&lt;=$E$61+$E$62,CP189+CO190-CP188,0)</f>
        <v>0</v>
      </c>
      <c r="CQ190" s="485">
        <f t="shared" ref="CQ190:CR190" si="735">IF(CQ179&lt;=$E$61+$E$62,CQ189+CP190-CQ188,0)</f>
        <v>0</v>
      </c>
      <c r="CR190" s="485">
        <f t="shared" si="735"/>
        <v>0</v>
      </c>
      <c r="CS190" s="485">
        <f t="shared" ref="CS190" si="736">IF(CS179&lt;=$E$61+$E$62,CS189+CR190-CS188,0)</f>
        <v>0</v>
      </c>
      <c r="CT190" s="485">
        <f t="shared" ref="CT190" si="737">IF(CT179&lt;=$E$61+$E$62,CT189+CS190-CT188,0)</f>
        <v>0</v>
      </c>
      <c r="CU190" s="485">
        <f t="shared" ref="CU190" si="738">IF(CU179&lt;=$E$61+$E$62,CU189+CT190-CU188,0)</f>
        <v>0</v>
      </c>
      <c r="CV190" s="485">
        <f t="shared" ref="CV190" si="739">IF(CV179&lt;=$E$61+$E$62,CV189+CU190-CV188,0)</f>
        <v>0</v>
      </c>
      <c r="CW190" s="485">
        <f t="shared" ref="CW190" si="740">IF(CW179&lt;=$E$61+$E$62,CW189+CV190-CW188,0)</f>
        <v>0</v>
      </c>
      <c r="CX190" s="485">
        <f t="shared" ref="CX190" si="741">IF(CX179&lt;=$E$61+$E$62,CX189+CW190-CX188,0)</f>
        <v>0</v>
      </c>
      <c r="CY190" s="485">
        <f t="shared" ref="CY190" si="742">IF(CY179&lt;=$E$61+$E$62,CY189+CX190-CY188,0)</f>
        <v>0</v>
      </c>
      <c r="CZ190" s="485">
        <f t="shared" ref="CZ190" si="743">IF(CZ179&lt;=$E$61+$E$62,CZ189+CY190-CZ188,0)</f>
        <v>0</v>
      </c>
    </row>
    <row r="191" spans="2:104" x14ac:dyDescent="0.35">
      <c r="B191" s="490"/>
      <c r="C191" s="126">
        <f t="shared" si="579"/>
        <v>204078119.29355955</v>
      </c>
      <c r="D191" s="101" t="s">
        <v>687</v>
      </c>
      <c r="E191" s="485">
        <v>0</v>
      </c>
      <c r="F191" s="485">
        <f>IF(OR(F186&lt;=0,F185&lt;=0),0,MIN(F186,F186-E186)-(F187+F188))</f>
        <v>0</v>
      </c>
      <c r="G191" s="485">
        <f t="shared" ref="G191:H191" si="744">IF(OR(G186&lt;=0,G185&lt;=0),0,MIN(G186,G186-F186)-(G187+G188))</f>
        <v>0</v>
      </c>
      <c r="H191" s="485">
        <f t="shared" si="744"/>
        <v>0</v>
      </c>
      <c r="I191" s="485">
        <f>IF(OR(I186&lt;=0,I185&lt;=0),0,MIN(I186,I186-H186)-(I187+I188))</f>
        <v>14821375.094773147</v>
      </c>
      <c r="J191" s="485">
        <f t="shared" ref="J191:BU191" si="745">IF(OR(J186&lt;=0,J185&lt;=0),0,MIN(J186,J186-I186)-(J187+J188))</f>
        <v>9398983.022489313</v>
      </c>
      <c r="K191" s="485">
        <f t="shared" si="745"/>
        <v>11068656.845340088</v>
      </c>
      <c r="L191" s="485">
        <f t="shared" si="745"/>
        <v>12617056.069800779</v>
      </c>
      <c r="M191" s="485">
        <f t="shared" si="745"/>
        <v>14070349.301774437</v>
      </c>
      <c r="N191" s="485">
        <f t="shared" si="745"/>
        <v>15441711.309379656</v>
      </c>
      <c r="O191" s="485">
        <f t="shared" si="745"/>
        <v>16341403.576117672</v>
      </c>
      <c r="P191" s="485">
        <f t="shared" si="745"/>
        <v>16821599.990765739</v>
      </c>
      <c r="Q191" s="485">
        <f t="shared" si="745"/>
        <v>19070397.330634154</v>
      </c>
      <c r="R191" s="485">
        <f t="shared" si="745"/>
        <v>23440087.354060974</v>
      </c>
      <c r="S191" s="485">
        <f t="shared" si="745"/>
        <v>24779039.894127283</v>
      </c>
      <c r="T191" s="485">
        <f t="shared" si="745"/>
        <v>26207459.504296303</v>
      </c>
      <c r="U191" s="485">
        <f t="shared" si="745"/>
        <v>0</v>
      </c>
      <c r="V191" s="485">
        <f t="shared" si="745"/>
        <v>0</v>
      </c>
      <c r="W191" s="485">
        <f t="shared" si="745"/>
        <v>0</v>
      </c>
      <c r="X191" s="485">
        <f t="shared" si="745"/>
        <v>0</v>
      </c>
      <c r="Y191" s="485">
        <f t="shared" si="745"/>
        <v>0</v>
      </c>
      <c r="Z191" s="485">
        <f t="shared" si="745"/>
        <v>0</v>
      </c>
      <c r="AA191" s="485">
        <f t="shared" si="745"/>
        <v>0</v>
      </c>
      <c r="AB191" s="485">
        <f t="shared" si="745"/>
        <v>0</v>
      </c>
      <c r="AC191" s="485">
        <f t="shared" si="745"/>
        <v>0</v>
      </c>
      <c r="AD191" s="485">
        <f t="shared" si="745"/>
        <v>0</v>
      </c>
      <c r="AE191" s="485">
        <f t="shared" si="745"/>
        <v>0</v>
      </c>
      <c r="AF191" s="485">
        <f t="shared" si="745"/>
        <v>0</v>
      </c>
      <c r="AG191" s="485">
        <f t="shared" si="745"/>
        <v>0</v>
      </c>
      <c r="AH191" s="485">
        <f t="shared" si="745"/>
        <v>0</v>
      </c>
      <c r="AI191" s="485">
        <f t="shared" si="745"/>
        <v>0</v>
      </c>
      <c r="AJ191" s="485">
        <f t="shared" si="745"/>
        <v>0</v>
      </c>
      <c r="AK191" s="485">
        <f t="shared" si="745"/>
        <v>0</v>
      </c>
      <c r="AL191" s="485">
        <f t="shared" si="745"/>
        <v>0</v>
      </c>
      <c r="AM191" s="485">
        <f t="shared" si="745"/>
        <v>0</v>
      </c>
      <c r="AN191" s="485">
        <f t="shared" si="745"/>
        <v>0</v>
      </c>
      <c r="AO191" s="485">
        <f t="shared" si="745"/>
        <v>0</v>
      </c>
      <c r="AP191" s="485">
        <f t="shared" si="745"/>
        <v>0</v>
      </c>
      <c r="AQ191" s="485">
        <f t="shared" si="745"/>
        <v>0</v>
      </c>
      <c r="AR191" s="485">
        <f t="shared" si="745"/>
        <v>0</v>
      </c>
      <c r="AS191" s="485">
        <f t="shared" si="745"/>
        <v>0</v>
      </c>
      <c r="AT191" s="485">
        <f t="shared" si="745"/>
        <v>0</v>
      </c>
      <c r="AU191" s="485">
        <f t="shared" si="745"/>
        <v>0</v>
      </c>
      <c r="AV191" s="485">
        <f t="shared" si="745"/>
        <v>0</v>
      </c>
      <c r="AW191" s="485">
        <f t="shared" si="745"/>
        <v>0</v>
      </c>
      <c r="AX191" s="485">
        <f t="shared" si="745"/>
        <v>0</v>
      </c>
      <c r="AY191" s="485">
        <f t="shared" si="745"/>
        <v>0</v>
      </c>
      <c r="AZ191" s="485">
        <f t="shared" si="745"/>
        <v>0</v>
      </c>
      <c r="BA191" s="485">
        <f t="shared" si="745"/>
        <v>0</v>
      </c>
      <c r="BB191" s="485">
        <f t="shared" si="745"/>
        <v>0</v>
      </c>
      <c r="BC191" s="485">
        <f t="shared" si="745"/>
        <v>0</v>
      </c>
      <c r="BD191" s="485">
        <f t="shared" si="745"/>
        <v>0</v>
      </c>
      <c r="BE191" s="485">
        <f t="shared" si="745"/>
        <v>0</v>
      </c>
      <c r="BF191" s="485">
        <f t="shared" si="745"/>
        <v>0</v>
      </c>
      <c r="BG191" s="485">
        <f t="shared" si="745"/>
        <v>0</v>
      </c>
      <c r="BH191" s="485">
        <f t="shared" si="745"/>
        <v>0</v>
      </c>
      <c r="BI191" s="485">
        <f t="shared" si="745"/>
        <v>0</v>
      </c>
      <c r="BJ191" s="485">
        <f t="shared" si="745"/>
        <v>0</v>
      </c>
      <c r="BK191" s="485">
        <f t="shared" si="745"/>
        <v>0</v>
      </c>
      <c r="BL191" s="485">
        <f t="shared" si="745"/>
        <v>0</v>
      </c>
      <c r="BM191" s="485">
        <f t="shared" si="745"/>
        <v>0</v>
      </c>
      <c r="BN191" s="485">
        <f t="shared" si="745"/>
        <v>0</v>
      </c>
      <c r="BO191" s="485">
        <f t="shared" si="745"/>
        <v>0</v>
      </c>
      <c r="BP191" s="485">
        <f t="shared" si="745"/>
        <v>0</v>
      </c>
      <c r="BQ191" s="485">
        <f t="shared" si="745"/>
        <v>0</v>
      </c>
      <c r="BR191" s="485">
        <f t="shared" si="745"/>
        <v>0</v>
      </c>
      <c r="BS191" s="485">
        <f t="shared" si="745"/>
        <v>0</v>
      </c>
      <c r="BT191" s="485">
        <f t="shared" si="745"/>
        <v>0</v>
      </c>
      <c r="BU191" s="485">
        <f t="shared" si="745"/>
        <v>0</v>
      </c>
      <c r="BV191" s="485">
        <f t="shared" ref="BV191:CZ191" si="746">IF(OR(BV186&lt;=0,BV185&lt;=0),0,MIN(BV186,BV186-BU186)-(BV187+BV188))</f>
        <v>0</v>
      </c>
      <c r="BW191" s="485">
        <f t="shared" si="746"/>
        <v>0</v>
      </c>
      <c r="BX191" s="485">
        <f t="shared" si="746"/>
        <v>0</v>
      </c>
      <c r="BY191" s="485">
        <f t="shared" si="746"/>
        <v>0</v>
      </c>
      <c r="BZ191" s="485">
        <f t="shared" si="746"/>
        <v>0</v>
      </c>
      <c r="CA191" s="485">
        <f t="shared" si="746"/>
        <v>0</v>
      </c>
      <c r="CB191" s="485">
        <f t="shared" si="746"/>
        <v>0</v>
      </c>
      <c r="CC191" s="485">
        <f t="shared" si="746"/>
        <v>0</v>
      </c>
      <c r="CD191" s="485">
        <f t="shared" si="746"/>
        <v>0</v>
      </c>
      <c r="CE191" s="485">
        <f t="shared" si="746"/>
        <v>0</v>
      </c>
      <c r="CF191" s="485">
        <f t="shared" si="746"/>
        <v>0</v>
      </c>
      <c r="CG191" s="485">
        <f t="shared" si="746"/>
        <v>0</v>
      </c>
      <c r="CH191" s="485">
        <f t="shared" si="746"/>
        <v>0</v>
      </c>
      <c r="CI191" s="485">
        <f t="shared" si="746"/>
        <v>0</v>
      </c>
      <c r="CJ191" s="485">
        <f t="shared" si="746"/>
        <v>0</v>
      </c>
      <c r="CK191" s="485">
        <f t="shared" si="746"/>
        <v>0</v>
      </c>
      <c r="CL191" s="485">
        <f t="shared" si="746"/>
        <v>0</v>
      </c>
      <c r="CM191" s="485">
        <f t="shared" si="746"/>
        <v>0</v>
      </c>
      <c r="CN191" s="485">
        <f t="shared" si="746"/>
        <v>0</v>
      </c>
      <c r="CO191" s="485">
        <f t="shared" si="746"/>
        <v>0</v>
      </c>
      <c r="CP191" s="485">
        <f t="shared" si="746"/>
        <v>0</v>
      </c>
      <c r="CQ191" s="485">
        <f t="shared" si="746"/>
        <v>0</v>
      </c>
      <c r="CR191" s="485">
        <f t="shared" si="746"/>
        <v>0</v>
      </c>
      <c r="CS191" s="485">
        <f t="shared" si="746"/>
        <v>0</v>
      </c>
      <c r="CT191" s="485">
        <f t="shared" si="746"/>
        <v>0</v>
      </c>
      <c r="CU191" s="485">
        <f t="shared" si="746"/>
        <v>0</v>
      </c>
      <c r="CV191" s="485">
        <f t="shared" si="746"/>
        <v>0</v>
      </c>
      <c r="CW191" s="485">
        <f t="shared" si="746"/>
        <v>0</v>
      </c>
      <c r="CX191" s="485">
        <f t="shared" si="746"/>
        <v>0</v>
      </c>
      <c r="CY191" s="485">
        <f t="shared" si="746"/>
        <v>0</v>
      </c>
      <c r="CZ191" s="485">
        <f t="shared" si="746"/>
        <v>0</v>
      </c>
    </row>
    <row r="192" spans="2:104" x14ac:dyDescent="0.35">
      <c r="B192" s="105"/>
      <c r="C192" s="126">
        <f t="shared" si="579"/>
        <v>48978748.630454287</v>
      </c>
      <c r="D192" s="101" t="s">
        <v>688</v>
      </c>
      <c r="E192" s="485">
        <f>E191*$E$51</f>
        <v>0</v>
      </c>
      <c r="F192" s="485">
        <f t="shared" ref="F192:O192" si="747">F191*$E$51</f>
        <v>0</v>
      </c>
      <c r="G192" s="485">
        <f t="shared" si="747"/>
        <v>0</v>
      </c>
      <c r="H192" s="485">
        <f t="shared" si="747"/>
        <v>0</v>
      </c>
      <c r="I192" s="485">
        <f t="shared" si="747"/>
        <v>3557130.0227455553</v>
      </c>
      <c r="J192" s="485">
        <f t="shared" si="747"/>
        <v>2255755.9253974352</v>
      </c>
      <c r="K192" s="485">
        <f t="shared" si="747"/>
        <v>2656477.6428816211</v>
      </c>
      <c r="L192" s="485">
        <f t="shared" si="747"/>
        <v>3028093.4567521871</v>
      </c>
      <c r="M192" s="485">
        <f t="shared" si="747"/>
        <v>3376883.8324258649</v>
      </c>
      <c r="N192" s="485">
        <f t="shared" si="747"/>
        <v>3706010.7142511173</v>
      </c>
      <c r="O192" s="485">
        <f t="shared" si="747"/>
        <v>3921936.8582682409</v>
      </c>
      <c r="P192" s="485">
        <f t="shared" ref="P192" si="748">P191*$E$51</f>
        <v>4037183.9977837773</v>
      </c>
      <c r="Q192" s="485">
        <f t="shared" ref="Q192" si="749">Q191*$E$51</f>
        <v>4576895.3593521966</v>
      </c>
      <c r="R192" s="485">
        <f t="shared" ref="R192" si="750">R191*$E$51</f>
        <v>5625620.9649746334</v>
      </c>
      <c r="S192" s="485">
        <f t="shared" ref="S192" si="751">S191*$E$51</f>
        <v>5946969.5745905479</v>
      </c>
      <c r="T192" s="485">
        <f t="shared" ref="T192" si="752">T191*$E$51</f>
        <v>6289790.2810311122</v>
      </c>
      <c r="U192" s="485">
        <f>U191*$E$51</f>
        <v>0</v>
      </c>
      <c r="V192" s="485">
        <f t="shared" ref="V192" si="753">V191*$E$51</f>
        <v>0</v>
      </c>
      <c r="W192" s="485">
        <f t="shared" ref="W192" si="754">W191*$E$51</f>
        <v>0</v>
      </c>
      <c r="X192" s="485">
        <f t="shared" ref="X192:Y192" si="755">X191*$E$51</f>
        <v>0</v>
      </c>
      <c r="Y192" s="485">
        <f t="shared" si="755"/>
        <v>0</v>
      </c>
      <c r="Z192" s="485">
        <f t="shared" ref="Z192" si="756">Z191*$E$51</f>
        <v>0</v>
      </c>
      <c r="AA192" s="485">
        <f t="shared" ref="AA192" si="757">AA191*$E$51</f>
        <v>0</v>
      </c>
      <c r="AB192" s="485">
        <f t="shared" ref="AB192" si="758">AB191*$E$51</f>
        <v>0</v>
      </c>
      <c r="AC192" s="485">
        <f t="shared" ref="AC192" si="759">AC191*$E$51</f>
        <v>0</v>
      </c>
      <c r="AD192" s="485">
        <f t="shared" ref="AD192" si="760">AD191*$E$51</f>
        <v>0</v>
      </c>
      <c r="AE192" s="485">
        <f t="shared" ref="AE192" si="761">AE191*$E$51</f>
        <v>0</v>
      </c>
      <c r="AF192" s="485">
        <f t="shared" ref="AF192" si="762">AF191*$E$51</f>
        <v>0</v>
      </c>
      <c r="AG192" s="485">
        <f t="shared" ref="AG192" si="763">AG191*$E$51</f>
        <v>0</v>
      </c>
      <c r="AH192" s="485">
        <f t="shared" ref="AH192:AI192" si="764">AH191*$E$51</f>
        <v>0</v>
      </c>
      <c r="AI192" s="485">
        <f t="shared" si="764"/>
        <v>0</v>
      </c>
      <c r="AJ192" s="485">
        <f t="shared" ref="AJ192" si="765">AJ191*$E$51</f>
        <v>0</v>
      </c>
      <c r="AK192" s="485">
        <f t="shared" ref="AK192" si="766">AK191*$E$51</f>
        <v>0</v>
      </c>
      <c r="AL192" s="485">
        <f t="shared" ref="AL192" si="767">AL191*$E$51</f>
        <v>0</v>
      </c>
      <c r="AM192" s="485">
        <f t="shared" ref="AM192" si="768">AM191*$E$51</f>
        <v>0</v>
      </c>
      <c r="AN192" s="485">
        <f t="shared" ref="AN192" si="769">AN191*$E$51</f>
        <v>0</v>
      </c>
      <c r="AO192" s="485">
        <f t="shared" ref="AO192" si="770">AO191*$E$51</f>
        <v>0</v>
      </c>
      <c r="AP192" s="485">
        <f t="shared" ref="AP192" si="771">AP191*$E$51</f>
        <v>0</v>
      </c>
      <c r="AQ192" s="485">
        <f t="shared" ref="AQ192" si="772">AQ191*$E$51</f>
        <v>0</v>
      </c>
      <c r="AR192" s="485">
        <f t="shared" ref="AR192:AS192" si="773">AR191*$E$51</f>
        <v>0</v>
      </c>
      <c r="AS192" s="485">
        <f t="shared" si="773"/>
        <v>0</v>
      </c>
      <c r="AT192" s="485">
        <f t="shared" ref="AT192" si="774">AT191*$E$51</f>
        <v>0</v>
      </c>
      <c r="AU192" s="485">
        <f t="shared" ref="AU192" si="775">AU191*$E$51</f>
        <v>0</v>
      </c>
      <c r="AV192" s="485">
        <f t="shared" ref="AV192" si="776">AV191*$E$51</f>
        <v>0</v>
      </c>
      <c r="AW192" s="485">
        <f t="shared" ref="AW192" si="777">AW191*$E$51</f>
        <v>0</v>
      </c>
      <c r="AX192" s="485">
        <f t="shared" ref="AX192" si="778">AX191*$E$51</f>
        <v>0</v>
      </c>
      <c r="AY192" s="485">
        <f t="shared" ref="AY192" si="779">AY191*$E$51</f>
        <v>0</v>
      </c>
      <c r="AZ192" s="485">
        <f t="shared" ref="AZ192" si="780">AZ191*$E$51</f>
        <v>0</v>
      </c>
      <c r="BA192" s="485">
        <f t="shared" ref="BA192" si="781">BA191*$E$51</f>
        <v>0</v>
      </c>
      <c r="BB192" s="485">
        <f t="shared" ref="BB192:BC192" si="782">BB191*$E$51</f>
        <v>0</v>
      </c>
      <c r="BC192" s="485">
        <f t="shared" si="782"/>
        <v>0</v>
      </c>
      <c r="BD192" s="485">
        <f t="shared" ref="BD192" si="783">BD191*$E$51</f>
        <v>0</v>
      </c>
      <c r="BE192" s="485">
        <f t="shared" ref="BE192" si="784">BE191*$E$51</f>
        <v>0</v>
      </c>
      <c r="BF192" s="485">
        <f t="shared" ref="BF192" si="785">BF191*$E$51</f>
        <v>0</v>
      </c>
      <c r="BG192" s="485">
        <f t="shared" ref="BG192" si="786">BG191*$E$51</f>
        <v>0</v>
      </c>
      <c r="BH192" s="485">
        <f t="shared" ref="BH192" si="787">BH191*$E$51</f>
        <v>0</v>
      </c>
      <c r="BI192" s="485">
        <f t="shared" ref="BI192" si="788">BI191*$E$51</f>
        <v>0</v>
      </c>
      <c r="BJ192" s="485">
        <f t="shared" ref="BJ192" si="789">BJ191*$E$51</f>
        <v>0</v>
      </c>
      <c r="BK192" s="485">
        <f t="shared" ref="BK192" si="790">BK191*$E$51</f>
        <v>0</v>
      </c>
      <c r="BL192" s="485">
        <f t="shared" ref="BL192:BM192" si="791">BL191*$E$51</f>
        <v>0</v>
      </c>
      <c r="BM192" s="485">
        <f t="shared" si="791"/>
        <v>0</v>
      </c>
      <c r="BN192" s="485">
        <f t="shared" ref="BN192" si="792">BN191*$E$51</f>
        <v>0</v>
      </c>
      <c r="BO192" s="485">
        <f t="shared" ref="BO192" si="793">BO191*$E$51</f>
        <v>0</v>
      </c>
      <c r="BP192" s="485">
        <f t="shared" ref="BP192" si="794">BP191*$E$51</f>
        <v>0</v>
      </c>
      <c r="BQ192" s="485">
        <f t="shared" ref="BQ192" si="795">BQ191*$E$51</f>
        <v>0</v>
      </c>
      <c r="BR192" s="485">
        <f t="shared" ref="BR192" si="796">BR191*$E$51</f>
        <v>0</v>
      </c>
      <c r="BS192" s="485">
        <f t="shared" ref="BS192" si="797">BS191*$E$51</f>
        <v>0</v>
      </c>
      <c r="BT192" s="485">
        <f t="shared" ref="BT192" si="798">BT191*$E$51</f>
        <v>0</v>
      </c>
      <c r="BU192" s="485">
        <f t="shared" ref="BU192" si="799">BU191*$E$51</f>
        <v>0</v>
      </c>
      <c r="BV192" s="485">
        <f t="shared" ref="BV192:BW192" si="800">BV191*$E$51</f>
        <v>0</v>
      </c>
      <c r="BW192" s="485">
        <f t="shared" si="800"/>
        <v>0</v>
      </c>
      <c r="BX192" s="485">
        <f t="shared" ref="BX192" si="801">BX191*$E$51</f>
        <v>0</v>
      </c>
      <c r="BY192" s="485">
        <f t="shared" ref="BY192" si="802">BY191*$E$51</f>
        <v>0</v>
      </c>
      <c r="BZ192" s="485">
        <f t="shared" ref="BZ192" si="803">BZ191*$E$51</f>
        <v>0</v>
      </c>
      <c r="CA192" s="485">
        <f t="shared" ref="CA192" si="804">CA191*$E$51</f>
        <v>0</v>
      </c>
      <c r="CB192" s="485">
        <f t="shared" ref="CB192" si="805">CB191*$E$51</f>
        <v>0</v>
      </c>
      <c r="CC192" s="485">
        <f t="shared" ref="CC192" si="806">CC191*$E$51</f>
        <v>0</v>
      </c>
      <c r="CD192" s="485">
        <f t="shared" ref="CD192" si="807">CD191*$E$51</f>
        <v>0</v>
      </c>
      <c r="CE192" s="485">
        <f t="shared" ref="CE192" si="808">CE191*$E$51</f>
        <v>0</v>
      </c>
      <c r="CF192" s="485">
        <f t="shared" ref="CF192:CG192" si="809">CF191*$E$51</f>
        <v>0</v>
      </c>
      <c r="CG192" s="485">
        <f t="shared" si="809"/>
        <v>0</v>
      </c>
      <c r="CH192" s="485">
        <f t="shared" ref="CH192" si="810">CH191*$E$51</f>
        <v>0</v>
      </c>
      <c r="CI192" s="485">
        <f t="shared" ref="CI192" si="811">CI191*$E$51</f>
        <v>0</v>
      </c>
      <c r="CJ192" s="485">
        <f t="shared" ref="CJ192" si="812">CJ191*$E$51</f>
        <v>0</v>
      </c>
      <c r="CK192" s="485">
        <f t="shared" ref="CK192" si="813">CK191*$E$51</f>
        <v>0</v>
      </c>
      <c r="CL192" s="485">
        <f t="shared" ref="CL192" si="814">CL191*$E$51</f>
        <v>0</v>
      </c>
      <c r="CM192" s="485">
        <f t="shared" ref="CM192" si="815">CM191*$E$51</f>
        <v>0</v>
      </c>
      <c r="CN192" s="485">
        <f t="shared" ref="CN192" si="816">CN191*$E$51</f>
        <v>0</v>
      </c>
      <c r="CO192" s="485">
        <f t="shared" ref="CO192" si="817">CO191*$E$51</f>
        <v>0</v>
      </c>
      <c r="CP192" s="485">
        <f t="shared" ref="CP192:CQ192" si="818">CP191*$E$51</f>
        <v>0</v>
      </c>
      <c r="CQ192" s="485">
        <f t="shared" si="818"/>
        <v>0</v>
      </c>
      <c r="CR192" s="485">
        <f t="shared" ref="CR192" si="819">CR191*$E$51</f>
        <v>0</v>
      </c>
      <c r="CS192" s="485">
        <f t="shared" ref="CS192" si="820">CS191*$E$51</f>
        <v>0</v>
      </c>
      <c r="CT192" s="485">
        <f t="shared" ref="CT192" si="821">CT191*$E$51</f>
        <v>0</v>
      </c>
      <c r="CU192" s="485">
        <f t="shared" ref="CU192" si="822">CU191*$E$51</f>
        <v>0</v>
      </c>
      <c r="CV192" s="485">
        <f t="shared" ref="CV192" si="823">CV191*$E$51</f>
        <v>0</v>
      </c>
      <c r="CW192" s="485">
        <f t="shared" ref="CW192" si="824">CW191*$E$51</f>
        <v>0</v>
      </c>
      <c r="CX192" s="485">
        <f t="shared" ref="CX192" si="825">CX191*$E$51</f>
        <v>0</v>
      </c>
      <c r="CY192" s="485">
        <f t="shared" ref="CY192" si="826">CY191*$E$51</f>
        <v>0</v>
      </c>
      <c r="CZ192" s="485">
        <f t="shared" ref="CZ192" si="827">CZ191*$E$51</f>
        <v>0</v>
      </c>
    </row>
    <row r="193" spans="1:104" x14ac:dyDescent="0.35">
      <c r="B193" s="105"/>
      <c r="C193" s="126">
        <f t="shared" si="579"/>
        <v>212219090.73549277</v>
      </c>
      <c r="D193" s="101" t="s">
        <v>689</v>
      </c>
      <c r="E193" s="485">
        <f t="shared" ref="E193:AJ193" si="828">E185-E192</f>
        <v>0</v>
      </c>
      <c r="F193" s="485">
        <f t="shared" si="828"/>
        <v>0</v>
      </c>
      <c r="G193" s="485">
        <f t="shared" si="828"/>
        <v>0</v>
      </c>
      <c r="H193" s="485">
        <f t="shared" si="828"/>
        <v>0</v>
      </c>
      <c r="I193" s="485">
        <f t="shared" si="828"/>
        <v>17616262.969787516</v>
      </c>
      <c r="J193" s="485">
        <f t="shared" si="828"/>
        <v>11171362.678158721</v>
      </c>
      <c r="K193" s="485">
        <f t="shared" si="828"/>
        <v>13155889.279032797</v>
      </c>
      <c r="L193" s="485">
        <f t="shared" si="828"/>
        <v>14996272.357248923</v>
      </c>
      <c r="M193" s="485">
        <f t="shared" si="828"/>
        <v>16723615.17010905</v>
      </c>
      <c r="N193" s="485">
        <f t="shared" si="828"/>
        <v>18353576.870576959</v>
      </c>
      <c r="O193" s="485">
        <f t="shared" si="828"/>
        <v>19422925.393328432</v>
      </c>
      <c r="P193" s="485">
        <f t="shared" si="828"/>
        <v>19993673.131881576</v>
      </c>
      <c r="Q193" s="485">
        <f t="shared" si="828"/>
        <v>20135108.949923143</v>
      </c>
      <c r="R193" s="485">
        <f t="shared" si="828"/>
        <v>19818660.011463419</v>
      </c>
      <c r="S193" s="485">
        <f t="shared" si="828"/>
        <v>20206727.058392927</v>
      </c>
      <c r="T193" s="485">
        <f t="shared" si="828"/>
        <v>20625016.865589246</v>
      </c>
      <c r="U193" s="485">
        <f t="shared" si="828"/>
        <v>0</v>
      </c>
      <c r="V193" s="485">
        <f t="shared" si="828"/>
        <v>0</v>
      </c>
      <c r="W193" s="485">
        <f t="shared" si="828"/>
        <v>0</v>
      </c>
      <c r="X193" s="485">
        <f t="shared" si="828"/>
        <v>0</v>
      </c>
      <c r="Y193" s="485">
        <f t="shared" si="828"/>
        <v>0</v>
      </c>
      <c r="Z193" s="485">
        <f t="shared" si="828"/>
        <v>0</v>
      </c>
      <c r="AA193" s="485">
        <f t="shared" si="828"/>
        <v>0</v>
      </c>
      <c r="AB193" s="485">
        <f t="shared" si="828"/>
        <v>0</v>
      </c>
      <c r="AC193" s="485">
        <f t="shared" si="828"/>
        <v>0</v>
      </c>
      <c r="AD193" s="485">
        <f t="shared" si="828"/>
        <v>0</v>
      </c>
      <c r="AE193" s="485">
        <f t="shared" si="828"/>
        <v>0</v>
      </c>
      <c r="AF193" s="485">
        <f t="shared" si="828"/>
        <v>0</v>
      </c>
      <c r="AG193" s="485">
        <f t="shared" si="828"/>
        <v>0</v>
      </c>
      <c r="AH193" s="485">
        <f t="shared" si="828"/>
        <v>0</v>
      </c>
      <c r="AI193" s="485">
        <f t="shared" si="828"/>
        <v>0</v>
      </c>
      <c r="AJ193" s="485">
        <f t="shared" si="828"/>
        <v>0</v>
      </c>
      <c r="AK193" s="485">
        <f t="shared" ref="AK193:BP193" si="829">AK185-AK192</f>
        <v>0</v>
      </c>
      <c r="AL193" s="485">
        <f t="shared" si="829"/>
        <v>0</v>
      </c>
      <c r="AM193" s="485">
        <f t="shared" si="829"/>
        <v>0</v>
      </c>
      <c r="AN193" s="485">
        <f t="shared" si="829"/>
        <v>0</v>
      </c>
      <c r="AO193" s="485">
        <f t="shared" si="829"/>
        <v>0</v>
      </c>
      <c r="AP193" s="485">
        <f t="shared" si="829"/>
        <v>0</v>
      </c>
      <c r="AQ193" s="485">
        <f t="shared" si="829"/>
        <v>0</v>
      </c>
      <c r="AR193" s="485">
        <f t="shared" si="829"/>
        <v>0</v>
      </c>
      <c r="AS193" s="485">
        <f t="shared" si="829"/>
        <v>0</v>
      </c>
      <c r="AT193" s="485">
        <f t="shared" si="829"/>
        <v>0</v>
      </c>
      <c r="AU193" s="485">
        <f t="shared" si="829"/>
        <v>0</v>
      </c>
      <c r="AV193" s="485">
        <f t="shared" si="829"/>
        <v>0</v>
      </c>
      <c r="AW193" s="485">
        <f t="shared" si="829"/>
        <v>0</v>
      </c>
      <c r="AX193" s="485">
        <f t="shared" si="829"/>
        <v>0</v>
      </c>
      <c r="AY193" s="485">
        <f t="shared" si="829"/>
        <v>0</v>
      </c>
      <c r="AZ193" s="485">
        <f t="shared" si="829"/>
        <v>0</v>
      </c>
      <c r="BA193" s="485">
        <f t="shared" si="829"/>
        <v>0</v>
      </c>
      <c r="BB193" s="485">
        <f t="shared" si="829"/>
        <v>0</v>
      </c>
      <c r="BC193" s="485">
        <f t="shared" si="829"/>
        <v>0</v>
      </c>
      <c r="BD193" s="485">
        <f t="shared" si="829"/>
        <v>0</v>
      </c>
      <c r="BE193" s="485">
        <f t="shared" si="829"/>
        <v>0</v>
      </c>
      <c r="BF193" s="485">
        <f t="shared" si="829"/>
        <v>0</v>
      </c>
      <c r="BG193" s="485">
        <f t="shared" si="829"/>
        <v>0</v>
      </c>
      <c r="BH193" s="485">
        <f t="shared" si="829"/>
        <v>0</v>
      </c>
      <c r="BI193" s="485">
        <f t="shared" si="829"/>
        <v>0</v>
      </c>
      <c r="BJ193" s="485">
        <f t="shared" si="829"/>
        <v>0</v>
      </c>
      <c r="BK193" s="485">
        <f t="shared" si="829"/>
        <v>0</v>
      </c>
      <c r="BL193" s="485">
        <f t="shared" si="829"/>
        <v>0</v>
      </c>
      <c r="BM193" s="485">
        <f t="shared" si="829"/>
        <v>0</v>
      </c>
      <c r="BN193" s="485">
        <f t="shared" si="829"/>
        <v>0</v>
      </c>
      <c r="BO193" s="485">
        <f t="shared" si="829"/>
        <v>0</v>
      </c>
      <c r="BP193" s="485">
        <f t="shared" si="829"/>
        <v>0</v>
      </c>
      <c r="BQ193" s="485">
        <f t="shared" ref="BQ193:CV193" si="830">BQ185-BQ192</f>
        <v>0</v>
      </c>
      <c r="BR193" s="485">
        <f t="shared" si="830"/>
        <v>0</v>
      </c>
      <c r="BS193" s="485">
        <f t="shared" si="830"/>
        <v>0</v>
      </c>
      <c r="BT193" s="485">
        <f t="shared" si="830"/>
        <v>0</v>
      </c>
      <c r="BU193" s="485">
        <f t="shared" si="830"/>
        <v>0</v>
      </c>
      <c r="BV193" s="485">
        <f t="shared" si="830"/>
        <v>0</v>
      </c>
      <c r="BW193" s="485">
        <f t="shared" si="830"/>
        <v>0</v>
      </c>
      <c r="BX193" s="485">
        <f t="shared" si="830"/>
        <v>0</v>
      </c>
      <c r="BY193" s="485">
        <f t="shared" si="830"/>
        <v>0</v>
      </c>
      <c r="BZ193" s="485">
        <f t="shared" si="830"/>
        <v>0</v>
      </c>
      <c r="CA193" s="485">
        <f t="shared" si="830"/>
        <v>0</v>
      </c>
      <c r="CB193" s="485">
        <f t="shared" si="830"/>
        <v>0</v>
      </c>
      <c r="CC193" s="485">
        <f t="shared" si="830"/>
        <v>0</v>
      </c>
      <c r="CD193" s="485">
        <f t="shared" si="830"/>
        <v>0</v>
      </c>
      <c r="CE193" s="485">
        <f t="shared" si="830"/>
        <v>0</v>
      </c>
      <c r="CF193" s="485">
        <f t="shared" si="830"/>
        <v>0</v>
      </c>
      <c r="CG193" s="485">
        <f t="shared" si="830"/>
        <v>0</v>
      </c>
      <c r="CH193" s="485">
        <f t="shared" si="830"/>
        <v>0</v>
      </c>
      <c r="CI193" s="485">
        <f t="shared" si="830"/>
        <v>0</v>
      </c>
      <c r="CJ193" s="485">
        <f t="shared" si="830"/>
        <v>0</v>
      </c>
      <c r="CK193" s="485">
        <f t="shared" si="830"/>
        <v>0</v>
      </c>
      <c r="CL193" s="485">
        <f t="shared" si="830"/>
        <v>0</v>
      </c>
      <c r="CM193" s="485">
        <f t="shared" si="830"/>
        <v>0</v>
      </c>
      <c r="CN193" s="485">
        <f t="shared" si="830"/>
        <v>0</v>
      </c>
      <c r="CO193" s="485">
        <f t="shared" si="830"/>
        <v>0</v>
      </c>
      <c r="CP193" s="485">
        <f t="shared" si="830"/>
        <v>0</v>
      </c>
      <c r="CQ193" s="485">
        <f t="shared" si="830"/>
        <v>0</v>
      </c>
      <c r="CR193" s="485">
        <f t="shared" si="830"/>
        <v>0</v>
      </c>
      <c r="CS193" s="485">
        <f t="shared" si="830"/>
        <v>0</v>
      </c>
      <c r="CT193" s="485">
        <f t="shared" si="830"/>
        <v>0</v>
      </c>
      <c r="CU193" s="485">
        <f t="shared" si="830"/>
        <v>0</v>
      </c>
      <c r="CV193" s="485">
        <f t="shared" si="830"/>
        <v>0</v>
      </c>
      <c r="CW193" s="485">
        <f t="shared" ref="CW193:CZ193" si="831">CW185-CW192</f>
        <v>0</v>
      </c>
      <c r="CX193" s="485">
        <f t="shared" si="831"/>
        <v>0</v>
      </c>
      <c r="CY193" s="485">
        <f t="shared" si="831"/>
        <v>0</v>
      </c>
      <c r="CZ193" s="485">
        <f t="shared" si="831"/>
        <v>0</v>
      </c>
    </row>
    <row r="194" spans="1:104" x14ac:dyDescent="0.35">
      <c r="B194" s="105"/>
      <c r="C194" s="126">
        <f t="shared" si="579"/>
        <v>147296739.22715732</v>
      </c>
      <c r="D194" s="101" t="s">
        <v>680</v>
      </c>
      <c r="E194" s="484">
        <f t="shared" ref="E194:AJ194" si="832">E149</f>
        <v>0</v>
      </c>
      <c r="F194" s="484">
        <f t="shared" si="832"/>
        <v>0</v>
      </c>
      <c r="G194" s="484">
        <f t="shared" si="832"/>
        <v>0</v>
      </c>
      <c r="H194" s="484">
        <f t="shared" si="832"/>
        <v>0</v>
      </c>
      <c r="I194" s="484">
        <f t="shared" si="832"/>
        <v>9283798.0100313425</v>
      </c>
      <c r="J194" s="484">
        <f t="shared" si="832"/>
        <v>17639216.219059549</v>
      </c>
      <c r="K194" s="484">
        <f t="shared" si="832"/>
        <v>15875294.597153597</v>
      </c>
      <c r="L194" s="484">
        <f t="shared" si="832"/>
        <v>14297048.935448267</v>
      </c>
      <c r="M194" s="484">
        <f t="shared" si="832"/>
        <v>12867344.04190344</v>
      </c>
      <c r="N194" s="484">
        <f t="shared" si="832"/>
        <v>11567612.320499055</v>
      </c>
      <c r="O194" s="484">
        <f t="shared" si="832"/>
        <v>10954881.651836986</v>
      </c>
      <c r="P194" s="484">
        <f t="shared" si="832"/>
        <v>10954881.651836986</v>
      </c>
      <c r="Q194" s="484">
        <f t="shared" si="832"/>
        <v>10973449.247857047</v>
      </c>
      <c r="R194" s="484">
        <f t="shared" si="832"/>
        <v>10954881.651836986</v>
      </c>
      <c r="S194" s="484">
        <f t="shared" si="832"/>
        <v>10973449.247857047</v>
      </c>
      <c r="T194" s="484">
        <f t="shared" si="832"/>
        <v>10954881.651836986</v>
      </c>
      <c r="U194" s="484">
        <f t="shared" si="832"/>
        <v>0</v>
      </c>
      <c r="V194" s="484">
        <f t="shared" si="832"/>
        <v>0</v>
      </c>
      <c r="W194" s="484">
        <f t="shared" si="832"/>
        <v>0</v>
      </c>
      <c r="X194" s="484">
        <f t="shared" si="832"/>
        <v>0</v>
      </c>
      <c r="Y194" s="484">
        <f t="shared" si="832"/>
        <v>0</v>
      </c>
      <c r="Z194" s="484">
        <f t="shared" si="832"/>
        <v>0</v>
      </c>
      <c r="AA194" s="484">
        <f t="shared" si="832"/>
        <v>0</v>
      </c>
      <c r="AB194" s="484">
        <f t="shared" si="832"/>
        <v>0</v>
      </c>
      <c r="AC194" s="484">
        <f t="shared" si="832"/>
        <v>0</v>
      </c>
      <c r="AD194" s="484">
        <f t="shared" si="832"/>
        <v>0</v>
      </c>
      <c r="AE194" s="484">
        <f t="shared" si="832"/>
        <v>0</v>
      </c>
      <c r="AF194" s="484">
        <f t="shared" si="832"/>
        <v>0</v>
      </c>
      <c r="AG194" s="484">
        <f t="shared" si="832"/>
        <v>0</v>
      </c>
      <c r="AH194" s="484">
        <f t="shared" si="832"/>
        <v>0</v>
      </c>
      <c r="AI194" s="484">
        <f t="shared" si="832"/>
        <v>0</v>
      </c>
      <c r="AJ194" s="484">
        <f t="shared" si="832"/>
        <v>0</v>
      </c>
      <c r="AK194" s="484">
        <f t="shared" ref="AK194:BP194" si="833">AK149</f>
        <v>0</v>
      </c>
      <c r="AL194" s="484">
        <f t="shared" si="833"/>
        <v>0</v>
      </c>
      <c r="AM194" s="484">
        <f t="shared" si="833"/>
        <v>0</v>
      </c>
      <c r="AN194" s="484">
        <f t="shared" si="833"/>
        <v>0</v>
      </c>
      <c r="AO194" s="484">
        <f t="shared" si="833"/>
        <v>0</v>
      </c>
      <c r="AP194" s="484">
        <f t="shared" si="833"/>
        <v>0</v>
      </c>
      <c r="AQ194" s="484">
        <f t="shared" si="833"/>
        <v>0</v>
      </c>
      <c r="AR194" s="484">
        <f t="shared" si="833"/>
        <v>0</v>
      </c>
      <c r="AS194" s="484">
        <f t="shared" si="833"/>
        <v>0</v>
      </c>
      <c r="AT194" s="484">
        <f t="shared" si="833"/>
        <v>0</v>
      </c>
      <c r="AU194" s="484">
        <f t="shared" si="833"/>
        <v>0</v>
      </c>
      <c r="AV194" s="484">
        <f t="shared" si="833"/>
        <v>0</v>
      </c>
      <c r="AW194" s="484">
        <f t="shared" si="833"/>
        <v>0</v>
      </c>
      <c r="AX194" s="484">
        <f t="shared" si="833"/>
        <v>0</v>
      </c>
      <c r="AY194" s="484">
        <f t="shared" si="833"/>
        <v>0</v>
      </c>
      <c r="AZ194" s="484">
        <f t="shared" si="833"/>
        <v>0</v>
      </c>
      <c r="BA194" s="484">
        <f t="shared" si="833"/>
        <v>0</v>
      </c>
      <c r="BB194" s="484">
        <f t="shared" si="833"/>
        <v>0</v>
      </c>
      <c r="BC194" s="484">
        <f t="shared" si="833"/>
        <v>0</v>
      </c>
      <c r="BD194" s="484">
        <f t="shared" si="833"/>
        <v>0</v>
      </c>
      <c r="BE194" s="484">
        <f t="shared" si="833"/>
        <v>0</v>
      </c>
      <c r="BF194" s="484">
        <f t="shared" si="833"/>
        <v>0</v>
      </c>
      <c r="BG194" s="484">
        <f t="shared" si="833"/>
        <v>0</v>
      </c>
      <c r="BH194" s="484">
        <f t="shared" si="833"/>
        <v>0</v>
      </c>
      <c r="BI194" s="484">
        <f t="shared" si="833"/>
        <v>0</v>
      </c>
      <c r="BJ194" s="484">
        <f t="shared" si="833"/>
        <v>0</v>
      </c>
      <c r="BK194" s="484">
        <f t="shared" si="833"/>
        <v>0</v>
      </c>
      <c r="BL194" s="484">
        <f t="shared" si="833"/>
        <v>0</v>
      </c>
      <c r="BM194" s="484">
        <f t="shared" si="833"/>
        <v>0</v>
      </c>
      <c r="BN194" s="484">
        <f t="shared" si="833"/>
        <v>0</v>
      </c>
      <c r="BO194" s="484">
        <f t="shared" si="833"/>
        <v>0</v>
      </c>
      <c r="BP194" s="484">
        <f t="shared" si="833"/>
        <v>0</v>
      </c>
      <c r="BQ194" s="484">
        <f t="shared" ref="BQ194:CZ194" si="834">BQ149</f>
        <v>0</v>
      </c>
      <c r="BR194" s="484">
        <f t="shared" si="834"/>
        <v>0</v>
      </c>
      <c r="BS194" s="484">
        <f t="shared" si="834"/>
        <v>0</v>
      </c>
      <c r="BT194" s="484">
        <f t="shared" si="834"/>
        <v>0</v>
      </c>
      <c r="BU194" s="484">
        <f t="shared" si="834"/>
        <v>0</v>
      </c>
      <c r="BV194" s="484">
        <f t="shared" si="834"/>
        <v>0</v>
      </c>
      <c r="BW194" s="484">
        <f t="shared" si="834"/>
        <v>0</v>
      </c>
      <c r="BX194" s="484">
        <f t="shared" si="834"/>
        <v>0</v>
      </c>
      <c r="BY194" s="484">
        <f t="shared" si="834"/>
        <v>0</v>
      </c>
      <c r="BZ194" s="484">
        <f t="shared" si="834"/>
        <v>0</v>
      </c>
      <c r="CA194" s="484">
        <f t="shared" si="834"/>
        <v>0</v>
      </c>
      <c r="CB194" s="484">
        <f t="shared" si="834"/>
        <v>0</v>
      </c>
      <c r="CC194" s="484">
        <f t="shared" si="834"/>
        <v>0</v>
      </c>
      <c r="CD194" s="484">
        <f t="shared" si="834"/>
        <v>0</v>
      </c>
      <c r="CE194" s="484">
        <f t="shared" si="834"/>
        <v>0</v>
      </c>
      <c r="CF194" s="484">
        <f t="shared" si="834"/>
        <v>0</v>
      </c>
      <c r="CG194" s="484">
        <f t="shared" si="834"/>
        <v>0</v>
      </c>
      <c r="CH194" s="484">
        <f t="shared" si="834"/>
        <v>0</v>
      </c>
      <c r="CI194" s="484">
        <f t="shared" si="834"/>
        <v>0</v>
      </c>
      <c r="CJ194" s="484">
        <f t="shared" si="834"/>
        <v>0</v>
      </c>
      <c r="CK194" s="484">
        <f t="shared" si="834"/>
        <v>0</v>
      </c>
      <c r="CL194" s="484">
        <f t="shared" si="834"/>
        <v>0</v>
      </c>
      <c r="CM194" s="484">
        <f t="shared" si="834"/>
        <v>0</v>
      </c>
      <c r="CN194" s="484">
        <f t="shared" si="834"/>
        <v>0</v>
      </c>
      <c r="CO194" s="484">
        <f t="shared" si="834"/>
        <v>0</v>
      </c>
      <c r="CP194" s="484">
        <f t="shared" si="834"/>
        <v>0</v>
      </c>
      <c r="CQ194" s="484">
        <f t="shared" si="834"/>
        <v>0</v>
      </c>
      <c r="CR194" s="484">
        <f t="shared" si="834"/>
        <v>0</v>
      </c>
      <c r="CS194" s="484">
        <f t="shared" si="834"/>
        <v>0</v>
      </c>
      <c r="CT194" s="484">
        <f t="shared" si="834"/>
        <v>0</v>
      </c>
      <c r="CU194" s="484">
        <f t="shared" si="834"/>
        <v>0</v>
      </c>
      <c r="CV194" s="484">
        <f t="shared" si="834"/>
        <v>0</v>
      </c>
      <c r="CW194" s="484">
        <f t="shared" si="834"/>
        <v>0</v>
      </c>
      <c r="CX194" s="484">
        <f t="shared" si="834"/>
        <v>0</v>
      </c>
      <c r="CY194" s="484">
        <f t="shared" si="834"/>
        <v>0</v>
      </c>
      <c r="CZ194" s="484">
        <f t="shared" si="834"/>
        <v>0</v>
      </c>
    </row>
    <row r="195" spans="1:104" x14ac:dyDescent="0.35">
      <c r="B195" s="105"/>
      <c r="C195" s="126">
        <f t="shared" si="579"/>
        <v>185675960.20062685</v>
      </c>
      <c r="D195" s="101" t="s">
        <v>690</v>
      </c>
      <c r="E195" s="484">
        <f t="shared" ref="E195:AJ195" si="835">E143</f>
        <v>19318059.662760239</v>
      </c>
      <c r="F195" s="484">
        <f t="shared" si="835"/>
        <v>38507533.498214178</v>
      </c>
      <c r="G195" s="484">
        <f t="shared" si="835"/>
        <v>59180972.264758475</v>
      </c>
      <c r="H195" s="484">
        <f t="shared" si="835"/>
        <v>68669394.774893954</v>
      </c>
      <c r="I195" s="484">
        <f t="shared" si="835"/>
        <v>0</v>
      </c>
      <c r="J195" s="484">
        <f t="shared" si="835"/>
        <v>0</v>
      </c>
      <c r="K195" s="484">
        <f t="shared" si="835"/>
        <v>0</v>
      </c>
      <c r="L195" s="484">
        <f t="shared" si="835"/>
        <v>0</v>
      </c>
      <c r="M195" s="484">
        <f t="shared" si="835"/>
        <v>0</v>
      </c>
      <c r="N195" s="484">
        <f t="shared" si="835"/>
        <v>0</v>
      </c>
      <c r="O195" s="484">
        <f t="shared" si="835"/>
        <v>0</v>
      </c>
      <c r="P195" s="484">
        <f t="shared" si="835"/>
        <v>0</v>
      </c>
      <c r="Q195" s="484">
        <f t="shared" si="835"/>
        <v>0</v>
      </c>
      <c r="R195" s="484">
        <f t="shared" si="835"/>
        <v>0</v>
      </c>
      <c r="S195" s="484">
        <f t="shared" si="835"/>
        <v>0</v>
      </c>
      <c r="T195" s="484">
        <f t="shared" si="835"/>
        <v>0</v>
      </c>
      <c r="U195" s="484">
        <f t="shared" si="835"/>
        <v>0</v>
      </c>
      <c r="V195" s="484">
        <f t="shared" si="835"/>
        <v>0</v>
      </c>
      <c r="W195" s="484">
        <f t="shared" si="835"/>
        <v>0</v>
      </c>
      <c r="X195" s="484">
        <f t="shared" si="835"/>
        <v>0</v>
      </c>
      <c r="Y195" s="484">
        <f t="shared" si="835"/>
        <v>0</v>
      </c>
      <c r="Z195" s="484">
        <f t="shared" si="835"/>
        <v>0</v>
      </c>
      <c r="AA195" s="484">
        <f t="shared" si="835"/>
        <v>0</v>
      </c>
      <c r="AB195" s="484">
        <f t="shared" si="835"/>
        <v>0</v>
      </c>
      <c r="AC195" s="484">
        <f t="shared" si="835"/>
        <v>0</v>
      </c>
      <c r="AD195" s="484">
        <f t="shared" si="835"/>
        <v>0</v>
      </c>
      <c r="AE195" s="484">
        <f t="shared" si="835"/>
        <v>0</v>
      </c>
      <c r="AF195" s="484">
        <f t="shared" si="835"/>
        <v>0</v>
      </c>
      <c r="AG195" s="484">
        <f t="shared" si="835"/>
        <v>0</v>
      </c>
      <c r="AH195" s="484">
        <f t="shared" si="835"/>
        <v>0</v>
      </c>
      <c r="AI195" s="484">
        <f t="shared" si="835"/>
        <v>0</v>
      </c>
      <c r="AJ195" s="484">
        <f t="shared" si="835"/>
        <v>0</v>
      </c>
      <c r="AK195" s="484">
        <f t="shared" ref="AK195:BP195" si="836">AK143</f>
        <v>0</v>
      </c>
      <c r="AL195" s="484">
        <f t="shared" si="836"/>
        <v>0</v>
      </c>
      <c r="AM195" s="484">
        <f t="shared" si="836"/>
        <v>0</v>
      </c>
      <c r="AN195" s="484">
        <f t="shared" si="836"/>
        <v>0</v>
      </c>
      <c r="AO195" s="484">
        <f t="shared" si="836"/>
        <v>0</v>
      </c>
      <c r="AP195" s="484">
        <f t="shared" si="836"/>
        <v>0</v>
      </c>
      <c r="AQ195" s="484">
        <f t="shared" si="836"/>
        <v>0</v>
      </c>
      <c r="AR195" s="484">
        <f t="shared" si="836"/>
        <v>0</v>
      </c>
      <c r="AS195" s="484">
        <f t="shared" si="836"/>
        <v>0</v>
      </c>
      <c r="AT195" s="484">
        <f t="shared" si="836"/>
        <v>0</v>
      </c>
      <c r="AU195" s="484">
        <f t="shared" si="836"/>
        <v>0</v>
      </c>
      <c r="AV195" s="484">
        <f t="shared" si="836"/>
        <v>0</v>
      </c>
      <c r="AW195" s="484">
        <f t="shared" si="836"/>
        <v>0</v>
      </c>
      <c r="AX195" s="484">
        <f t="shared" si="836"/>
        <v>0</v>
      </c>
      <c r="AY195" s="484">
        <f t="shared" si="836"/>
        <v>0</v>
      </c>
      <c r="AZ195" s="484">
        <f t="shared" si="836"/>
        <v>0</v>
      </c>
      <c r="BA195" s="484">
        <f t="shared" si="836"/>
        <v>0</v>
      </c>
      <c r="BB195" s="484">
        <f t="shared" si="836"/>
        <v>0</v>
      </c>
      <c r="BC195" s="484">
        <f t="shared" si="836"/>
        <v>0</v>
      </c>
      <c r="BD195" s="484">
        <f t="shared" si="836"/>
        <v>0</v>
      </c>
      <c r="BE195" s="484">
        <f t="shared" si="836"/>
        <v>0</v>
      </c>
      <c r="BF195" s="484">
        <f t="shared" si="836"/>
        <v>0</v>
      </c>
      <c r="BG195" s="484">
        <f t="shared" si="836"/>
        <v>0</v>
      </c>
      <c r="BH195" s="484">
        <f t="shared" si="836"/>
        <v>0</v>
      </c>
      <c r="BI195" s="484">
        <f t="shared" si="836"/>
        <v>0</v>
      </c>
      <c r="BJ195" s="484">
        <f t="shared" si="836"/>
        <v>0</v>
      </c>
      <c r="BK195" s="484">
        <f t="shared" si="836"/>
        <v>0</v>
      </c>
      <c r="BL195" s="484">
        <f t="shared" si="836"/>
        <v>0</v>
      </c>
      <c r="BM195" s="484">
        <f t="shared" si="836"/>
        <v>0</v>
      </c>
      <c r="BN195" s="484">
        <f t="shared" si="836"/>
        <v>0</v>
      </c>
      <c r="BO195" s="484">
        <f t="shared" si="836"/>
        <v>0</v>
      </c>
      <c r="BP195" s="484">
        <f t="shared" si="836"/>
        <v>0</v>
      </c>
      <c r="BQ195" s="484">
        <f t="shared" ref="BQ195:CZ195" si="837">BQ143</f>
        <v>0</v>
      </c>
      <c r="BR195" s="484">
        <f t="shared" si="837"/>
        <v>0</v>
      </c>
      <c r="BS195" s="484">
        <f t="shared" si="837"/>
        <v>0</v>
      </c>
      <c r="BT195" s="484">
        <f t="shared" si="837"/>
        <v>0</v>
      </c>
      <c r="BU195" s="484">
        <f t="shared" si="837"/>
        <v>0</v>
      </c>
      <c r="BV195" s="484">
        <f t="shared" si="837"/>
        <v>0</v>
      </c>
      <c r="BW195" s="484">
        <f t="shared" si="837"/>
        <v>0</v>
      </c>
      <c r="BX195" s="484">
        <f t="shared" si="837"/>
        <v>0</v>
      </c>
      <c r="BY195" s="484">
        <f t="shared" si="837"/>
        <v>0</v>
      </c>
      <c r="BZ195" s="484">
        <f t="shared" si="837"/>
        <v>0</v>
      </c>
      <c r="CA195" s="484">
        <f t="shared" si="837"/>
        <v>0</v>
      </c>
      <c r="CB195" s="484">
        <f t="shared" si="837"/>
        <v>0</v>
      </c>
      <c r="CC195" s="484">
        <f t="shared" si="837"/>
        <v>0</v>
      </c>
      <c r="CD195" s="484">
        <f t="shared" si="837"/>
        <v>0</v>
      </c>
      <c r="CE195" s="484">
        <f t="shared" si="837"/>
        <v>0</v>
      </c>
      <c r="CF195" s="484">
        <f t="shared" si="837"/>
        <v>0</v>
      </c>
      <c r="CG195" s="484">
        <f t="shared" si="837"/>
        <v>0</v>
      </c>
      <c r="CH195" s="484">
        <f t="shared" si="837"/>
        <v>0</v>
      </c>
      <c r="CI195" s="484">
        <f t="shared" si="837"/>
        <v>0</v>
      </c>
      <c r="CJ195" s="484">
        <f t="shared" si="837"/>
        <v>0</v>
      </c>
      <c r="CK195" s="484">
        <f t="shared" si="837"/>
        <v>0</v>
      </c>
      <c r="CL195" s="484">
        <f t="shared" si="837"/>
        <v>0</v>
      </c>
      <c r="CM195" s="484">
        <f t="shared" si="837"/>
        <v>0</v>
      </c>
      <c r="CN195" s="484">
        <f t="shared" si="837"/>
        <v>0</v>
      </c>
      <c r="CO195" s="484">
        <f t="shared" si="837"/>
        <v>0</v>
      </c>
      <c r="CP195" s="484">
        <f t="shared" si="837"/>
        <v>0</v>
      </c>
      <c r="CQ195" s="484">
        <f t="shared" si="837"/>
        <v>0</v>
      </c>
      <c r="CR195" s="484">
        <f t="shared" si="837"/>
        <v>0</v>
      </c>
      <c r="CS195" s="484">
        <f t="shared" si="837"/>
        <v>0</v>
      </c>
      <c r="CT195" s="484">
        <f t="shared" si="837"/>
        <v>0</v>
      </c>
      <c r="CU195" s="484">
        <f t="shared" si="837"/>
        <v>0</v>
      </c>
      <c r="CV195" s="484">
        <f t="shared" si="837"/>
        <v>0</v>
      </c>
      <c r="CW195" s="484">
        <f t="shared" si="837"/>
        <v>0</v>
      </c>
      <c r="CX195" s="484">
        <f t="shared" si="837"/>
        <v>0</v>
      </c>
      <c r="CY195" s="484">
        <f t="shared" si="837"/>
        <v>0</v>
      </c>
      <c r="CZ195" s="484">
        <f t="shared" si="837"/>
        <v>0</v>
      </c>
    </row>
    <row r="196" spans="1:104" x14ac:dyDescent="0.35">
      <c r="B196" s="105"/>
      <c r="C196" s="126">
        <f t="shared" si="579"/>
        <v>0</v>
      </c>
      <c r="D196" s="101" t="s">
        <v>691</v>
      </c>
      <c r="E196" s="485">
        <v>0</v>
      </c>
      <c r="F196" s="485">
        <v>0</v>
      </c>
      <c r="G196" s="485">
        <v>0</v>
      </c>
      <c r="H196" s="485">
        <v>0</v>
      </c>
      <c r="I196" s="485">
        <v>0</v>
      </c>
      <c r="J196" s="485">
        <v>0</v>
      </c>
      <c r="K196" s="485">
        <v>0</v>
      </c>
      <c r="L196" s="485">
        <v>0</v>
      </c>
      <c r="M196" s="485">
        <v>0</v>
      </c>
      <c r="N196" s="485">
        <v>0</v>
      </c>
      <c r="O196" s="485">
        <v>0</v>
      </c>
      <c r="P196" s="485">
        <v>0</v>
      </c>
      <c r="Q196" s="485">
        <v>0</v>
      </c>
      <c r="R196" s="485">
        <v>0</v>
      </c>
      <c r="S196" s="485">
        <v>0</v>
      </c>
      <c r="T196" s="485">
        <v>0</v>
      </c>
      <c r="U196" s="485">
        <v>0</v>
      </c>
      <c r="V196" s="485">
        <v>0</v>
      </c>
      <c r="W196" s="485">
        <v>0</v>
      </c>
      <c r="X196" s="485">
        <v>0</v>
      </c>
      <c r="Y196" s="485">
        <v>0</v>
      </c>
      <c r="Z196" s="485">
        <v>0</v>
      </c>
      <c r="AA196" s="485">
        <v>0</v>
      </c>
      <c r="AB196" s="485">
        <v>0</v>
      </c>
      <c r="AC196" s="485">
        <v>0</v>
      </c>
      <c r="AD196" s="485">
        <v>0</v>
      </c>
      <c r="AE196" s="485">
        <v>0</v>
      </c>
      <c r="AF196" s="485">
        <v>0</v>
      </c>
      <c r="AG196" s="485">
        <v>0</v>
      </c>
      <c r="AH196" s="485">
        <v>0</v>
      </c>
      <c r="AI196" s="485">
        <v>0</v>
      </c>
      <c r="AJ196" s="485">
        <v>0</v>
      </c>
      <c r="AK196" s="485">
        <v>0</v>
      </c>
      <c r="AL196" s="485">
        <v>0</v>
      </c>
      <c r="AM196" s="485">
        <v>0</v>
      </c>
      <c r="AN196" s="485">
        <v>0</v>
      </c>
      <c r="AO196" s="485">
        <v>0</v>
      </c>
      <c r="AP196" s="485">
        <v>0</v>
      </c>
      <c r="AQ196" s="485">
        <v>0</v>
      </c>
      <c r="AR196" s="485">
        <v>0</v>
      </c>
      <c r="AS196" s="485">
        <v>0</v>
      </c>
      <c r="AT196" s="485">
        <v>0</v>
      </c>
      <c r="AU196" s="485">
        <v>0</v>
      </c>
      <c r="AV196" s="485">
        <v>0</v>
      </c>
      <c r="AW196" s="485">
        <v>0</v>
      </c>
      <c r="AX196" s="485">
        <v>0</v>
      </c>
      <c r="AY196" s="485">
        <v>0</v>
      </c>
      <c r="AZ196" s="485">
        <v>0</v>
      </c>
      <c r="BA196" s="485">
        <v>0</v>
      </c>
      <c r="BB196" s="485">
        <v>0</v>
      </c>
      <c r="BC196" s="485">
        <v>0</v>
      </c>
      <c r="BD196" s="485">
        <v>0</v>
      </c>
      <c r="BE196" s="485">
        <v>0</v>
      </c>
      <c r="BF196" s="485">
        <v>0</v>
      </c>
      <c r="BG196" s="485">
        <v>0</v>
      </c>
      <c r="BH196" s="485">
        <v>0</v>
      </c>
      <c r="BI196" s="485">
        <v>0</v>
      </c>
      <c r="BJ196" s="485">
        <v>0</v>
      </c>
      <c r="BK196" s="485">
        <v>0</v>
      </c>
      <c r="BL196" s="485">
        <v>0</v>
      </c>
      <c r="BM196" s="485">
        <v>0</v>
      </c>
      <c r="BN196" s="485">
        <v>0</v>
      </c>
      <c r="BO196" s="485">
        <v>0</v>
      </c>
      <c r="BP196" s="485">
        <v>0</v>
      </c>
      <c r="BQ196" s="485">
        <v>0</v>
      </c>
      <c r="BR196" s="485">
        <v>0</v>
      </c>
      <c r="BS196" s="485">
        <v>0</v>
      </c>
      <c r="BT196" s="485">
        <v>0</v>
      </c>
      <c r="BU196" s="485">
        <v>0</v>
      </c>
      <c r="BV196" s="485">
        <v>0</v>
      </c>
      <c r="BW196" s="485">
        <v>0</v>
      </c>
      <c r="BX196" s="485">
        <v>0</v>
      </c>
      <c r="BY196" s="485">
        <v>0</v>
      </c>
      <c r="BZ196" s="485">
        <v>0</v>
      </c>
      <c r="CA196" s="485">
        <v>0</v>
      </c>
      <c r="CB196" s="485">
        <v>0</v>
      </c>
      <c r="CC196" s="485">
        <v>0</v>
      </c>
      <c r="CD196" s="485">
        <v>0</v>
      </c>
      <c r="CE196" s="485">
        <v>0</v>
      </c>
      <c r="CF196" s="485">
        <v>0</v>
      </c>
      <c r="CG196" s="485">
        <v>0</v>
      </c>
      <c r="CH196" s="485">
        <v>0</v>
      </c>
      <c r="CI196" s="485">
        <v>0</v>
      </c>
      <c r="CJ196" s="485">
        <v>0</v>
      </c>
      <c r="CK196" s="485">
        <v>0</v>
      </c>
      <c r="CL196" s="485">
        <v>0</v>
      </c>
      <c r="CM196" s="485">
        <v>0</v>
      </c>
      <c r="CN196" s="485">
        <v>0</v>
      </c>
      <c r="CO196" s="485">
        <v>0</v>
      </c>
      <c r="CP196" s="485">
        <v>0</v>
      </c>
      <c r="CQ196" s="485">
        <v>0</v>
      </c>
      <c r="CR196" s="485">
        <v>0</v>
      </c>
      <c r="CS196" s="485">
        <v>0</v>
      </c>
      <c r="CT196" s="485">
        <v>0</v>
      </c>
      <c r="CU196" s="485">
        <v>0</v>
      </c>
      <c r="CV196" s="485">
        <v>0</v>
      </c>
      <c r="CW196" s="485">
        <v>0</v>
      </c>
      <c r="CX196" s="485">
        <v>0</v>
      </c>
      <c r="CY196" s="485">
        <v>0</v>
      </c>
      <c r="CZ196" s="485">
        <v>0</v>
      </c>
    </row>
    <row r="197" spans="1:104" x14ac:dyDescent="0.35">
      <c r="B197" s="493"/>
      <c r="C197" s="126">
        <f t="shared" si="579"/>
        <v>116720149.68963571</v>
      </c>
      <c r="D197" s="101" t="s">
        <v>692</v>
      </c>
      <c r="E197" s="485">
        <f t="shared" ref="E197:J197" si="838">IF(E156="Oper Period",E193+E194-($E$47*E195)-E172-E173-E196,E193+E194-($E$47*E195)-E196)</f>
        <v>-9659029.8313801195</v>
      </c>
      <c r="F197" s="485">
        <f t="shared" si="838"/>
        <v>-19253766.749107089</v>
      </c>
      <c r="G197" s="485">
        <f t="shared" si="838"/>
        <v>-29590486.132379238</v>
      </c>
      <c r="H197" s="485">
        <f t="shared" si="838"/>
        <v>-34334697.387446977</v>
      </c>
      <c r="I197" s="485">
        <f t="shared" si="838"/>
        <v>14403585.965427119</v>
      </c>
      <c r="J197" s="485">
        <f t="shared" si="838"/>
        <v>16314103.882826533</v>
      </c>
      <c r="K197" s="485">
        <f t="shared" ref="K197:AI197" si="839">IF(K156="Oper Period",K193+K194-($E$47*K195)-K172-K173-K196,K193+K194-($E$47*K195)-K196)</f>
        <v>16534708.861794654</v>
      </c>
      <c r="L197" s="485">
        <f t="shared" si="839"/>
        <v>16796846.278305452</v>
      </c>
      <c r="M197" s="485">
        <f t="shared" si="839"/>
        <v>17094484.197620753</v>
      </c>
      <c r="N197" s="485">
        <f t="shared" si="839"/>
        <v>17424714.176684275</v>
      </c>
      <c r="O197" s="485">
        <f t="shared" si="839"/>
        <v>17881332.030773681</v>
      </c>
      <c r="P197" s="485">
        <f t="shared" si="839"/>
        <v>18452079.769326821</v>
      </c>
      <c r="Q197" s="485">
        <f t="shared" si="839"/>
        <v>18612083.183388449</v>
      </c>
      <c r="R197" s="485">
        <f t="shared" si="839"/>
        <v>18277066.648908664</v>
      </c>
      <c r="S197" s="485">
        <f t="shared" si="839"/>
        <v>18683701.291858237</v>
      </c>
      <c r="T197" s="485">
        <f t="shared" si="839"/>
        <v>19083423.503034491</v>
      </c>
      <c r="U197" s="485">
        <f t="shared" si="839"/>
        <v>0</v>
      </c>
      <c r="V197" s="485">
        <f t="shared" si="839"/>
        <v>0</v>
      </c>
      <c r="W197" s="485">
        <f t="shared" si="839"/>
        <v>0</v>
      </c>
      <c r="X197" s="485">
        <f t="shared" si="839"/>
        <v>0</v>
      </c>
      <c r="Y197" s="485">
        <f>IF(Y156="Oper Period",Y193+Y194-($E$47*Y195)-Y172-Y173-Y196,Y193+Y194-($E$47*Y195)-Y196)</f>
        <v>0</v>
      </c>
      <c r="Z197" s="485">
        <f t="shared" si="839"/>
        <v>0</v>
      </c>
      <c r="AA197" s="485">
        <f t="shared" si="839"/>
        <v>0</v>
      </c>
      <c r="AB197" s="485">
        <f t="shared" si="839"/>
        <v>0</v>
      </c>
      <c r="AC197" s="485">
        <f t="shared" si="839"/>
        <v>0</v>
      </c>
      <c r="AD197" s="485">
        <f t="shared" si="839"/>
        <v>0</v>
      </c>
      <c r="AE197" s="485">
        <f t="shared" si="839"/>
        <v>0</v>
      </c>
      <c r="AF197" s="485">
        <f t="shared" si="839"/>
        <v>0</v>
      </c>
      <c r="AG197" s="485">
        <f t="shared" si="839"/>
        <v>0</v>
      </c>
      <c r="AH197" s="485">
        <f t="shared" si="839"/>
        <v>0</v>
      </c>
      <c r="AI197" s="485">
        <f t="shared" si="839"/>
        <v>0</v>
      </c>
      <c r="AJ197" s="485">
        <f t="shared" ref="AJ197" si="840">IF(AJ156="Oper Period",AJ193+AJ194-($E$47*AJ195)-AJ172-AJ173-AJ196,AJ193+AJ194-($E$47*AJ195)-AJ196)</f>
        <v>0</v>
      </c>
      <c r="AK197" s="485">
        <f t="shared" ref="AK197" si="841">IF(AK156="Oper Period",AK193+AK194-($E$47*AK195)-AK172-AK173-AK196,AK193+AK194-($E$47*AK195)-AK196)</f>
        <v>0</v>
      </c>
      <c r="AL197" s="485">
        <f t="shared" ref="AL197" si="842">IF(AL156="Oper Period",AL193+AL194-($E$47*AL195)-AL172-AL173-AL196,AL193+AL194-($E$47*AL195)-AL196)</f>
        <v>0</v>
      </c>
      <c r="AM197" s="485">
        <f t="shared" ref="AM197" si="843">IF(AM156="Oper Period",AM193+AM194-($E$47*AM195)-AM172-AM173-AM196,AM193+AM194-($E$47*AM195)-AM196)</f>
        <v>0</v>
      </c>
      <c r="AN197" s="485">
        <f t="shared" ref="AN197" si="844">IF(AN156="Oper Period",AN193+AN194-($E$47*AN195)-AN172-AN173-AN196,AN193+AN194-($E$47*AN195)-AN196)</f>
        <v>0</v>
      </c>
      <c r="AO197" s="485">
        <f t="shared" ref="AO197" si="845">IF(AO156="Oper Period",AO193+AO194-($E$47*AO195)-AO172-AO173-AO196,AO193+AO194-($E$47*AO195)-AO196)</f>
        <v>0</v>
      </c>
      <c r="AP197" s="485">
        <f t="shared" ref="AP197" si="846">IF(AP156="Oper Period",AP193+AP194-($E$47*AP195)-AP172-AP173-AP196,AP193+AP194-($E$47*AP195)-AP196)</f>
        <v>0</v>
      </c>
      <c r="AQ197" s="485">
        <f t="shared" ref="AQ197" si="847">IF(AQ156="Oper Period",AQ193+AQ194-($E$47*AQ195)-AQ172-AQ173-AQ196,AQ193+AQ194-($E$47*AQ195)-AQ196)</f>
        <v>0</v>
      </c>
      <c r="AR197" s="485">
        <f t="shared" ref="AR197" si="848">IF(AR156="Oper Period",AR193+AR194-($E$47*AR195)-AR172-AR173-AR196,AR193+AR194-($E$47*AR195)-AR196)</f>
        <v>0</v>
      </c>
      <c r="AS197" s="485">
        <f t="shared" ref="AS197" si="849">IF(AS156="Oper Period",AS193+AS194-($E$47*AS195)-AS172-AS173-AS196,AS193+AS194-($E$47*AS195)-AS196)</f>
        <v>0</v>
      </c>
      <c r="AT197" s="485">
        <f t="shared" ref="AT197" si="850">IF(AT156="Oper Period",AT193+AT194-($E$47*AT195)-AT172-AT173-AT196,AT193+AT194-($E$47*AT195)-AT196)</f>
        <v>0</v>
      </c>
      <c r="AU197" s="485">
        <f t="shared" ref="AU197" si="851">IF(AU156="Oper Period",AU193+AU194-($E$47*AU195)-AU172-AU173-AU196,AU193+AU194-($E$47*AU195)-AU196)</f>
        <v>0</v>
      </c>
      <c r="AV197" s="485">
        <f t="shared" ref="AV197" si="852">IF(AV156="Oper Period",AV193+AV194-($E$47*AV195)-AV172-AV173-AV196,AV193+AV194-($E$47*AV195)-AV196)</f>
        <v>0</v>
      </c>
      <c r="AW197" s="485">
        <f t="shared" ref="AW197" si="853">IF(AW156="Oper Period",AW193+AW194-($E$47*AW195)-AW172-AW173-AW196,AW193+AW194-($E$47*AW195)-AW196)</f>
        <v>0</v>
      </c>
      <c r="AX197" s="485">
        <f t="shared" ref="AX197" si="854">IF(AX156="Oper Period",AX193+AX194-($E$47*AX195)-AX172-AX173-AX196,AX193+AX194-($E$47*AX195)-AX196)</f>
        <v>0</v>
      </c>
      <c r="AY197" s="485">
        <f t="shared" ref="AY197" si="855">IF(AY156="Oper Period",AY193+AY194-($E$47*AY195)-AY172-AY173-AY196,AY193+AY194-($E$47*AY195)-AY196)</f>
        <v>0</v>
      </c>
      <c r="AZ197" s="485">
        <f t="shared" ref="AZ197" si="856">IF(AZ156="Oper Period",AZ193+AZ194-($E$47*AZ195)-AZ172-AZ173-AZ196,AZ193+AZ194-($E$47*AZ195)-AZ196)</f>
        <v>0</v>
      </c>
      <c r="BA197" s="485">
        <f t="shared" ref="BA197" si="857">IF(BA156="Oper Period",BA193+BA194-($E$47*BA195)-BA172-BA173-BA196,BA193+BA194-($E$47*BA195)-BA196)</f>
        <v>0</v>
      </c>
      <c r="BB197" s="485">
        <f t="shared" ref="BB197" si="858">IF(BB156="Oper Period",BB193+BB194-($E$47*BB195)-BB172-BB173-BB196,BB193+BB194-($E$47*BB195)-BB196)</f>
        <v>0</v>
      </c>
      <c r="BC197" s="485">
        <f t="shared" ref="BC197" si="859">IF(BC156="Oper Period",BC193+BC194-($E$47*BC195)-BC172-BC173-BC196,BC193+BC194-($E$47*BC195)-BC196)</f>
        <v>0</v>
      </c>
      <c r="BD197" s="485">
        <f t="shared" ref="BD197" si="860">IF(BD156="Oper Period",BD193+BD194-($E$47*BD195)-BD172-BD173-BD196,BD193+BD194-($E$47*BD195)-BD196)</f>
        <v>0</v>
      </c>
      <c r="BE197" s="485">
        <f t="shared" ref="BE197" si="861">IF(BE156="Oper Period",BE193+BE194-($E$47*BE195)-BE172-BE173-BE196,BE193+BE194-($E$47*BE195)-BE196)</f>
        <v>0</v>
      </c>
      <c r="BF197" s="485">
        <f t="shared" ref="BF197" si="862">IF(BF156="Oper Period",BF193+BF194-($E$47*BF195)-BF172-BF173-BF196,BF193+BF194-($E$47*BF195)-BF196)</f>
        <v>0</v>
      </c>
      <c r="BG197" s="485">
        <f t="shared" ref="BG197" si="863">IF(BG156="Oper Period",BG193+BG194-($E$47*BG195)-BG172-BG173-BG196,BG193+BG194-($E$47*BG195)-BG196)</f>
        <v>0</v>
      </c>
      <c r="BH197" s="485">
        <f t="shared" ref="BH197:BI197" si="864">IF(BH156="Oper Period",BH193+BH194-($E$47*BH195)-BH172-BH173-BH196,BH193+BH194-($E$47*BH195)-BH196)</f>
        <v>0</v>
      </c>
      <c r="BI197" s="485">
        <f t="shared" si="864"/>
        <v>0</v>
      </c>
      <c r="BJ197" s="485">
        <f t="shared" ref="BJ197" si="865">IF(BJ156="Oper Period",BJ193+BJ194-($E$47*BJ195)-BJ172-BJ173-BJ196,BJ193+BJ194-($E$47*BJ195)-BJ196)</f>
        <v>0</v>
      </c>
      <c r="BK197" s="485">
        <f t="shared" ref="BK197" si="866">IF(BK156="Oper Period",BK193+BK194-($E$47*BK195)-BK172-BK173-BK196,BK193+BK194-($E$47*BK195)-BK196)</f>
        <v>0</v>
      </c>
      <c r="BL197" s="485">
        <f t="shared" ref="BL197" si="867">IF(BL156="Oper Period",BL193+BL194-($E$47*BL195)-BL172-BL173-BL196,BL193+BL194-($E$47*BL195)-BL196)</f>
        <v>0</v>
      </c>
      <c r="BM197" s="485">
        <f t="shared" ref="BM197" si="868">IF(BM156="Oper Period",BM193+BM194-($E$47*BM195)-BM172-BM173-BM196,BM193+BM194-($E$47*BM195)-BM196)</f>
        <v>0</v>
      </c>
      <c r="BN197" s="485">
        <f t="shared" ref="BN197" si="869">IF(BN156="Oper Period",BN193+BN194-($E$47*BN195)-BN172-BN173-BN196,BN193+BN194-($E$47*BN195)-BN196)</f>
        <v>0</v>
      </c>
      <c r="BO197" s="485">
        <f t="shared" ref="BO197" si="870">IF(BO156="Oper Period",BO193+BO194-($E$47*BO195)-BO172-BO173-BO196,BO193+BO194-($E$47*BO195)-BO196)</f>
        <v>0</v>
      </c>
      <c r="BP197" s="485">
        <f t="shared" ref="BP197" si="871">IF(BP156="Oper Period",BP193+BP194-($E$47*BP195)-BP172-BP173-BP196,BP193+BP194-($E$47*BP195)-BP196)</f>
        <v>0</v>
      </c>
      <c r="BQ197" s="485">
        <f t="shared" ref="BQ197" si="872">IF(BQ156="Oper Period",BQ193+BQ194-($E$47*BQ195)-BQ172-BQ173-BQ196,BQ193+BQ194-($E$47*BQ195)-BQ196)</f>
        <v>0</v>
      </c>
      <c r="BR197" s="485">
        <f t="shared" ref="BR197" si="873">IF(BR156="Oper Period",BR193+BR194-($E$47*BR195)-BR172-BR173-BR196,BR193+BR194-($E$47*BR195)-BR196)</f>
        <v>0</v>
      </c>
      <c r="BS197" s="485">
        <f t="shared" ref="BS197" si="874">IF(BS156="Oper Period",BS193+BS194-($E$47*BS195)-BS172-BS173-BS196,BS193+BS194-($E$47*BS195)-BS196)</f>
        <v>0</v>
      </c>
      <c r="BT197" s="485">
        <f t="shared" ref="BT197" si="875">IF(BT156="Oper Period",BT193+BT194-($E$47*BT195)-BT172-BT173-BT196,BT193+BT194-($E$47*BT195)-BT196)</f>
        <v>0</v>
      </c>
      <c r="BU197" s="485">
        <f t="shared" ref="BU197" si="876">IF(BU156="Oper Period",BU193+BU194-($E$47*BU195)-BU172-BU173-BU196,BU193+BU194-($E$47*BU195)-BU196)</f>
        <v>0</v>
      </c>
      <c r="BV197" s="485">
        <f t="shared" ref="BV197" si="877">IF(BV156="Oper Period",BV193+BV194-($E$47*BV195)-BV172-BV173-BV196,BV193+BV194-($E$47*BV195)-BV196)</f>
        <v>0</v>
      </c>
      <c r="BW197" s="485">
        <f t="shared" ref="BW197" si="878">IF(BW156="Oper Period",BW193+BW194-($E$47*BW195)-BW172-BW173-BW196,BW193+BW194-($E$47*BW195)-BW196)</f>
        <v>0</v>
      </c>
      <c r="BX197" s="485">
        <f t="shared" ref="BX197" si="879">IF(BX156="Oper Period",BX193+BX194-($E$47*BX195)-BX172-BX173-BX196,BX193+BX194-($E$47*BX195)-BX196)</f>
        <v>0</v>
      </c>
      <c r="BY197" s="485">
        <f t="shared" ref="BY197" si="880">IF(BY156="Oper Period",BY193+BY194-($E$47*BY195)-BY172-BY173-BY196,BY193+BY194-($E$47*BY195)-BY196)</f>
        <v>0</v>
      </c>
      <c r="BZ197" s="485">
        <f t="shared" ref="BZ197" si="881">IF(BZ156="Oper Period",BZ193+BZ194-($E$47*BZ195)-BZ172-BZ173-BZ196,BZ193+BZ194-($E$47*BZ195)-BZ196)</f>
        <v>0</v>
      </c>
      <c r="CA197" s="485">
        <f t="shared" ref="CA197" si="882">IF(CA156="Oper Period",CA193+CA194-($E$47*CA195)-CA172-CA173-CA196,CA193+CA194-($E$47*CA195)-CA196)</f>
        <v>0</v>
      </c>
      <c r="CB197" s="485">
        <f t="shared" ref="CB197" si="883">IF(CB156="Oper Period",CB193+CB194-($E$47*CB195)-CB172-CB173-CB196,CB193+CB194-($E$47*CB195)-CB196)</f>
        <v>0</v>
      </c>
      <c r="CC197" s="485">
        <f t="shared" ref="CC197" si="884">IF(CC156="Oper Period",CC193+CC194-($E$47*CC195)-CC172-CC173-CC196,CC193+CC194-($E$47*CC195)-CC196)</f>
        <v>0</v>
      </c>
      <c r="CD197" s="485">
        <f t="shared" ref="CD197" si="885">IF(CD156="Oper Period",CD193+CD194-($E$47*CD195)-CD172-CD173-CD196,CD193+CD194-($E$47*CD195)-CD196)</f>
        <v>0</v>
      </c>
      <c r="CE197" s="485">
        <f t="shared" ref="CE197" si="886">IF(CE156="Oper Period",CE193+CE194-($E$47*CE195)-CE172-CE173-CE196,CE193+CE194-($E$47*CE195)-CE196)</f>
        <v>0</v>
      </c>
      <c r="CF197" s="485">
        <f t="shared" ref="CF197" si="887">IF(CF156="Oper Period",CF193+CF194-($E$47*CF195)-CF172-CF173-CF196,CF193+CF194-($E$47*CF195)-CF196)</f>
        <v>0</v>
      </c>
      <c r="CG197" s="485">
        <f t="shared" ref="CG197" si="888">IF(CG156="Oper Period",CG193+CG194-($E$47*CG195)-CG172-CG173-CG196,CG193+CG194-($E$47*CG195)-CG196)</f>
        <v>0</v>
      </c>
      <c r="CH197" s="485">
        <f t="shared" ref="CH197:CI197" si="889">IF(CH156="Oper Period",CH193+CH194-($E$47*CH195)-CH172-CH173-CH196,CH193+CH194-($E$47*CH195)-CH196)</f>
        <v>0</v>
      </c>
      <c r="CI197" s="485">
        <f t="shared" si="889"/>
        <v>0</v>
      </c>
      <c r="CJ197" s="485">
        <f t="shared" ref="CJ197" si="890">IF(CJ156="Oper Period",CJ193+CJ194-($E$47*CJ195)-CJ172-CJ173-CJ196,CJ193+CJ194-($E$47*CJ195)-CJ196)</f>
        <v>0</v>
      </c>
      <c r="CK197" s="485">
        <f t="shared" ref="CK197" si="891">IF(CK156="Oper Period",CK193+CK194-($E$47*CK195)-CK172-CK173-CK196,CK193+CK194-($E$47*CK195)-CK196)</f>
        <v>0</v>
      </c>
      <c r="CL197" s="485">
        <f t="shared" ref="CL197" si="892">IF(CL156="Oper Period",CL193+CL194-($E$47*CL195)-CL172-CL173-CL196,CL193+CL194-($E$47*CL195)-CL196)</f>
        <v>0</v>
      </c>
      <c r="CM197" s="485">
        <f t="shared" ref="CM197" si="893">IF(CM156="Oper Period",CM193+CM194-($E$47*CM195)-CM172-CM173-CM196,CM193+CM194-($E$47*CM195)-CM196)</f>
        <v>0</v>
      </c>
      <c r="CN197" s="485">
        <f t="shared" ref="CN197" si="894">IF(CN156="Oper Period",CN193+CN194-($E$47*CN195)-CN172-CN173-CN196,CN193+CN194-($E$47*CN195)-CN196)</f>
        <v>0</v>
      </c>
      <c r="CO197" s="485">
        <f t="shared" ref="CO197" si="895">IF(CO156="Oper Period",CO193+CO194-($E$47*CO195)-CO172-CO173-CO196,CO193+CO194-($E$47*CO195)-CO196)</f>
        <v>0</v>
      </c>
      <c r="CP197" s="485">
        <f t="shared" ref="CP197" si="896">IF(CP156="Oper Period",CP193+CP194-($E$47*CP195)-CP172-CP173-CP196,CP193+CP194-($E$47*CP195)-CP196)</f>
        <v>0</v>
      </c>
      <c r="CQ197" s="485">
        <f t="shared" ref="CQ197" si="897">IF(CQ156="Oper Period",CQ193+CQ194-($E$47*CQ195)-CQ172-CQ173-CQ196,CQ193+CQ194-($E$47*CQ195)-CQ196)</f>
        <v>0</v>
      </c>
      <c r="CR197" s="485">
        <f t="shared" ref="CR197" si="898">IF(CR156="Oper Period",CR193+CR194-($E$47*CR195)-CR172-CR173-CR196,CR193+CR194-($E$47*CR195)-CR196)</f>
        <v>0</v>
      </c>
      <c r="CS197" s="485">
        <f t="shared" ref="CS197" si="899">IF(CS156="Oper Period",CS193+CS194-($E$47*CS195)-CS172-CS173-CS196,CS193+CS194-($E$47*CS195)-CS196)</f>
        <v>0</v>
      </c>
      <c r="CT197" s="485">
        <f t="shared" ref="CT197" si="900">IF(CT156="Oper Period",CT193+CT194-($E$47*CT195)-CT172-CT173-CT196,CT193+CT194-($E$47*CT195)-CT196)</f>
        <v>0</v>
      </c>
      <c r="CU197" s="485">
        <f t="shared" ref="CU197" si="901">IF(CU156="Oper Period",CU193+CU194-($E$47*CU195)-CU172-CU173-CU196,CU193+CU194-($E$47*CU195)-CU196)</f>
        <v>0</v>
      </c>
      <c r="CV197" s="485">
        <f t="shared" ref="CV197" si="902">IF(CV156="Oper Period",CV193+CV194-($E$47*CV195)-CV172-CV173-CV196,CV193+CV194-($E$47*CV195)-CV196)</f>
        <v>0</v>
      </c>
      <c r="CW197" s="485">
        <f t="shared" ref="CW197" si="903">IF(CW156="Oper Period",CW193+CW194-($E$47*CW195)-CW172-CW173-CW196,CW193+CW194-($E$47*CW195)-CW196)</f>
        <v>0</v>
      </c>
      <c r="CX197" s="485">
        <f t="shared" ref="CX197" si="904">IF(CX156="Oper Period",CX193+CX194-($E$47*CX195)-CX172-CX173-CX196,CX193+CX194-($E$47*CX195)-CX196)</f>
        <v>0</v>
      </c>
      <c r="CY197" s="485">
        <f t="shared" ref="CY197" si="905">IF(CY156="Oper Period",CY193+CY194-($E$47*CY195)-CY172-CY173-CY196,CY193+CY194-($E$47*CY195)-CY196)</f>
        <v>0</v>
      </c>
      <c r="CZ197" s="485">
        <f t="shared" ref="CZ197" si="906">IF(CZ156="Oper Period",CZ193+CZ194-($E$47*CZ195)-CZ172-CZ173-CZ196,CZ193+CZ194-($E$47*CZ195)-CZ196)</f>
        <v>0</v>
      </c>
    </row>
    <row r="198" spans="1:104" ht="13.3" thickBot="1" x14ac:dyDescent="0.4">
      <c r="B198" s="492"/>
      <c r="C198" s="580">
        <f>SUM(E198:CZ198)</f>
        <v>32791.612040623557</v>
      </c>
      <c r="D198" s="234" t="s">
        <v>693</v>
      </c>
      <c r="E198" s="486">
        <f t="shared" ref="E198:AJ198" si="907">E197/E109</f>
        <v>-9659029.8313801195</v>
      </c>
      <c r="F198" s="486">
        <f t="shared" si="907"/>
        <v>-17190863.168845613</v>
      </c>
      <c r="G198" s="486">
        <f t="shared" si="907"/>
        <v>-23589354.378491096</v>
      </c>
      <c r="H198" s="486">
        <f t="shared" si="907"/>
        <v>-24438759.415035479</v>
      </c>
      <c r="I198" s="486">
        <f t="shared" si="907"/>
        <v>9153739.2748870384</v>
      </c>
      <c r="J198" s="486">
        <f t="shared" si="907"/>
        <v>9257060.6700988505</v>
      </c>
      <c r="K198" s="486">
        <f t="shared" si="907"/>
        <v>8376998.0889916057</v>
      </c>
      <c r="L198" s="486">
        <f t="shared" si="907"/>
        <v>7598040.2341258908</v>
      </c>
      <c r="M198" s="486">
        <f t="shared" si="907"/>
        <v>6904175.4583773855</v>
      </c>
      <c r="N198" s="486">
        <f t="shared" si="907"/>
        <v>6283526.6145510003</v>
      </c>
      <c r="O198" s="486">
        <f t="shared" si="907"/>
        <v>5757310.3485010853</v>
      </c>
      <c r="P198" s="486">
        <f t="shared" si="907"/>
        <v>5304532.0046070172</v>
      </c>
      <c r="Q198" s="486">
        <f t="shared" si="907"/>
        <v>4777258.1810035417</v>
      </c>
      <c r="R198" s="486">
        <f t="shared" si="907"/>
        <v>4188631.9472122323</v>
      </c>
      <c r="S198" s="486">
        <f t="shared" si="907"/>
        <v>3823055.4573115408</v>
      </c>
      <c r="T198" s="486">
        <f t="shared" si="907"/>
        <v>3486470.1261257506</v>
      </c>
      <c r="U198" s="486">
        <f t="shared" si="907"/>
        <v>0</v>
      </c>
      <c r="V198" s="486">
        <f t="shared" si="907"/>
        <v>0</v>
      </c>
      <c r="W198" s="486">
        <f t="shared" si="907"/>
        <v>0</v>
      </c>
      <c r="X198" s="486">
        <f t="shared" si="907"/>
        <v>0</v>
      </c>
      <c r="Y198" s="486">
        <f t="shared" si="907"/>
        <v>0</v>
      </c>
      <c r="Z198" s="486">
        <f t="shared" si="907"/>
        <v>0</v>
      </c>
      <c r="AA198" s="486">
        <f t="shared" si="907"/>
        <v>0</v>
      </c>
      <c r="AB198" s="486">
        <f t="shared" si="907"/>
        <v>0</v>
      </c>
      <c r="AC198" s="486">
        <f t="shared" si="907"/>
        <v>0</v>
      </c>
      <c r="AD198" s="486">
        <f t="shared" si="907"/>
        <v>0</v>
      </c>
      <c r="AE198" s="486">
        <f t="shared" si="907"/>
        <v>0</v>
      </c>
      <c r="AF198" s="486">
        <f t="shared" si="907"/>
        <v>0</v>
      </c>
      <c r="AG198" s="486">
        <f t="shared" si="907"/>
        <v>0</v>
      </c>
      <c r="AH198" s="486">
        <f t="shared" si="907"/>
        <v>0</v>
      </c>
      <c r="AI198" s="486">
        <f t="shared" si="907"/>
        <v>0</v>
      </c>
      <c r="AJ198" s="486">
        <f t="shared" si="907"/>
        <v>0</v>
      </c>
      <c r="AK198" s="486">
        <f t="shared" ref="AK198:BP198" si="908">AK197/AK109</f>
        <v>0</v>
      </c>
      <c r="AL198" s="486">
        <f t="shared" si="908"/>
        <v>0</v>
      </c>
      <c r="AM198" s="486">
        <f t="shared" si="908"/>
        <v>0</v>
      </c>
      <c r="AN198" s="486">
        <f t="shared" si="908"/>
        <v>0</v>
      </c>
      <c r="AO198" s="486">
        <f t="shared" si="908"/>
        <v>0</v>
      </c>
      <c r="AP198" s="486">
        <f t="shared" si="908"/>
        <v>0</v>
      </c>
      <c r="AQ198" s="486">
        <f t="shared" si="908"/>
        <v>0</v>
      </c>
      <c r="AR198" s="486">
        <f t="shared" si="908"/>
        <v>0</v>
      </c>
      <c r="AS198" s="486">
        <f t="shared" si="908"/>
        <v>0</v>
      </c>
      <c r="AT198" s="486">
        <f t="shared" si="908"/>
        <v>0</v>
      </c>
      <c r="AU198" s="486">
        <f t="shared" si="908"/>
        <v>0</v>
      </c>
      <c r="AV198" s="486">
        <f t="shared" si="908"/>
        <v>0</v>
      </c>
      <c r="AW198" s="486">
        <f t="shared" si="908"/>
        <v>0</v>
      </c>
      <c r="AX198" s="486">
        <f t="shared" si="908"/>
        <v>0</v>
      </c>
      <c r="AY198" s="486">
        <f t="shared" si="908"/>
        <v>0</v>
      </c>
      <c r="AZ198" s="486">
        <f t="shared" si="908"/>
        <v>0</v>
      </c>
      <c r="BA198" s="486">
        <f t="shared" si="908"/>
        <v>0</v>
      </c>
      <c r="BB198" s="486">
        <f t="shared" si="908"/>
        <v>0</v>
      </c>
      <c r="BC198" s="486">
        <f t="shared" si="908"/>
        <v>0</v>
      </c>
      <c r="BD198" s="486">
        <f t="shared" si="908"/>
        <v>0</v>
      </c>
      <c r="BE198" s="486">
        <f t="shared" si="908"/>
        <v>0</v>
      </c>
      <c r="BF198" s="486">
        <f t="shared" si="908"/>
        <v>0</v>
      </c>
      <c r="BG198" s="486">
        <f t="shared" si="908"/>
        <v>0</v>
      </c>
      <c r="BH198" s="486">
        <f t="shared" si="908"/>
        <v>0</v>
      </c>
      <c r="BI198" s="486">
        <f t="shared" si="908"/>
        <v>0</v>
      </c>
      <c r="BJ198" s="486">
        <f t="shared" si="908"/>
        <v>0</v>
      </c>
      <c r="BK198" s="486">
        <f t="shared" si="908"/>
        <v>0</v>
      </c>
      <c r="BL198" s="486">
        <f t="shared" si="908"/>
        <v>0</v>
      </c>
      <c r="BM198" s="486">
        <f t="shared" si="908"/>
        <v>0</v>
      </c>
      <c r="BN198" s="486">
        <f t="shared" si="908"/>
        <v>0</v>
      </c>
      <c r="BO198" s="486">
        <f t="shared" si="908"/>
        <v>0</v>
      </c>
      <c r="BP198" s="486">
        <f t="shared" si="908"/>
        <v>0</v>
      </c>
      <c r="BQ198" s="486">
        <f t="shared" ref="BQ198:CV198" si="909">BQ197/BQ109</f>
        <v>0</v>
      </c>
      <c r="BR198" s="486">
        <f t="shared" si="909"/>
        <v>0</v>
      </c>
      <c r="BS198" s="486">
        <f t="shared" si="909"/>
        <v>0</v>
      </c>
      <c r="BT198" s="486">
        <f t="shared" si="909"/>
        <v>0</v>
      </c>
      <c r="BU198" s="486">
        <f t="shared" si="909"/>
        <v>0</v>
      </c>
      <c r="BV198" s="486">
        <f t="shared" si="909"/>
        <v>0</v>
      </c>
      <c r="BW198" s="486">
        <f t="shared" si="909"/>
        <v>0</v>
      </c>
      <c r="BX198" s="486">
        <f t="shared" si="909"/>
        <v>0</v>
      </c>
      <c r="BY198" s="486">
        <f t="shared" si="909"/>
        <v>0</v>
      </c>
      <c r="BZ198" s="486">
        <f t="shared" si="909"/>
        <v>0</v>
      </c>
      <c r="CA198" s="486">
        <f t="shared" si="909"/>
        <v>0</v>
      </c>
      <c r="CB198" s="486">
        <f t="shared" si="909"/>
        <v>0</v>
      </c>
      <c r="CC198" s="486">
        <f t="shared" si="909"/>
        <v>0</v>
      </c>
      <c r="CD198" s="486">
        <f t="shared" si="909"/>
        <v>0</v>
      </c>
      <c r="CE198" s="486">
        <f t="shared" si="909"/>
        <v>0</v>
      </c>
      <c r="CF198" s="486">
        <f t="shared" si="909"/>
        <v>0</v>
      </c>
      <c r="CG198" s="486">
        <f t="shared" si="909"/>
        <v>0</v>
      </c>
      <c r="CH198" s="486">
        <f t="shared" si="909"/>
        <v>0</v>
      </c>
      <c r="CI198" s="486">
        <f t="shared" si="909"/>
        <v>0</v>
      </c>
      <c r="CJ198" s="486">
        <f t="shared" si="909"/>
        <v>0</v>
      </c>
      <c r="CK198" s="486">
        <f t="shared" si="909"/>
        <v>0</v>
      </c>
      <c r="CL198" s="486">
        <f t="shared" si="909"/>
        <v>0</v>
      </c>
      <c r="CM198" s="486">
        <f t="shared" si="909"/>
        <v>0</v>
      </c>
      <c r="CN198" s="486">
        <f t="shared" si="909"/>
        <v>0</v>
      </c>
      <c r="CO198" s="486">
        <f t="shared" si="909"/>
        <v>0</v>
      </c>
      <c r="CP198" s="486">
        <f t="shared" si="909"/>
        <v>0</v>
      </c>
      <c r="CQ198" s="486">
        <f t="shared" si="909"/>
        <v>0</v>
      </c>
      <c r="CR198" s="486">
        <f t="shared" si="909"/>
        <v>0</v>
      </c>
      <c r="CS198" s="486">
        <f t="shared" si="909"/>
        <v>0</v>
      </c>
      <c r="CT198" s="486">
        <f t="shared" si="909"/>
        <v>0</v>
      </c>
      <c r="CU198" s="486">
        <f t="shared" si="909"/>
        <v>0</v>
      </c>
      <c r="CV198" s="486">
        <f t="shared" si="909"/>
        <v>0</v>
      </c>
      <c r="CW198" s="486">
        <f t="shared" ref="CW198:CZ198" si="910">CW197/CW109</f>
        <v>0</v>
      </c>
      <c r="CX198" s="486">
        <f t="shared" si="910"/>
        <v>0</v>
      </c>
      <c r="CY198" s="486">
        <f t="shared" si="910"/>
        <v>0</v>
      </c>
      <c r="CZ198" s="486">
        <f t="shared" si="910"/>
        <v>0</v>
      </c>
    </row>
    <row r="199" spans="1:104" x14ac:dyDescent="0.35">
      <c r="A199" s="113"/>
      <c r="B199" s="117"/>
      <c r="C199" s="126"/>
      <c r="D199" s="105"/>
      <c r="E199" s="148"/>
      <c r="F199" s="148"/>
      <c r="G199" s="148"/>
      <c r="H199" s="206"/>
      <c r="I199" s="206"/>
      <c r="J199" s="206"/>
      <c r="K199" s="206"/>
      <c r="L199" s="206"/>
      <c r="M199" s="206"/>
      <c r="N199" s="206"/>
      <c r="O199" s="206"/>
      <c r="P199" s="206"/>
      <c r="Q199" s="206"/>
      <c r="R199" s="206"/>
      <c r="S199" s="206"/>
      <c r="T199" s="206"/>
      <c r="U199" s="206"/>
      <c r="V199" s="206"/>
      <c r="W199" s="206"/>
      <c r="X199" s="206"/>
      <c r="Y199" s="206"/>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c r="BS199" s="148"/>
      <c r="BT199" s="148"/>
      <c r="BU199" s="148"/>
      <c r="BV199" s="148"/>
      <c r="BW199" s="148"/>
      <c r="BX199" s="148"/>
      <c r="BY199" s="148"/>
      <c r="BZ199" s="148"/>
      <c r="CA199" s="148"/>
      <c r="CB199" s="148"/>
      <c r="CC199" s="148"/>
      <c r="CD199" s="148"/>
      <c r="CE199" s="148"/>
      <c r="CF199" s="148"/>
      <c r="CG199" s="148"/>
      <c r="CH199" s="148"/>
      <c r="CI199" s="148"/>
      <c r="CJ199" s="148"/>
      <c r="CK199" s="148"/>
      <c r="CL199" s="148"/>
      <c r="CM199" s="148"/>
      <c r="CN199" s="148"/>
      <c r="CO199" s="148"/>
      <c r="CP199" s="148"/>
      <c r="CQ199" s="148"/>
      <c r="CR199" s="148"/>
      <c r="CS199" s="148"/>
      <c r="CT199" s="148"/>
      <c r="CU199" s="148"/>
      <c r="CV199" s="148"/>
      <c r="CW199" s="148"/>
      <c r="CX199" s="148"/>
      <c r="CY199" s="148"/>
      <c r="CZ199" s="148"/>
    </row>
    <row r="200" spans="1:104" x14ac:dyDescent="0.35">
      <c r="A200" s="113"/>
      <c r="B200" s="120"/>
      <c r="C200" s="576"/>
      <c r="D200" s="120"/>
      <c r="E200" s="137"/>
      <c r="F200" s="137"/>
      <c r="G200" s="148"/>
      <c r="H200" s="206"/>
      <c r="I200" s="206"/>
      <c r="J200" s="206"/>
      <c r="K200" s="206"/>
      <c r="L200" s="206"/>
      <c r="M200" s="206"/>
      <c r="N200" s="206"/>
      <c r="O200" s="206"/>
      <c r="P200" s="206"/>
      <c r="Q200" s="206"/>
      <c r="R200" s="206"/>
      <c r="S200" s="206"/>
      <c r="T200" s="206"/>
      <c r="U200" s="206"/>
      <c r="V200" s="206"/>
      <c r="W200" s="206"/>
      <c r="X200" s="206"/>
      <c r="Y200" s="206"/>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c r="BS200" s="148"/>
      <c r="BT200" s="148"/>
      <c r="BU200" s="148"/>
      <c r="BV200" s="148"/>
      <c r="BW200" s="148"/>
      <c r="BX200" s="148"/>
      <c r="BY200" s="148"/>
      <c r="BZ200" s="148"/>
      <c r="CA200" s="148"/>
      <c r="CB200" s="148"/>
      <c r="CC200" s="148"/>
      <c r="CD200" s="148"/>
      <c r="CE200" s="148"/>
      <c r="CF200" s="148"/>
      <c r="CG200" s="148"/>
      <c r="CH200" s="148"/>
      <c r="CI200" s="148"/>
      <c r="CJ200" s="148"/>
      <c r="CK200" s="148"/>
      <c r="CL200" s="148"/>
      <c r="CM200" s="148"/>
      <c r="CN200" s="148"/>
      <c r="CO200" s="148"/>
      <c r="CP200" s="148"/>
      <c r="CQ200" s="148"/>
      <c r="CR200" s="148"/>
      <c r="CS200" s="148"/>
      <c r="CT200" s="148"/>
      <c r="CU200" s="148"/>
      <c r="CV200" s="148"/>
      <c r="CW200" s="148"/>
      <c r="CX200" s="148"/>
      <c r="CY200" s="148"/>
      <c r="CZ200" s="148"/>
    </row>
    <row r="201" spans="1:104" x14ac:dyDescent="0.35">
      <c r="A201" s="113"/>
      <c r="B201" s="120"/>
      <c r="C201" s="120"/>
      <c r="D201" s="120"/>
      <c r="E201" s="137"/>
      <c r="F201" s="137"/>
      <c r="G201" s="148"/>
      <c r="H201" s="206"/>
      <c r="I201" s="206"/>
      <c r="J201" s="206"/>
      <c r="K201" s="206"/>
      <c r="L201" s="206"/>
      <c r="M201" s="206"/>
      <c r="N201" s="206"/>
      <c r="O201" s="206"/>
      <c r="P201" s="206"/>
      <c r="Q201" s="206"/>
      <c r="R201" s="206"/>
      <c r="S201" s="206"/>
      <c r="T201" s="206"/>
      <c r="U201" s="206"/>
      <c r="V201" s="206"/>
      <c r="W201" s="206"/>
      <c r="X201" s="206"/>
      <c r="Y201" s="206"/>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c r="BS201" s="148"/>
      <c r="BT201" s="148"/>
      <c r="BU201" s="148"/>
      <c r="BV201" s="148"/>
      <c r="BW201" s="148"/>
      <c r="BX201" s="148"/>
      <c r="BY201" s="148"/>
      <c r="BZ201" s="148"/>
      <c r="CA201" s="148"/>
      <c r="CB201" s="148"/>
      <c r="CC201" s="148"/>
      <c r="CD201" s="148"/>
      <c r="CE201" s="148"/>
      <c r="CF201" s="148"/>
      <c r="CG201" s="148"/>
      <c r="CH201" s="148"/>
      <c r="CI201" s="148"/>
      <c r="CJ201" s="148"/>
      <c r="CK201" s="148"/>
      <c r="CL201" s="148"/>
      <c r="CM201" s="148"/>
      <c r="CN201" s="148"/>
      <c r="CO201" s="148"/>
      <c r="CP201" s="148"/>
      <c r="CQ201" s="148"/>
      <c r="CR201" s="148"/>
      <c r="CS201" s="148"/>
      <c r="CT201" s="148"/>
      <c r="CU201" s="148"/>
      <c r="CV201" s="148"/>
      <c r="CW201" s="148"/>
      <c r="CX201" s="148"/>
      <c r="CY201" s="148"/>
      <c r="CZ201" s="148"/>
    </row>
    <row r="202" spans="1:104" x14ac:dyDescent="0.35">
      <c r="A202" s="113"/>
      <c r="B202" s="105"/>
      <c r="C202" s="126"/>
      <c r="D202" s="535"/>
      <c r="E202" s="577"/>
      <c r="F202" s="401"/>
      <c r="G202" s="148"/>
      <c r="H202" s="206"/>
      <c r="I202" s="206"/>
      <c r="J202" s="206"/>
      <c r="K202" s="206"/>
      <c r="L202" s="206"/>
      <c r="M202" s="206"/>
      <c r="N202" s="206"/>
      <c r="O202" s="206"/>
      <c r="P202" s="206"/>
      <c r="Q202" s="206"/>
      <c r="R202" s="206"/>
      <c r="S202" s="206"/>
      <c r="T202" s="206"/>
      <c r="U202" s="206"/>
      <c r="V202" s="206"/>
      <c r="W202" s="206"/>
      <c r="X202" s="206"/>
      <c r="Y202" s="206"/>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c r="BS202" s="148"/>
      <c r="BT202" s="148"/>
      <c r="BU202" s="148"/>
      <c r="BV202" s="148"/>
      <c r="BW202" s="148"/>
      <c r="BX202" s="148"/>
      <c r="BY202" s="148"/>
      <c r="BZ202" s="148"/>
      <c r="CA202" s="148"/>
      <c r="CB202" s="148"/>
      <c r="CC202" s="148"/>
      <c r="CD202" s="148"/>
      <c r="CE202" s="148"/>
      <c r="CF202" s="148"/>
      <c r="CG202" s="148"/>
      <c r="CH202" s="148"/>
      <c r="CI202" s="148"/>
      <c r="CJ202" s="148"/>
      <c r="CK202" s="148"/>
      <c r="CL202" s="148"/>
      <c r="CM202" s="148"/>
      <c r="CN202" s="148"/>
      <c r="CO202" s="148"/>
      <c r="CP202" s="148"/>
      <c r="CQ202" s="148"/>
      <c r="CR202" s="148"/>
      <c r="CS202" s="148"/>
      <c r="CT202" s="148"/>
      <c r="CU202" s="148"/>
      <c r="CV202" s="148"/>
      <c r="CW202" s="148"/>
      <c r="CX202" s="148"/>
      <c r="CY202" s="148"/>
      <c r="CZ202" s="148"/>
    </row>
    <row r="203" spans="1:104" x14ac:dyDescent="0.35">
      <c r="A203" s="113"/>
      <c r="B203" s="105"/>
      <c r="C203" s="126"/>
      <c r="D203" s="535"/>
      <c r="E203" s="578"/>
      <c r="F203" s="401"/>
      <c r="G203" s="148"/>
      <c r="H203" s="206"/>
      <c r="I203" s="206"/>
      <c r="J203" s="206"/>
      <c r="K203" s="206"/>
      <c r="L203" s="206"/>
      <c r="M203" s="206"/>
      <c r="N203" s="206"/>
      <c r="O203" s="206"/>
      <c r="P203" s="206"/>
      <c r="Q203" s="206"/>
      <c r="R203" s="206"/>
      <c r="S203" s="206"/>
      <c r="T203" s="206"/>
      <c r="U203" s="206"/>
      <c r="V203" s="206"/>
      <c r="W203" s="206"/>
      <c r="X203" s="206"/>
      <c r="Y203" s="206"/>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c r="BI203" s="148"/>
      <c r="BJ203" s="148"/>
      <c r="BK203" s="148"/>
      <c r="BL203" s="148"/>
      <c r="BM203" s="148"/>
      <c r="BN203" s="148"/>
      <c r="BO203" s="148"/>
      <c r="BP203" s="148"/>
      <c r="BQ203" s="148"/>
      <c r="BR203" s="148"/>
      <c r="BS203" s="148"/>
      <c r="BT203" s="148"/>
      <c r="BU203" s="148"/>
      <c r="BV203" s="148"/>
      <c r="BW203" s="148"/>
      <c r="BX203" s="148"/>
      <c r="BY203" s="148"/>
      <c r="BZ203" s="148"/>
      <c r="CA203" s="148"/>
      <c r="CB203" s="148"/>
      <c r="CC203" s="148"/>
      <c r="CD203" s="148"/>
      <c r="CE203" s="148"/>
      <c r="CF203" s="148"/>
      <c r="CG203" s="148"/>
      <c r="CH203" s="148"/>
      <c r="CI203" s="148"/>
      <c r="CJ203" s="148"/>
      <c r="CK203" s="148"/>
      <c r="CL203" s="148"/>
      <c r="CM203" s="148"/>
      <c r="CN203" s="148"/>
      <c r="CO203" s="148"/>
      <c r="CP203" s="148"/>
      <c r="CQ203" s="148"/>
      <c r="CR203" s="148"/>
      <c r="CS203" s="148"/>
      <c r="CT203" s="148"/>
      <c r="CU203" s="148"/>
      <c r="CV203" s="148"/>
      <c r="CW203" s="148"/>
      <c r="CX203" s="148"/>
      <c r="CY203" s="148"/>
      <c r="CZ203" s="148"/>
    </row>
    <row r="204" spans="1:104" x14ac:dyDescent="0.35">
      <c r="A204" s="113"/>
      <c r="B204" s="105"/>
      <c r="C204" s="126"/>
      <c r="D204" s="535"/>
      <c r="E204" s="578"/>
      <c r="F204" s="401"/>
      <c r="G204" s="148"/>
      <c r="H204" s="206"/>
      <c r="I204" s="206"/>
      <c r="J204" s="206"/>
      <c r="K204" s="206"/>
      <c r="L204" s="206"/>
      <c r="M204" s="206"/>
      <c r="N204" s="206"/>
      <c r="O204" s="206"/>
      <c r="P204" s="206"/>
      <c r="Q204" s="206"/>
      <c r="R204" s="206"/>
      <c r="S204" s="206"/>
      <c r="T204" s="206"/>
      <c r="U204" s="206"/>
      <c r="V204" s="206"/>
      <c r="W204" s="206"/>
      <c r="X204" s="206"/>
      <c r="Y204" s="206"/>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c r="BI204" s="148"/>
      <c r="BJ204" s="148"/>
      <c r="BK204" s="148"/>
      <c r="BL204" s="148"/>
      <c r="BM204" s="148"/>
      <c r="BN204" s="148"/>
      <c r="BO204" s="148"/>
      <c r="BP204" s="148"/>
      <c r="BQ204" s="148"/>
      <c r="BR204" s="148"/>
      <c r="BS204" s="148"/>
      <c r="BT204" s="148"/>
      <c r="BU204" s="148"/>
      <c r="BV204" s="148"/>
      <c r="BW204" s="148"/>
      <c r="BX204" s="148"/>
      <c r="BY204" s="148"/>
      <c r="BZ204" s="148"/>
      <c r="CA204" s="148"/>
      <c r="CB204" s="148"/>
      <c r="CC204" s="148"/>
      <c r="CD204" s="148"/>
      <c r="CE204" s="148"/>
      <c r="CF204" s="148"/>
      <c r="CG204" s="148"/>
      <c r="CH204" s="148"/>
      <c r="CI204" s="148"/>
      <c r="CJ204" s="148"/>
      <c r="CK204" s="148"/>
      <c r="CL204" s="148"/>
      <c r="CM204" s="148"/>
      <c r="CN204" s="148"/>
      <c r="CO204" s="148"/>
      <c r="CP204" s="148"/>
      <c r="CQ204" s="148"/>
      <c r="CR204" s="148"/>
      <c r="CS204" s="148"/>
      <c r="CT204" s="148"/>
      <c r="CU204" s="148"/>
      <c r="CV204" s="148"/>
      <c r="CW204" s="148"/>
      <c r="CX204" s="148"/>
      <c r="CY204" s="148"/>
      <c r="CZ204" s="148"/>
    </row>
    <row r="205" spans="1:104" x14ac:dyDescent="0.35">
      <c r="A205" s="113"/>
      <c r="B205" s="105"/>
      <c r="C205" s="126"/>
      <c r="D205" s="536"/>
      <c r="E205" s="578"/>
      <c r="F205" s="401"/>
      <c r="G205" s="148"/>
      <c r="H205" s="206"/>
      <c r="I205" s="206"/>
      <c r="J205" s="206"/>
      <c r="K205" s="206"/>
      <c r="L205" s="206"/>
      <c r="M205" s="206"/>
      <c r="N205" s="206"/>
      <c r="O205" s="206"/>
      <c r="P205" s="206"/>
      <c r="Q205" s="206"/>
      <c r="R205" s="206"/>
      <c r="S205" s="206"/>
      <c r="T205" s="206"/>
      <c r="U205" s="206"/>
      <c r="V205" s="206"/>
      <c r="W205" s="206"/>
      <c r="X205" s="206"/>
      <c r="Y205" s="206"/>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c r="BI205" s="148"/>
      <c r="BJ205" s="148"/>
      <c r="BK205" s="148"/>
      <c r="BL205" s="148"/>
      <c r="BM205" s="148"/>
      <c r="BN205" s="148"/>
      <c r="BO205" s="148"/>
      <c r="BP205" s="148"/>
      <c r="BQ205" s="148"/>
      <c r="BR205" s="148"/>
      <c r="BS205" s="148"/>
      <c r="BT205" s="148"/>
      <c r="BU205" s="148"/>
      <c r="BV205" s="148"/>
      <c r="BW205" s="148"/>
      <c r="BX205" s="148"/>
      <c r="BY205" s="148"/>
      <c r="BZ205" s="148"/>
      <c r="CA205" s="148"/>
      <c r="CB205" s="148"/>
      <c r="CC205" s="148"/>
      <c r="CD205" s="148"/>
      <c r="CE205" s="148"/>
      <c r="CF205" s="148"/>
      <c r="CG205" s="148"/>
      <c r="CH205" s="148"/>
      <c r="CI205" s="148"/>
      <c r="CJ205" s="148"/>
      <c r="CK205" s="148"/>
      <c r="CL205" s="148"/>
      <c r="CM205" s="148"/>
      <c r="CN205" s="148"/>
      <c r="CO205" s="148"/>
      <c r="CP205" s="148"/>
      <c r="CQ205" s="148"/>
      <c r="CR205" s="148"/>
      <c r="CS205" s="148"/>
      <c r="CT205" s="148"/>
      <c r="CU205" s="148"/>
      <c r="CV205" s="148"/>
      <c r="CW205" s="148"/>
      <c r="CX205" s="148"/>
      <c r="CY205" s="148"/>
      <c r="CZ205" s="148"/>
    </row>
    <row r="206" spans="1:104" x14ac:dyDescent="0.35">
      <c r="A206" s="113"/>
      <c r="B206" s="105"/>
      <c r="C206" s="126"/>
      <c r="D206" s="535"/>
      <c r="E206" s="579"/>
      <c r="F206" s="127"/>
      <c r="G206" s="148"/>
      <c r="H206" s="206"/>
      <c r="I206" s="206"/>
      <c r="J206" s="206"/>
      <c r="K206" s="206"/>
      <c r="L206" s="206"/>
      <c r="M206" s="206"/>
      <c r="N206" s="206"/>
      <c r="O206" s="206"/>
      <c r="P206" s="206"/>
      <c r="Q206" s="206"/>
      <c r="R206" s="206"/>
      <c r="S206" s="206"/>
      <c r="T206" s="206"/>
      <c r="U206" s="206"/>
      <c r="V206" s="206"/>
      <c r="W206" s="206"/>
      <c r="X206" s="206"/>
      <c r="Y206" s="206"/>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c r="BI206" s="148"/>
      <c r="BJ206" s="148"/>
      <c r="BK206" s="148"/>
      <c r="BL206" s="148"/>
      <c r="BM206" s="148"/>
      <c r="BN206" s="148"/>
      <c r="BO206" s="148"/>
      <c r="BP206" s="148"/>
      <c r="BQ206" s="148"/>
      <c r="BR206" s="148"/>
      <c r="BS206" s="148"/>
      <c r="BT206" s="148"/>
      <c r="BU206" s="148"/>
      <c r="BV206" s="148"/>
      <c r="BW206" s="148"/>
      <c r="BX206" s="148"/>
      <c r="BY206" s="148"/>
      <c r="BZ206" s="148"/>
      <c r="CA206" s="148"/>
      <c r="CB206" s="148"/>
      <c r="CC206" s="148"/>
      <c r="CD206" s="148"/>
      <c r="CE206" s="148"/>
      <c r="CF206" s="148"/>
      <c r="CG206" s="148"/>
      <c r="CH206" s="148"/>
      <c r="CI206" s="148"/>
      <c r="CJ206" s="148"/>
      <c r="CK206" s="148"/>
      <c r="CL206" s="148"/>
      <c r="CM206" s="148"/>
      <c r="CN206" s="148"/>
      <c r="CO206" s="148"/>
      <c r="CP206" s="148"/>
      <c r="CQ206" s="148"/>
      <c r="CR206" s="148"/>
      <c r="CS206" s="148"/>
      <c r="CT206" s="148"/>
      <c r="CU206" s="148"/>
      <c r="CV206" s="148"/>
      <c r="CW206" s="148"/>
      <c r="CX206" s="148"/>
      <c r="CY206" s="148"/>
      <c r="CZ206" s="148"/>
    </row>
    <row r="207" spans="1:104" x14ac:dyDescent="0.35">
      <c r="A207" s="113"/>
      <c r="B207" s="105"/>
      <c r="C207" s="126"/>
      <c r="D207" s="105"/>
      <c r="E207" s="127"/>
      <c r="F207" s="127"/>
      <c r="G207" s="148"/>
      <c r="H207" s="206"/>
      <c r="I207" s="206"/>
      <c r="J207" s="206"/>
      <c r="K207" s="206"/>
      <c r="L207" s="206"/>
      <c r="M207" s="206"/>
      <c r="N207" s="206"/>
      <c r="O207" s="206"/>
      <c r="P207" s="206"/>
      <c r="Q207" s="206"/>
      <c r="R207" s="206"/>
      <c r="S207" s="206"/>
      <c r="T207" s="206"/>
      <c r="U207" s="206"/>
      <c r="V207" s="206"/>
      <c r="W207" s="206"/>
      <c r="X207" s="206"/>
      <c r="Y207" s="206"/>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c r="BI207" s="148"/>
      <c r="BJ207" s="148"/>
      <c r="BK207" s="148"/>
      <c r="BL207" s="148"/>
      <c r="BM207" s="148"/>
      <c r="BN207" s="148"/>
      <c r="BO207" s="148"/>
      <c r="BP207" s="148"/>
      <c r="BQ207" s="148"/>
      <c r="BR207" s="148"/>
      <c r="BS207" s="148"/>
      <c r="BT207" s="148"/>
      <c r="BU207" s="148"/>
      <c r="BV207" s="148"/>
      <c r="BW207" s="148"/>
      <c r="BX207" s="148"/>
      <c r="BY207" s="148"/>
      <c r="BZ207" s="148"/>
      <c r="CA207" s="148"/>
      <c r="CB207" s="148"/>
      <c r="CC207" s="148"/>
      <c r="CD207" s="148"/>
      <c r="CE207" s="148"/>
      <c r="CF207" s="148"/>
      <c r="CG207" s="148"/>
      <c r="CH207" s="148"/>
      <c r="CI207" s="148"/>
      <c r="CJ207" s="148"/>
      <c r="CK207" s="148"/>
      <c r="CL207" s="148"/>
      <c r="CM207" s="148"/>
      <c r="CN207" s="148"/>
      <c r="CO207" s="148"/>
      <c r="CP207" s="148"/>
      <c r="CQ207" s="148"/>
      <c r="CR207" s="148"/>
      <c r="CS207" s="148"/>
      <c r="CT207" s="148"/>
      <c r="CU207" s="148"/>
      <c r="CV207" s="148"/>
      <c r="CW207" s="148"/>
      <c r="CX207" s="148"/>
      <c r="CY207" s="148"/>
      <c r="CZ207" s="148"/>
    </row>
    <row r="208" spans="1:104" x14ac:dyDescent="0.35">
      <c r="A208" s="113"/>
      <c r="B208" s="105"/>
      <c r="C208" s="126"/>
      <c r="D208" s="535"/>
      <c r="E208" s="127"/>
      <c r="F208" s="127"/>
      <c r="G208" s="148"/>
      <c r="H208" s="206"/>
      <c r="I208" s="206"/>
      <c r="J208" s="206"/>
      <c r="K208" s="206"/>
      <c r="L208" s="206"/>
      <c r="M208" s="206"/>
      <c r="N208" s="206"/>
      <c r="O208" s="206"/>
      <c r="P208" s="206"/>
      <c r="Q208" s="206"/>
      <c r="R208" s="206"/>
      <c r="S208" s="206"/>
      <c r="T208" s="206"/>
      <c r="U208" s="206"/>
      <c r="V208" s="206"/>
      <c r="W208" s="206"/>
      <c r="X208" s="206"/>
      <c r="Y208" s="206"/>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c r="BI208" s="148"/>
      <c r="BJ208" s="148"/>
      <c r="BK208" s="148"/>
      <c r="BL208" s="148"/>
      <c r="BM208" s="148"/>
      <c r="BN208" s="148"/>
      <c r="BO208" s="148"/>
      <c r="BP208" s="148"/>
      <c r="BQ208" s="148"/>
      <c r="BR208" s="148"/>
      <c r="BS208" s="148"/>
      <c r="BT208" s="148"/>
      <c r="BU208" s="148"/>
      <c r="BV208" s="148"/>
      <c r="BW208" s="148"/>
      <c r="BX208" s="148"/>
      <c r="BY208" s="148"/>
      <c r="BZ208" s="148"/>
      <c r="CA208" s="148"/>
      <c r="CB208" s="148"/>
      <c r="CC208" s="148"/>
      <c r="CD208" s="148"/>
      <c r="CE208" s="148"/>
      <c r="CF208" s="148"/>
      <c r="CG208" s="148"/>
      <c r="CH208" s="148"/>
      <c r="CI208" s="148"/>
      <c r="CJ208" s="148"/>
      <c r="CK208" s="148"/>
      <c r="CL208" s="148"/>
      <c r="CM208" s="148"/>
      <c r="CN208" s="148"/>
      <c r="CO208" s="148"/>
      <c r="CP208" s="148"/>
      <c r="CQ208" s="148"/>
      <c r="CR208" s="148"/>
      <c r="CS208" s="148"/>
      <c r="CT208" s="148"/>
      <c r="CU208" s="148"/>
      <c r="CV208" s="148"/>
      <c r="CW208" s="148"/>
      <c r="CX208" s="148"/>
      <c r="CY208" s="148"/>
      <c r="CZ208" s="148"/>
    </row>
    <row r="221" spans="2:3" x14ac:dyDescent="0.35">
      <c r="B221" s="105"/>
      <c r="C221" s="98"/>
    </row>
    <row r="222" spans="2:3" x14ac:dyDescent="0.35">
      <c r="B222" s="105"/>
      <c r="C222" s="98"/>
    </row>
    <row r="223" spans="2:3" x14ac:dyDescent="0.35">
      <c r="B223" s="105"/>
      <c r="C223" s="98"/>
    </row>
    <row r="224" spans="2:3" x14ac:dyDescent="0.35">
      <c r="B224" s="105"/>
      <c r="C224" s="98"/>
    </row>
    <row r="225" spans="2:5" x14ac:dyDescent="0.35">
      <c r="B225" s="105"/>
      <c r="C225" s="98"/>
    </row>
    <row r="226" spans="2:5" x14ac:dyDescent="0.35">
      <c r="B226" s="105"/>
      <c r="C226" s="98"/>
    </row>
    <row r="227" spans="2:5" x14ac:dyDescent="0.35">
      <c r="B227" s="105"/>
      <c r="C227" s="98"/>
    </row>
    <row r="228" spans="2:5" x14ac:dyDescent="0.35">
      <c r="B228" s="105"/>
      <c r="C228" s="98"/>
      <c r="D228" s="98"/>
      <c r="E228" s="98"/>
    </row>
    <row r="229" spans="2:5" x14ac:dyDescent="0.35">
      <c r="B229" s="105"/>
      <c r="C229" s="98"/>
      <c r="D229" s="98"/>
      <c r="E229" s="98"/>
    </row>
    <row r="230" spans="2:5" x14ac:dyDescent="0.35">
      <c r="B230" s="105"/>
      <c r="C230" s="98"/>
      <c r="D230" s="98"/>
      <c r="E230" s="98"/>
    </row>
    <row r="231" spans="2:5" x14ac:dyDescent="0.35">
      <c r="B231" s="105"/>
      <c r="C231" s="98"/>
    </row>
    <row r="232" spans="2:5" x14ac:dyDescent="0.35">
      <c r="B232" s="105"/>
      <c r="C232" s="98"/>
    </row>
    <row r="233" spans="2:5" x14ac:dyDescent="0.35">
      <c r="B233" s="105"/>
      <c r="C233" s="98"/>
    </row>
    <row r="234" spans="2:5" x14ac:dyDescent="0.35">
      <c r="B234" s="105"/>
      <c r="C234" s="98"/>
    </row>
    <row r="235" spans="2:5" x14ac:dyDescent="0.35">
      <c r="B235" s="105"/>
      <c r="C235" s="98"/>
    </row>
    <row r="236" spans="2:5" x14ac:dyDescent="0.35">
      <c r="B236" s="105"/>
      <c r="C236" s="98"/>
    </row>
    <row r="237" spans="2:5" x14ac:dyDescent="0.35">
      <c r="B237" s="105"/>
      <c r="C237" s="98"/>
    </row>
    <row r="238" spans="2:5" x14ac:dyDescent="0.35">
      <c r="B238" s="105"/>
      <c r="C238" s="98"/>
    </row>
    <row r="239" spans="2:5" x14ac:dyDescent="0.35">
      <c r="B239" s="105"/>
      <c r="C239" s="98"/>
    </row>
    <row r="240" spans="2:5" x14ac:dyDescent="0.35">
      <c r="B240" s="105"/>
      <c r="C240" s="98"/>
    </row>
    <row r="241" spans="2:3" x14ac:dyDescent="0.35">
      <c r="B241" s="105"/>
      <c r="C241" s="98"/>
    </row>
    <row r="242" spans="2:3" x14ac:dyDescent="0.35">
      <c r="B242" s="105"/>
      <c r="C242" s="98"/>
    </row>
    <row r="243" spans="2:3" x14ac:dyDescent="0.35">
      <c r="B243" s="105"/>
      <c r="C243" s="98"/>
    </row>
    <row r="244" spans="2:3" x14ac:dyDescent="0.35">
      <c r="B244" s="105"/>
      <c r="C244" s="98"/>
    </row>
    <row r="245" spans="2:3" x14ac:dyDescent="0.35">
      <c r="B245" s="105"/>
      <c r="C245" s="98"/>
    </row>
    <row r="246" spans="2:3" x14ac:dyDescent="0.35">
      <c r="B246" s="105"/>
      <c r="C246" s="98"/>
    </row>
    <row r="247" spans="2:3" x14ac:dyDescent="0.35">
      <c r="B247" s="105"/>
      <c r="C247" s="98"/>
    </row>
    <row r="248" spans="2:3" x14ac:dyDescent="0.35">
      <c r="B248" s="105"/>
      <c r="C248" s="98"/>
    </row>
    <row r="249" spans="2:3" x14ac:dyDescent="0.35">
      <c r="B249" s="105"/>
      <c r="C249" s="98"/>
    </row>
    <row r="250" spans="2:3" x14ac:dyDescent="0.35">
      <c r="B250" s="105"/>
      <c r="C250" s="98"/>
    </row>
    <row r="251" spans="2:3" x14ac:dyDescent="0.35">
      <c r="B251" s="105"/>
      <c r="C251" s="98"/>
    </row>
    <row r="252" spans="2:3" x14ac:dyDescent="0.35">
      <c r="B252" s="105"/>
      <c r="C252" s="98"/>
    </row>
    <row r="253" spans="2:3" x14ac:dyDescent="0.35">
      <c r="B253" s="105"/>
      <c r="C253" s="98"/>
    </row>
    <row r="254" spans="2:3" x14ac:dyDescent="0.35">
      <c r="B254" s="105"/>
      <c r="C254" s="98"/>
    </row>
    <row r="255" spans="2:3" x14ac:dyDescent="0.35">
      <c r="B255" s="105"/>
      <c r="C255" s="98"/>
    </row>
    <row r="256" spans="2:3" x14ac:dyDescent="0.35">
      <c r="B256" s="105"/>
      <c r="C256" s="98"/>
    </row>
    <row r="257" spans="2:3" x14ac:dyDescent="0.35">
      <c r="B257" s="105"/>
      <c r="C257" s="98"/>
    </row>
    <row r="258" spans="2:3" x14ac:dyDescent="0.35">
      <c r="B258" s="105"/>
      <c r="C258" s="98"/>
    </row>
    <row r="259" spans="2:3" x14ac:dyDescent="0.35">
      <c r="B259" s="105"/>
      <c r="C259" s="98"/>
    </row>
    <row r="260" spans="2:3" x14ac:dyDescent="0.35">
      <c r="B260" s="105"/>
      <c r="C260" s="98"/>
    </row>
    <row r="261" spans="2:3" x14ac:dyDescent="0.35">
      <c r="B261" s="105"/>
      <c r="C261" s="98"/>
    </row>
    <row r="262" spans="2:3" x14ac:dyDescent="0.35">
      <c r="B262" s="105"/>
      <c r="C262" s="98"/>
    </row>
    <row r="263" spans="2:3" x14ac:dyDescent="0.35">
      <c r="B263" s="105"/>
      <c r="C263" s="98"/>
    </row>
    <row r="264" spans="2:3" x14ac:dyDescent="0.35">
      <c r="B264" s="105"/>
      <c r="C264" s="98"/>
    </row>
    <row r="265" spans="2:3" x14ac:dyDescent="0.35">
      <c r="B265" s="105"/>
      <c r="C265" s="98"/>
    </row>
    <row r="266" spans="2:3" x14ac:dyDescent="0.35">
      <c r="B266" s="105"/>
      <c r="C266" s="98"/>
    </row>
    <row r="267" spans="2:3" x14ac:dyDescent="0.35">
      <c r="B267" s="105"/>
      <c r="C267" s="98"/>
    </row>
    <row r="268" spans="2:3" x14ac:dyDescent="0.35">
      <c r="B268" s="105"/>
      <c r="C268" s="98"/>
    </row>
    <row r="269" spans="2:3" x14ac:dyDescent="0.35">
      <c r="B269" s="105"/>
      <c r="C269" s="98"/>
    </row>
    <row r="270" spans="2:3" x14ac:dyDescent="0.35">
      <c r="B270" s="105"/>
      <c r="C270" s="98"/>
    </row>
    <row r="271" spans="2:3" x14ac:dyDescent="0.35">
      <c r="B271" s="105"/>
      <c r="C271" s="98"/>
    </row>
    <row r="272" spans="2:3" x14ac:dyDescent="0.35">
      <c r="B272" s="105"/>
      <c r="C272" s="98"/>
    </row>
    <row r="273" spans="2:3" x14ac:dyDescent="0.35">
      <c r="B273" s="105"/>
      <c r="C273" s="98"/>
    </row>
    <row r="274" spans="2:3" x14ac:dyDescent="0.35">
      <c r="B274" s="105"/>
      <c r="C274" s="98"/>
    </row>
    <row r="275" spans="2:3" x14ac:dyDescent="0.35">
      <c r="B275" s="105"/>
      <c r="C275" s="98"/>
    </row>
    <row r="276" spans="2:3" x14ac:dyDescent="0.35">
      <c r="B276" s="105"/>
      <c r="C276" s="98"/>
    </row>
    <row r="277" spans="2:3" x14ac:dyDescent="0.35">
      <c r="B277" s="105"/>
      <c r="C277" s="98"/>
    </row>
    <row r="278" spans="2:3" x14ac:dyDescent="0.35">
      <c r="B278" s="105"/>
      <c r="C278" s="98"/>
    </row>
    <row r="279" spans="2:3" x14ac:dyDescent="0.35">
      <c r="B279" s="105"/>
      <c r="C279" s="98"/>
    </row>
    <row r="280" spans="2:3" x14ac:dyDescent="0.35">
      <c r="B280" s="105"/>
      <c r="C280" s="98"/>
    </row>
    <row r="281" spans="2:3" x14ac:dyDescent="0.35">
      <c r="B281" s="105"/>
      <c r="C281" s="98"/>
    </row>
    <row r="282" spans="2:3" x14ac:dyDescent="0.35">
      <c r="B282" s="105"/>
      <c r="C282" s="98"/>
    </row>
    <row r="283" spans="2:3" x14ac:dyDescent="0.35">
      <c r="B283" s="105"/>
      <c r="C283" s="98"/>
    </row>
    <row r="284" spans="2:3" x14ac:dyDescent="0.35">
      <c r="B284" s="105"/>
      <c r="C284" s="98"/>
    </row>
    <row r="285" spans="2:3" x14ac:dyDescent="0.35">
      <c r="B285" s="105"/>
      <c r="C285" s="98"/>
    </row>
    <row r="286" spans="2:3" x14ac:dyDescent="0.35">
      <c r="B286" s="105"/>
      <c r="C286" s="98"/>
    </row>
    <row r="287" spans="2:3" x14ac:dyDescent="0.35">
      <c r="B287" s="105"/>
      <c r="C287" s="98"/>
    </row>
    <row r="288" spans="2:3" x14ac:dyDescent="0.35">
      <c r="B288" s="105"/>
      <c r="C288" s="98"/>
    </row>
    <row r="289" spans="2:3" x14ac:dyDescent="0.35">
      <c r="B289" s="105"/>
      <c r="C289" s="98"/>
    </row>
    <row r="290" spans="2:3" x14ac:dyDescent="0.35">
      <c r="B290" s="105"/>
      <c r="C290" s="98"/>
    </row>
    <row r="291" spans="2:3" x14ac:dyDescent="0.35">
      <c r="B291" s="105"/>
      <c r="C291" s="98"/>
    </row>
    <row r="292" spans="2:3" x14ac:dyDescent="0.35">
      <c r="B292" s="105"/>
      <c r="C292" s="98"/>
    </row>
    <row r="293" spans="2:3" x14ac:dyDescent="0.35">
      <c r="B293" s="105"/>
      <c r="C293" s="98"/>
    </row>
    <row r="294" spans="2:3" x14ac:dyDescent="0.35">
      <c r="B294" s="105"/>
      <c r="C294" s="98"/>
    </row>
    <row r="295" spans="2:3" x14ac:dyDescent="0.35">
      <c r="B295" s="105"/>
      <c r="C295" s="98"/>
    </row>
    <row r="296" spans="2:3" x14ac:dyDescent="0.35">
      <c r="B296" s="105"/>
      <c r="C296" s="98"/>
    </row>
    <row r="297" spans="2:3" x14ac:dyDescent="0.35">
      <c r="B297" s="105"/>
      <c r="C297" s="98"/>
    </row>
    <row r="298" spans="2:3" x14ac:dyDescent="0.35">
      <c r="B298" s="105"/>
      <c r="C298" s="98"/>
    </row>
    <row r="299" spans="2:3" x14ac:dyDescent="0.35">
      <c r="B299" s="105"/>
      <c r="C299" s="98"/>
    </row>
    <row r="300" spans="2:3" x14ac:dyDescent="0.35">
      <c r="B300" s="105"/>
      <c r="C300" s="98"/>
    </row>
    <row r="301" spans="2:3" x14ac:dyDescent="0.35">
      <c r="B301" s="105"/>
      <c r="C301" s="98"/>
    </row>
    <row r="302" spans="2:3" x14ac:dyDescent="0.35">
      <c r="B302" s="105"/>
      <c r="C302" s="98"/>
    </row>
    <row r="303" spans="2:3" x14ac:dyDescent="0.35">
      <c r="B303" s="105"/>
      <c r="C303" s="98"/>
    </row>
    <row r="304" spans="2:3" x14ac:dyDescent="0.35">
      <c r="B304" s="105"/>
      <c r="C304" s="98"/>
    </row>
    <row r="305" spans="2:3" x14ac:dyDescent="0.35">
      <c r="B305" s="105"/>
      <c r="C305" s="98"/>
    </row>
    <row r="306" spans="2:3" x14ac:dyDescent="0.35">
      <c r="B306" s="105"/>
      <c r="C306" s="98"/>
    </row>
    <row r="307" spans="2:3" x14ac:dyDescent="0.35">
      <c r="B307" s="105"/>
      <c r="C307" s="98"/>
    </row>
    <row r="308" spans="2:3" x14ac:dyDescent="0.35">
      <c r="B308" s="105"/>
      <c r="C308" s="98"/>
    </row>
    <row r="309" spans="2:3" x14ac:dyDescent="0.35">
      <c r="B309" s="105"/>
      <c r="C309" s="98"/>
    </row>
    <row r="310" spans="2:3" x14ac:dyDescent="0.35">
      <c r="B310" s="105"/>
      <c r="C310" s="98"/>
    </row>
    <row r="311" spans="2:3" x14ac:dyDescent="0.35">
      <c r="B311" s="105"/>
      <c r="C311" s="98"/>
    </row>
    <row r="312" spans="2:3" x14ac:dyDescent="0.35">
      <c r="B312" s="105"/>
      <c r="C312" s="98"/>
    </row>
    <row r="313" spans="2:3" x14ac:dyDescent="0.35">
      <c r="B313" s="105"/>
      <c r="C313" s="98"/>
    </row>
    <row r="314" spans="2:3" x14ac:dyDescent="0.35">
      <c r="B314" s="105"/>
      <c r="C314" s="98"/>
    </row>
    <row r="315" spans="2:3" x14ac:dyDescent="0.35">
      <c r="B315" s="105"/>
      <c r="C315" s="98"/>
    </row>
    <row r="316" spans="2:3" x14ac:dyDescent="0.35">
      <c r="B316" s="105"/>
      <c r="C316" s="98"/>
    </row>
    <row r="317" spans="2:3" x14ac:dyDescent="0.35">
      <c r="B317" s="105"/>
      <c r="C317" s="98"/>
    </row>
    <row r="318" spans="2:3" x14ac:dyDescent="0.35">
      <c r="B318" s="105"/>
      <c r="C318" s="98"/>
    </row>
    <row r="319" spans="2:3" x14ac:dyDescent="0.35">
      <c r="B319" s="105"/>
      <c r="C319" s="98"/>
    </row>
    <row r="320" spans="2:3" x14ac:dyDescent="0.35">
      <c r="B320" s="105"/>
      <c r="C320" s="98"/>
    </row>
    <row r="321" spans="2:3" x14ac:dyDescent="0.35">
      <c r="B321" s="105"/>
      <c r="C321" s="98"/>
    </row>
    <row r="322" spans="2:3" x14ac:dyDescent="0.35">
      <c r="B322" s="105"/>
      <c r="C322" s="98"/>
    </row>
    <row r="323" spans="2:3" x14ac:dyDescent="0.35">
      <c r="B323" s="105"/>
      <c r="C323" s="98"/>
    </row>
    <row r="324" spans="2:3" x14ac:dyDescent="0.35">
      <c r="B324" s="105"/>
      <c r="C324" s="98"/>
    </row>
    <row r="325" spans="2:3" x14ac:dyDescent="0.35">
      <c r="B325" s="105"/>
      <c r="C325" s="98"/>
    </row>
    <row r="326" spans="2:3" x14ac:dyDescent="0.35">
      <c r="B326" s="105"/>
      <c r="C326" s="98"/>
    </row>
    <row r="327" spans="2:3" x14ac:dyDescent="0.35">
      <c r="B327" s="105"/>
      <c r="C327" s="98"/>
    </row>
    <row r="328" spans="2:3" x14ac:dyDescent="0.35">
      <c r="B328" s="105"/>
      <c r="C328" s="98"/>
    </row>
    <row r="329" spans="2:3" x14ac:dyDescent="0.35">
      <c r="B329" s="105"/>
      <c r="C329" s="98"/>
    </row>
    <row r="330" spans="2:3" x14ac:dyDescent="0.35">
      <c r="B330" s="105"/>
      <c r="C330" s="98"/>
    </row>
    <row r="331" spans="2:3" x14ac:dyDescent="0.35">
      <c r="B331" s="105"/>
      <c r="C331" s="98"/>
    </row>
    <row r="332" spans="2:3" x14ac:dyDescent="0.35">
      <c r="B332" s="105"/>
      <c r="C332" s="98"/>
    </row>
    <row r="333" spans="2:3" x14ac:dyDescent="0.35">
      <c r="B333" s="105"/>
      <c r="C333" s="98"/>
    </row>
    <row r="334" spans="2:3" x14ac:dyDescent="0.35">
      <c r="B334" s="105"/>
      <c r="C334" s="98"/>
    </row>
    <row r="335" spans="2:3" x14ac:dyDescent="0.35">
      <c r="B335" s="105"/>
      <c r="C335" s="98"/>
    </row>
    <row r="336" spans="2:3" x14ac:dyDescent="0.35">
      <c r="B336" s="105"/>
      <c r="C336" s="98"/>
    </row>
    <row r="337" spans="2:3" x14ac:dyDescent="0.35">
      <c r="B337" s="105"/>
      <c r="C337" s="98"/>
    </row>
    <row r="338" spans="2:3" x14ac:dyDescent="0.35">
      <c r="B338" s="105"/>
      <c r="C338" s="98"/>
    </row>
    <row r="339" spans="2:3" x14ac:dyDescent="0.35">
      <c r="B339" s="105"/>
      <c r="C339" s="98"/>
    </row>
    <row r="340" spans="2:3" x14ac:dyDescent="0.35">
      <c r="B340" s="105"/>
      <c r="C340" s="98"/>
    </row>
    <row r="341" spans="2:3" x14ac:dyDescent="0.35">
      <c r="B341" s="105"/>
      <c r="C341" s="98"/>
    </row>
    <row r="342" spans="2:3" x14ac:dyDescent="0.35">
      <c r="B342" s="105"/>
      <c r="C342" s="98"/>
    </row>
    <row r="343" spans="2:3" x14ac:dyDescent="0.35">
      <c r="B343" s="105"/>
      <c r="C343" s="98"/>
    </row>
    <row r="344" spans="2:3" x14ac:dyDescent="0.35">
      <c r="B344" s="105"/>
      <c r="C344" s="98"/>
    </row>
    <row r="345" spans="2:3" x14ac:dyDescent="0.35">
      <c r="B345" s="105"/>
      <c r="C345" s="98"/>
    </row>
    <row r="346" spans="2:3" x14ac:dyDescent="0.35">
      <c r="B346" s="105"/>
      <c r="C346" s="98"/>
    </row>
    <row r="347" spans="2:3" x14ac:dyDescent="0.35">
      <c r="B347" s="105"/>
      <c r="C347" s="98"/>
    </row>
    <row r="348" spans="2:3" x14ac:dyDescent="0.35">
      <c r="B348" s="105"/>
      <c r="C348" s="98"/>
    </row>
    <row r="349" spans="2:3" x14ac:dyDescent="0.35">
      <c r="B349" s="105"/>
      <c r="C349" s="98"/>
    </row>
    <row r="350" spans="2:3" x14ac:dyDescent="0.35">
      <c r="B350" s="105"/>
      <c r="C350" s="98"/>
    </row>
    <row r="351" spans="2:3" x14ac:dyDescent="0.35">
      <c r="B351" s="105"/>
      <c r="C351" s="98"/>
    </row>
    <row r="352" spans="2:3" x14ac:dyDescent="0.35">
      <c r="B352" s="105"/>
      <c r="C352" s="98"/>
    </row>
  </sheetData>
  <mergeCells count="4">
    <mergeCell ref="C113:C115"/>
    <mergeCell ref="C105:C107"/>
    <mergeCell ref="C153:C155"/>
    <mergeCell ref="C178:C180"/>
  </mergeCells>
  <dataValidations count="4">
    <dataValidation type="list" allowBlank="1" showInputMessage="1" showErrorMessage="1" sqref="F80">
      <formula1>$X$10:$X$13</formula1>
    </dataValidation>
    <dataValidation type="list" allowBlank="1" showInputMessage="1" showErrorMessage="1" sqref="F76 F78">
      <formula1>$Y$10:$Y$13</formula1>
    </dataValidation>
    <dataValidation type="list" allowBlank="1" showInputMessage="1" showErrorMessage="1" sqref="E83">
      <formula1>$AB$9:$AB$15</formula1>
    </dataValidation>
    <dataValidation type="list" allowBlank="1" showInputMessage="1" showErrorMessage="1" sqref="E82">
      <formula1>$AD$9:$AD$11</formula1>
    </dataValidation>
  </dataValidations>
  <pageMargins left="0.7" right="0.7" top="0.75" bottom="0.75" header="0.3" footer="0.3"/>
  <pageSetup scale="65" pageOrder="overThenDown" orientation="landscape" r:id="rId1"/>
  <rowBreaks count="3" manualBreakCount="3">
    <brk id="44" min="1" max="22" man="1"/>
    <brk id="102" min="1" max="22" man="1"/>
    <brk id="150" min="1" max="22" man="1"/>
  </rowBreaks>
  <colBreaks count="2" manualBreakCount="2">
    <brk id="7" min="1" max="192" man="1"/>
    <brk id="15" min="1" max="192"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U159"/>
  <sheetViews>
    <sheetView view="pageBreakPreview" zoomScale="80" zoomScaleNormal="100" zoomScaleSheetLayoutView="80" workbookViewId="0">
      <selection activeCell="B1" sqref="B1"/>
    </sheetView>
  </sheetViews>
  <sheetFormatPr defaultColWidth="9.15234375" defaultRowHeight="12.9" x14ac:dyDescent="0.35"/>
  <cols>
    <col min="1" max="1" width="1.4609375" style="4" customWidth="1"/>
    <col min="2" max="2" width="34.4609375" style="4" customWidth="1"/>
    <col min="3" max="3" width="11" style="4" customWidth="1"/>
    <col min="4" max="4" width="15.3046875" style="4" customWidth="1"/>
    <col min="5" max="5" width="12" style="4" customWidth="1"/>
    <col min="6" max="6" width="10.69140625" style="4" customWidth="1"/>
    <col min="7" max="7" width="15.84375" style="4" customWidth="1"/>
    <col min="8" max="8" width="11.4609375" style="4" customWidth="1"/>
    <col min="9" max="11" width="7.4609375" style="4" customWidth="1"/>
    <col min="12" max="12" width="3.69140625" style="4" customWidth="1"/>
    <col min="13" max="13" width="41.4609375" style="4" customWidth="1"/>
    <col min="14" max="14" width="57.84375" style="4" customWidth="1"/>
    <col min="15" max="15" width="2.4609375" style="4" customWidth="1"/>
    <col min="16" max="19" width="11.3046875" style="4" customWidth="1"/>
    <col min="20" max="20" width="3.3046875" style="4" customWidth="1"/>
    <col min="21" max="21" width="12.69140625" style="4" customWidth="1"/>
    <col min="22" max="16384" width="9.15234375" style="4"/>
  </cols>
  <sheetData>
    <row r="2" spans="2:21" x14ac:dyDescent="0.35">
      <c r="B2" s="52" t="s">
        <v>583</v>
      </c>
    </row>
    <row r="3" spans="2:21" x14ac:dyDescent="0.35">
      <c r="B3" s="52"/>
      <c r="P3" s="52" t="s">
        <v>253</v>
      </c>
      <c r="U3" s="52" t="s">
        <v>300</v>
      </c>
    </row>
    <row r="4" spans="2:21" x14ac:dyDescent="0.35">
      <c r="B4" s="124" t="s">
        <v>203</v>
      </c>
      <c r="C4" s="98"/>
      <c r="P4" s="52" t="s">
        <v>58</v>
      </c>
      <c r="U4" s="52" t="s">
        <v>69</v>
      </c>
    </row>
    <row r="5" spans="2:21" x14ac:dyDescent="0.35">
      <c r="B5" s="107" t="s">
        <v>184</v>
      </c>
      <c r="C5" s="98"/>
      <c r="P5" s="10" t="s">
        <v>4</v>
      </c>
      <c r="Q5" s="10" t="s">
        <v>8</v>
      </c>
      <c r="R5" s="10" t="s">
        <v>9</v>
      </c>
      <c r="S5" s="10" t="s">
        <v>25</v>
      </c>
      <c r="U5" s="58" t="s">
        <v>19</v>
      </c>
    </row>
    <row r="6" spans="2:21" x14ac:dyDescent="0.35">
      <c r="B6" s="102" t="s">
        <v>149</v>
      </c>
      <c r="C6" s="98" t="s">
        <v>204</v>
      </c>
      <c r="P6" s="31" t="s">
        <v>5</v>
      </c>
      <c r="Q6" s="31" t="s">
        <v>3</v>
      </c>
      <c r="R6" s="31" t="s">
        <v>10</v>
      </c>
      <c r="S6" s="31" t="s">
        <v>26</v>
      </c>
      <c r="U6" s="31" t="s">
        <v>20</v>
      </c>
    </row>
    <row r="7" spans="2:21" x14ac:dyDescent="0.35">
      <c r="B7" s="103"/>
      <c r="C7" s="98" t="s">
        <v>428</v>
      </c>
      <c r="P7" s="31" t="s">
        <v>6</v>
      </c>
      <c r="Q7" s="31" t="s">
        <v>2</v>
      </c>
      <c r="R7" s="31" t="s">
        <v>7</v>
      </c>
      <c r="S7" s="31" t="s">
        <v>27</v>
      </c>
      <c r="U7" s="31" t="s">
        <v>21</v>
      </c>
    </row>
    <row r="8" spans="2:21" x14ac:dyDescent="0.35">
      <c r="B8" s="52"/>
      <c r="P8" s="31" t="s">
        <v>7</v>
      </c>
      <c r="Q8" s="31" t="s">
        <v>91</v>
      </c>
      <c r="R8" s="31"/>
      <c r="S8" s="31"/>
      <c r="U8" s="31" t="s">
        <v>22</v>
      </c>
    </row>
    <row r="9" spans="2:21" x14ac:dyDescent="0.35">
      <c r="B9" s="77"/>
      <c r="C9" s="77"/>
      <c r="D9" s="727" t="s">
        <v>78</v>
      </c>
      <c r="E9" s="727"/>
      <c r="F9" s="78" t="s">
        <v>80</v>
      </c>
      <c r="G9" s="727" t="s">
        <v>79</v>
      </c>
      <c r="H9" s="727"/>
      <c r="I9" s="728" t="s">
        <v>52</v>
      </c>
      <c r="J9" s="729"/>
      <c r="K9" s="730"/>
      <c r="L9" s="46"/>
      <c r="M9" s="46"/>
      <c r="N9" s="46"/>
      <c r="O9" s="27"/>
      <c r="P9" s="44" t="s">
        <v>14</v>
      </c>
      <c r="Q9" s="44" t="s">
        <v>11</v>
      </c>
      <c r="R9" s="44"/>
      <c r="S9" s="44"/>
      <c r="U9" s="44" t="s">
        <v>23</v>
      </c>
    </row>
    <row r="10" spans="2:21" ht="26.15" thickBot="1" x14ac:dyDescent="0.4">
      <c r="B10" s="79" t="s">
        <v>76</v>
      </c>
      <c r="C10" s="80" t="s">
        <v>77</v>
      </c>
      <c r="D10" s="81" t="s">
        <v>36</v>
      </c>
      <c r="E10" s="79" t="s">
        <v>1</v>
      </c>
      <c r="F10" s="79"/>
      <c r="G10" s="81" t="s">
        <v>36</v>
      </c>
      <c r="H10" s="82" t="s">
        <v>1</v>
      </c>
      <c r="I10" s="83" t="s">
        <v>34</v>
      </c>
      <c r="J10" s="84" t="s">
        <v>35</v>
      </c>
      <c r="K10" s="85" t="s">
        <v>1</v>
      </c>
      <c r="L10" s="42"/>
      <c r="M10" s="79" t="s">
        <v>120</v>
      </c>
      <c r="N10" s="79" t="s">
        <v>121</v>
      </c>
      <c r="O10" s="27"/>
    </row>
    <row r="11" spans="2:21" x14ac:dyDescent="0.35">
      <c r="B11" s="77" t="s">
        <v>522</v>
      </c>
      <c r="C11" s="405"/>
      <c r="D11" s="406"/>
      <c r="E11" s="77"/>
      <c r="F11" s="77"/>
      <c r="G11" s="406"/>
      <c r="H11" s="407"/>
      <c r="I11" s="406"/>
      <c r="J11" s="406"/>
      <c r="K11" s="77"/>
      <c r="L11" s="46"/>
      <c r="M11" s="77"/>
      <c r="N11" s="77"/>
      <c r="O11" s="27"/>
    </row>
    <row r="12" spans="2:21" x14ac:dyDescent="0.35">
      <c r="B12" s="408" t="s">
        <v>523</v>
      </c>
      <c r="C12" s="61"/>
      <c r="D12" s="28"/>
      <c r="G12" s="28"/>
      <c r="H12" s="63"/>
      <c r="I12" s="48"/>
      <c r="J12" s="48"/>
      <c r="K12" s="46"/>
      <c r="O12" s="27"/>
    </row>
    <row r="13" spans="2:21" ht="14.6" x14ac:dyDescent="0.45">
      <c r="B13" s="40" t="s">
        <v>553</v>
      </c>
      <c r="C13" s="4" t="s">
        <v>59</v>
      </c>
      <c r="D13" s="177">
        <v>53</v>
      </c>
      <c r="E13" s="177" t="s">
        <v>26</v>
      </c>
      <c r="G13" s="39">
        <f>T_Conv(D13,E13,"K")</f>
        <v>273.14999999999998</v>
      </c>
      <c r="H13" s="4" t="s">
        <v>93</v>
      </c>
      <c r="I13" s="30">
        <f>T_Conv(40,"°F",K13)</f>
        <v>0</v>
      </c>
      <c r="J13" s="31">
        <f>T_Conv(60,"°F",K13)</f>
        <v>0</v>
      </c>
      <c r="K13" s="29" t="s">
        <v>26</v>
      </c>
      <c r="M13" s="39">
        <f>G13-273</f>
        <v>0.14999999999997726</v>
      </c>
      <c r="N13" s="4" t="s">
        <v>199</v>
      </c>
    </row>
    <row r="14" spans="2:21" x14ac:dyDescent="0.35">
      <c r="B14" s="66"/>
      <c r="C14" s="61"/>
      <c r="D14" s="28"/>
      <c r="G14" s="28"/>
      <c r="H14" s="63"/>
      <c r="I14" s="48"/>
      <c r="J14" s="48"/>
      <c r="K14" s="46"/>
      <c r="O14" s="27"/>
    </row>
    <row r="15" spans="2:21" x14ac:dyDescent="0.35">
      <c r="B15" s="408" t="s">
        <v>524</v>
      </c>
      <c r="I15" s="46"/>
      <c r="J15" s="46"/>
      <c r="K15" s="67"/>
    </row>
    <row r="16" spans="2:21" ht="14.6" x14ac:dyDescent="0.45">
      <c r="B16" s="40" t="s">
        <v>4</v>
      </c>
      <c r="C16" s="4" t="s">
        <v>62</v>
      </c>
      <c r="D16" s="183">
        <f>Main!E74</f>
        <v>79.41</v>
      </c>
      <c r="E16" s="183" t="str">
        <f>Main!F74</f>
        <v>mi</v>
      </c>
      <c r="G16" s="55">
        <f>l_conv(D16,E16,H16)</f>
        <v>127798.00704</v>
      </c>
      <c r="H16" s="4" t="s">
        <v>7</v>
      </c>
      <c r="I16" s="30"/>
      <c r="J16" s="31"/>
      <c r="K16" s="29"/>
      <c r="N16" s="4" t="s">
        <v>221</v>
      </c>
    </row>
    <row r="17" spans="2:20" ht="14.6" x14ac:dyDescent="0.45">
      <c r="B17" s="40" t="s">
        <v>12</v>
      </c>
      <c r="C17" s="4" t="s">
        <v>60</v>
      </c>
      <c r="D17" s="183">
        <f>Main!E76</f>
        <v>2100</v>
      </c>
      <c r="E17" s="188" t="str">
        <f>Main!F76</f>
        <v>psig</v>
      </c>
      <c r="G17" s="39">
        <f>P_Conv(D17,E17,"MPa")</f>
        <v>14.580342627899999</v>
      </c>
      <c r="H17" s="4" t="s">
        <v>11</v>
      </c>
      <c r="I17" s="33">
        <f>P_Conv(2000,"psia",Pr_units)</f>
        <v>1985.2999999999997</v>
      </c>
      <c r="J17" s="34">
        <f>P_Conv(2200,"psig",Pr_units)</f>
        <v>2200</v>
      </c>
      <c r="K17" s="29" t="str">
        <f>Pr_units</f>
        <v>psig</v>
      </c>
      <c r="N17" s="4" t="s">
        <v>221</v>
      </c>
    </row>
    <row r="18" spans="2:20" ht="14.6" x14ac:dyDescent="0.45">
      <c r="B18" s="40" t="s">
        <v>0</v>
      </c>
      <c r="C18" s="4" t="s">
        <v>61</v>
      </c>
      <c r="D18" s="183">
        <f>Main!E78</f>
        <v>1900</v>
      </c>
      <c r="E18" s="188" t="str">
        <f>Main!F78</f>
        <v>psig</v>
      </c>
      <c r="G18" s="39">
        <f>P_Conv(D18,E18,"MPa")</f>
        <v>13.2013912279</v>
      </c>
      <c r="H18" s="4" t="s">
        <v>11</v>
      </c>
      <c r="I18" s="33">
        <f>P_Conv(1179.0118,"psia",E18)</f>
        <v>1164.3118000000002</v>
      </c>
      <c r="J18" s="34">
        <f>P_Conv(1800,"psia",E18)</f>
        <v>1785.2999999999997</v>
      </c>
      <c r="K18" s="29" t="str">
        <f>Pr_units</f>
        <v>psig</v>
      </c>
      <c r="N18" s="4" t="s">
        <v>221</v>
      </c>
    </row>
    <row r="19" spans="2:20" x14ac:dyDescent="0.35">
      <c r="B19" s="40" t="s">
        <v>28</v>
      </c>
      <c r="C19" s="4" t="s">
        <v>54</v>
      </c>
      <c r="D19" s="188">
        <f>Main!E81</f>
        <v>0</v>
      </c>
      <c r="E19" s="188" t="str">
        <f>Main!F80</f>
        <v>ft</v>
      </c>
      <c r="G19" s="4">
        <f>l_conv(D19,E19,"m")</f>
        <v>0</v>
      </c>
      <c r="H19" s="4" t="s">
        <v>7</v>
      </c>
      <c r="I19" s="30"/>
      <c r="J19" s="31"/>
      <c r="K19" s="29"/>
      <c r="N19" s="4" t="s">
        <v>221</v>
      </c>
      <c r="O19" s="27"/>
    </row>
    <row r="20" spans="2:20" x14ac:dyDescent="0.35">
      <c r="B20" s="66"/>
      <c r="I20" s="46"/>
      <c r="J20" s="46"/>
      <c r="K20" s="46"/>
    </row>
    <row r="21" spans="2:20" x14ac:dyDescent="0.35">
      <c r="B21" s="408" t="s">
        <v>525</v>
      </c>
      <c r="D21" s="35"/>
      <c r="I21" s="46"/>
      <c r="J21" s="46"/>
      <c r="K21" s="46"/>
      <c r="N21" s="1"/>
      <c r="O21" s="1"/>
      <c r="P21" s="1"/>
      <c r="Q21" s="1"/>
      <c r="R21" s="1"/>
      <c r="S21" s="1"/>
    </row>
    <row r="22" spans="2:20" ht="18" customHeight="1" x14ac:dyDescent="0.45">
      <c r="B22" s="40" t="s">
        <v>30</v>
      </c>
      <c r="C22" s="4" t="s">
        <v>64</v>
      </c>
      <c r="D22" s="183">
        <f>Main!E73</f>
        <v>5</v>
      </c>
      <c r="I22" s="30"/>
      <c r="J22" s="31"/>
      <c r="K22" s="29"/>
      <c r="N22" s="4" t="s">
        <v>221</v>
      </c>
      <c r="O22" s="1"/>
      <c r="P22" s="1"/>
      <c r="Q22" s="1"/>
      <c r="R22" s="1"/>
      <c r="S22" s="1"/>
      <c r="T22" s="1"/>
    </row>
    <row r="23" spans="2:20" ht="14.6" x14ac:dyDescent="0.45">
      <c r="B23" s="40" t="s">
        <v>29</v>
      </c>
      <c r="C23" s="4" t="s">
        <v>65</v>
      </c>
      <c r="D23" s="179">
        <v>0.75</v>
      </c>
      <c r="I23" s="36">
        <v>0.7</v>
      </c>
      <c r="J23" s="37">
        <v>0.9</v>
      </c>
      <c r="K23" s="29"/>
      <c r="N23" s="1" t="s">
        <v>201</v>
      </c>
      <c r="O23" s="1"/>
      <c r="P23" s="1"/>
      <c r="Q23" s="1"/>
      <c r="R23" s="1"/>
      <c r="S23" s="1"/>
      <c r="T23" s="1"/>
    </row>
    <row r="24" spans="2:20" x14ac:dyDescent="0.35">
      <c r="B24" s="66"/>
    </row>
    <row r="25" spans="2:20" x14ac:dyDescent="0.35">
      <c r="B25" s="408" t="s">
        <v>526</v>
      </c>
    </row>
    <row r="26" spans="2:20" ht="14.6" x14ac:dyDescent="0.45">
      <c r="B26" s="40" t="s">
        <v>99</v>
      </c>
      <c r="C26" s="4" t="s">
        <v>101</v>
      </c>
      <c r="D26" s="39">
        <f>D28/D27</f>
        <v>3.83</v>
      </c>
      <c r="E26" s="4" t="s">
        <v>103</v>
      </c>
      <c r="G26" s="75">
        <f>D26*1000000/(365*24)</f>
        <v>437.21461187214612</v>
      </c>
      <c r="H26" s="35" t="s">
        <v>13</v>
      </c>
      <c r="I26" s="30"/>
      <c r="J26" s="31"/>
      <c r="K26" s="29"/>
      <c r="M26" s="4" t="s">
        <v>218</v>
      </c>
      <c r="N26" s="4" t="s">
        <v>147</v>
      </c>
    </row>
    <row r="27" spans="2:20" x14ac:dyDescent="0.35">
      <c r="B27" s="40" t="s">
        <v>32</v>
      </c>
      <c r="C27" s="4" t="s">
        <v>33</v>
      </c>
      <c r="D27" s="420">
        <f>Main!E71</f>
        <v>1</v>
      </c>
      <c r="G27" s="39"/>
      <c r="I27" s="30"/>
      <c r="J27" s="31"/>
      <c r="K27" s="29"/>
      <c r="N27" s="4" t="s">
        <v>221</v>
      </c>
    </row>
    <row r="28" spans="2:20" ht="14.6" x14ac:dyDescent="0.45">
      <c r="B28" s="40" t="s">
        <v>100</v>
      </c>
      <c r="C28" s="4" t="s">
        <v>102</v>
      </c>
      <c r="D28" s="182">
        <f>Main!E68</f>
        <v>3.83</v>
      </c>
      <c r="E28" s="4" t="s">
        <v>103</v>
      </c>
      <c r="F28" s="35"/>
      <c r="G28" s="55">
        <f>D28*1000000/(365*24)</f>
        <v>437.21461187214612</v>
      </c>
      <c r="H28" s="35" t="s">
        <v>13</v>
      </c>
      <c r="I28" s="30"/>
      <c r="J28" s="31"/>
      <c r="K28" s="29"/>
      <c r="N28" s="4" t="s">
        <v>221</v>
      </c>
    </row>
    <row r="29" spans="2:20" x14ac:dyDescent="0.35">
      <c r="B29" s="66"/>
      <c r="G29" s="75"/>
    </row>
    <row r="30" spans="2:20" x14ac:dyDescent="0.35">
      <c r="B30" s="408" t="s">
        <v>527</v>
      </c>
      <c r="D30" s="35"/>
      <c r="I30" s="46"/>
      <c r="J30" s="46"/>
      <c r="K30" s="46"/>
    </row>
    <row r="31" spans="2:20" ht="14.6" x14ac:dyDescent="0.45">
      <c r="B31" s="40" t="s">
        <v>97</v>
      </c>
      <c r="C31" s="4" t="s">
        <v>116</v>
      </c>
      <c r="D31" s="73">
        <f>AVERAGE(G17:G18)</f>
        <v>13.890866927899999</v>
      </c>
      <c r="E31" s="4" t="s">
        <v>11</v>
      </c>
      <c r="G31" s="39">
        <f>P_Conv(D31,E31,"MPa")</f>
        <v>13.890866927899999</v>
      </c>
      <c r="H31" s="4" t="s">
        <v>11</v>
      </c>
      <c r="I31" s="30"/>
      <c r="J31" s="31"/>
      <c r="K31" s="29"/>
      <c r="M31" s="4" t="s">
        <v>117</v>
      </c>
    </row>
    <row r="32" spans="2:20" ht="14.6" x14ac:dyDescent="0.45">
      <c r="B32" s="40" t="s">
        <v>92</v>
      </c>
      <c r="C32" s="71" t="s">
        <v>105</v>
      </c>
      <c r="D32" s="53">
        <f>denPRCO2(0.00005,D31,G13)</f>
        <v>1016.7536155019872</v>
      </c>
      <c r="E32" s="4" t="s">
        <v>202</v>
      </c>
      <c r="I32" s="30"/>
      <c r="J32" s="31"/>
      <c r="K32" s="29"/>
      <c r="M32" s="221" t="s">
        <v>254</v>
      </c>
      <c r="N32" s="4" t="s">
        <v>255</v>
      </c>
    </row>
    <row r="33" spans="2:21" x14ac:dyDescent="0.35">
      <c r="B33" s="40" t="s">
        <v>94</v>
      </c>
      <c r="C33" s="71" t="s">
        <v>95</v>
      </c>
      <c r="D33" s="177">
        <v>9.81</v>
      </c>
      <c r="E33" s="4" t="s">
        <v>96</v>
      </c>
      <c r="I33" s="30"/>
      <c r="J33" s="31"/>
      <c r="K33" s="29"/>
    </row>
    <row r="34" spans="2:21" ht="14.6" x14ac:dyDescent="0.45">
      <c r="B34" s="40" t="s">
        <v>37</v>
      </c>
      <c r="C34" s="4" t="s">
        <v>63</v>
      </c>
      <c r="D34" s="76">
        <f>P_Conv(D32*D33*G19,"Pa",E34)</f>
        <v>0</v>
      </c>
      <c r="E34" s="178" t="s">
        <v>91</v>
      </c>
      <c r="G34" s="39">
        <f>P_Conv(D34,E34,H34)</f>
        <v>0</v>
      </c>
      <c r="H34" s="4" t="s">
        <v>11</v>
      </c>
      <c r="I34" s="30"/>
      <c r="J34" s="31"/>
      <c r="K34" s="29"/>
      <c r="M34" s="4" t="s">
        <v>75</v>
      </c>
    </row>
    <row r="35" spans="2:21" ht="14.6" x14ac:dyDescent="0.45">
      <c r="B35" s="40" t="s">
        <v>106</v>
      </c>
      <c r="C35" s="4" t="s">
        <v>88</v>
      </c>
      <c r="D35" s="76">
        <f>P_Conv(G17-G18,H18,E35)</f>
        <v>1378951.3999999983</v>
      </c>
      <c r="E35" s="178" t="s">
        <v>91</v>
      </c>
      <c r="G35" s="74">
        <f>P_Conv(D35,E35,H35)</f>
        <v>1.3789513999999983</v>
      </c>
      <c r="H35" s="4" t="s">
        <v>11</v>
      </c>
      <c r="I35" s="30"/>
      <c r="J35" s="31"/>
      <c r="K35" s="29"/>
      <c r="M35" s="4" t="s">
        <v>111</v>
      </c>
    </row>
    <row r="36" spans="2:21" ht="14.6" x14ac:dyDescent="0.45">
      <c r="B36" s="40" t="s">
        <v>108</v>
      </c>
      <c r="C36" s="4" t="s">
        <v>107</v>
      </c>
      <c r="D36" s="76">
        <f>P_Conv(G17-G18-G34,H17,E36)</f>
        <v>1378951.3999999983</v>
      </c>
      <c r="E36" s="178" t="s">
        <v>91</v>
      </c>
      <c r="G36" s="74">
        <f>P_Conv(D36,E36,H36)</f>
        <v>1.3789513999999983</v>
      </c>
      <c r="H36" s="4" t="s">
        <v>11</v>
      </c>
      <c r="I36" s="30"/>
      <c r="J36" s="31"/>
      <c r="K36" s="29"/>
      <c r="M36" s="4" t="s">
        <v>112</v>
      </c>
    </row>
    <row r="37" spans="2:21" ht="14.6" x14ac:dyDescent="0.45">
      <c r="B37" s="40" t="s">
        <v>89</v>
      </c>
      <c r="C37" s="4" t="s">
        <v>90</v>
      </c>
      <c r="D37" s="53">
        <f>l_conv(L_PL/(n_pumps+1),Len_PL_U,E37)</f>
        <v>13.235000000000003</v>
      </c>
      <c r="E37" s="178" t="str">
        <f>Len_PL_U</f>
        <v>mi</v>
      </c>
      <c r="G37" s="55">
        <f>l_conv(D37,E37,H37)</f>
        <v>21299.667840000006</v>
      </c>
      <c r="H37" s="4" t="s">
        <v>7</v>
      </c>
      <c r="I37" s="30"/>
      <c r="J37" s="31"/>
      <c r="K37" s="29"/>
      <c r="M37" s="4" t="s">
        <v>98</v>
      </c>
    </row>
    <row r="38" spans="2:21" ht="14.6" x14ac:dyDescent="0.45">
      <c r="B38" s="40" t="s">
        <v>109</v>
      </c>
      <c r="C38" s="4" t="s">
        <v>110</v>
      </c>
      <c r="D38" s="75">
        <f>D35</f>
        <v>1378951.3999999983</v>
      </c>
      <c r="E38" s="178" t="s">
        <v>91</v>
      </c>
      <c r="G38" s="74">
        <f>P_Conv(D38,E38,H38)</f>
        <v>1.3789513999999983</v>
      </c>
      <c r="H38" s="4" t="s">
        <v>11</v>
      </c>
      <c r="I38" s="30"/>
      <c r="J38" s="31"/>
      <c r="K38" s="29"/>
      <c r="M38" s="4" t="s">
        <v>113</v>
      </c>
      <c r="N38" s="4" t="s">
        <v>191</v>
      </c>
    </row>
    <row r="40" spans="2:21" x14ac:dyDescent="0.35">
      <c r="B40" s="77"/>
      <c r="C40" s="77"/>
      <c r="D40" s="727" t="s">
        <v>78</v>
      </c>
      <c r="E40" s="727"/>
      <c r="F40" s="222" t="s">
        <v>80</v>
      </c>
      <c r="G40" s="727" t="s">
        <v>79</v>
      </c>
      <c r="H40" s="727"/>
      <c r="I40" s="728" t="s">
        <v>52</v>
      </c>
      <c r="J40" s="729"/>
      <c r="K40" s="730"/>
      <c r="L40" s="46"/>
      <c r="M40" s="46"/>
      <c r="N40" s="46"/>
      <c r="O40" s="27"/>
      <c r="P40" s="46"/>
      <c r="Q40" s="46"/>
      <c r="R40" s="46"/>
      <c r="S40" s="46"/>
      <c r="T40" s="46"/>
      <c r="U40" s="46"/>
    </row>
    <row r="41" spans="2:21" ht="26.15" thickBot="1" x14ac:dyDescent="0.4">
      <c r="B41" s="79" t="s">
        <v>76</v>
      </c>
      <c r="C41" s="80" t="s">
        <v>77</v>
      </c>
      <c r="D41" s="81" t="s">
        <v>36</v>
      </c>
      <c r="E41" s="79" t="s">
        <v>1</v>
      </c>
      <c r="F41" s="79"/>
      <c r="G41" s="81" t="s">
        <v>36</v>
      </c>
      <c r="H41" s="82" t="s">
        <v>1</v>
      </c>
      <c r="I41" s="83" t="s">
        <v>34</v>
      </c>
      <c r="J41" s="84" t="s">
        <v>35</v>
      </c>
      <c r="K41" s="85" t="s">
        <v>1</v>
      </c>
      <c r="L41" s="42"/>
      <c r="M41" s="79" t="s">
        <v>120</v>
      </c>
      <c r="N41" s="79" t="s">
        <v>121</v>
      </c>
      <c r="O41" s="27"/>
    </row>
    <row r="42" spans="2:21" x14ac:dyDescent="0.35">
      <c r="B42" s="408" t="s">
        <v>555</v>
      </c>
      <c r="D42" s="35"/>
      <c r="I42" s="46"/>
      <c r="J42" s="46"/>
      <c r="K42" s="46"/>
    </row>
    <row r="43" spans="2:21" ht="45.75" customHeight="1" x14ac:dyDescent="0.45">
      <c r="B43" s="40" t="s">
        <v>234</v>
      </c>
      <c r="C43" s="4" t="s">
        <v>268</v>
      </c>
      <c r="D43" s="177">
        <v>2</v>
      </c>
      <c r="M43" s="1" t="s">
        <v>556</v>
      </c>
    </row>
    <row r="44" spans="2:21" ht="15" customHeight="1" x14ac:dyDescent="0.45">
      <c r="B44" s="40" t="s">
        <v>256</v>
      </c>
      <c r="C44" s="4" t="s">
        <v>265</v>
      </c>
      <c r="D44" s="72">
        <f>Pipe_Dia(L_PL, Len_PL_U,
        P_in, P_out, Pr_units,
        D19, E19,
        1, "m",
        G26, H26,
         T_Pipeline,T_Pipeline_U,
         n_pumps,0)</f>
        <v>0.29569807288265737</v>
      </c>
      <c r="E44" s="35" t="s">
        <v>7</v>
      </c>
      <c r="G44" s="39">
        <f t="shared" ref="G44:G45" si="0">l_conv(D44,E44,"in")</f>
        <v>11.641656412703046</v>
      </c>
      <c r="H44" s="4" t="s">
        <v>10</v>
      </c>
      <c r="I44" s="30"/>
      <c r="J44" s="31"/>
      <c r="K44" s="29"/>
      <c r="M44" s="4" t="s">
        <v>269</v>
      </c>
      <c r="N44" s="65" t="s">
        <v>259</v>
      </c>
      <c r="O44" s="64"/>
      <c r="P44" s="64"/>
      <c r="Q44" s="64"/>
      <c r="R44" s="64"/>
      <c r="S44" s="64"/>
    </row>
    <row r="45" spans="2:21" ht="15" customHeight="1" x14ac:dyDescent="0.45">
      <c r="B45" s="40" t="s">
        <v>257</v>
      </c>
      <c r="C45" s="4" t="s">
        <v>266</v>
      </c>
      <c r="D45" s="72">
        <f>Pipe_Dia(L_PL, Len_PL_U,
        P_in, P_out, Pr_units,
        D19, E19,
        1, "m",
        G26, H26,
         T_Pipeline,T_Pipeline_U,
         n_pumps,1)</f>
        <v>0.29569807288265737</v>
      </c>
      <c r="E45" s="35" t="s">
        <v>7</v>
      </c>
      <c r="G45" s="39">
        <f t="shared" si="0"/>
        <v>11.641656412703046</v>
      </c>
      <c r="H45" s="4" t="s">
        <v>10</v>
      </c>
      <c r="I45" s="30"/>
      <c r="J45" s="31"/>
      <c r="K45" s="29"/>
      <c r="M45" s="4" t="s">
        <v>270</v>
      </c>
      <c r="N45" s="65" t="s">
        <v>260</v>
      </c>
      <c r="O45" s="64"/>
      <c r="P45" s="64"/>
      <c r="Q45" s="64"/>
      <c r="R45" s="64"/>
      <c r="S45" s="64"/>
    </row>
    <row r="46" spans="2:21" ht="15" customHeight="1" x14ac:dyDescent="0.45">
      <c r="B46" s="40" t="s">
        <v>258</v>
      </c>
      <c r="C46" s="4" t="s">
        <v>267</v>
      </c>
      <c r="D46" s="72">
        <f>Pipe_Dia(L_PL, Len_PL_U,
        P_in, P_out, Pr_units,
        D19, E19,
        1, "m",
        G26, H26,
         T_Pipeline,T_Pipeline_U,
         n_pumps,2)</f>
        <v>0.29575058923294195</v>
      </c>
      <c r="E46" s="35" t="s">
        <v>7</v>
      </c>
      <c r="G46" s="39">
        <f>l_conv(D46,E46,"in")</f>
        <v>11.643723985548895</v>
      </c>
      <c r="H46" s="4" t="s">
        <v>10</v>
      </c>
      <c r="I46" s="30"/>
      <c r="J46" s="31"/>
      <c r="K46" s="29"/>
      <c r="M46" s="4" t="s">
        <v>271</v>
      </c>
      <c r="N46" s="65" t="s">
        <v>261</v>
      </c>
      <c r="O46" s="64"/>
      <c r="P46" s="64"/>
      <c r="Q46" s="64"/>
      <c r="R46" s="64"/>
      <c r="S46" s="64"/>
    </row>
    <row r="47" spans="2:21" ht="15" customHeight="1" x14ac:dyDescent="0.45">
      <c r="B47" s="40" t="s">
        <v>264</v>
      </c>
      <c r="C47" s="4" t="s">
        <v>66</v>
      </c>
      <c r="D47" s="72">
        <f>IF(D43=0,D44,IF(D43=1,D45,IF(D43=2,D46,D44)))</f>
        <v>0.29575058923294195</v>
      </c>
      <c r="E47" s="35" t="s">
        <v>7</v>
      </c>
      <c r="G47" s="39">
        <f>l_conv(D47,E47,"in")</f>
        <v>11.643723985548895</v>
      </c>
      <c r="H47" s="4" t="s">
        <v>10</v>
      </c>
      <c r="I47" s="30"/>
      <c r="J47" s="31"/>
      <c r="K47" s="29"/>
      <c r="M47" s="4" t="s">
        <v>272</v>
      </c>
      <c r="N47" s="65"/>
      <c r="O47" s="64"/>
      <c r="P47" s="64"/>
      <c r="Q47" s="64"/>
      <c r="R47" s="64"/>
      <c r="S47" s="64"/>
    </row>
    <row r="48" spans="2:21" ht="14.6" x14ac:dyDescent="0.45">
      <c r="B48" s="40" t="s">
        <v>485</v>
      </c>
      <c r="C48" s="4" t="s">
        <v>56</v>
      </c>
      <c r="D48" s="32">
        <f>Pipe_Size(D47,E47)</f>
        <v>12</v>
      </c>
      <c r="E48" s="4" t="s">
        <v>10</v>
      </c>
      <c r="G48" s="39">
        <f>l_conv(D48,E48,"in")</f>
        <v>11.999999999999998</v>
      </c>
      <c r="H48" s="4" t="s">
        <v>10</v>
      </c>
      <c r="I48" s="30"/>
      <c r="J48" s="31"/>
      <c r="K48" s="29"/>
      <c r="M48" s="4" t="s">
        <v>115</v>
      </c>
      <c r="N48" s="65" t="s">
        <v>262</v>
      </c>
      <c r="O48" s="64"/>
      <c r="P48" s="64"/>
      <c r="Q48" s="64"/>
      <c r="R48" s="64"/>
      <c r="S48" s="64"/>
    </row>
    <row r="49" spans="2:20" x14ac:dyDescent="0.35">
      <c r="B49" s="40"/>
      <c r="D49" s="32"/>
      <c r="G49" s="39"/>
      <c r="I49" s="46"/>
      <c r="J49" s="46"/>
      <c r="K49" s="46"/>
      <c r="N49" s="65"/>
      <c r="O49" s="64"/>
      <c r="P49" s="64"/>
      <c r="Q49" s="64"/>
      <c r="R49" s="64"/>
      <c r="S49" s="64"/>
    </row>
    <row r="50" spans="2:20" x14ac:dyDescent="0.35">
      <c r="B50" s="408" t="s">
        <v>554</v>
      </c>
      <c r="I50" s="46"/>
      <c r="J50" s="46"/>
      <c r="K50" s="46"/>
      <c r="N50" s="64"/>
      <c r="O50" s="64"/>
      <c r="P50" s="64"/>
      <c r="Q50" s="64"/>
      <c r="R50" s="64"/>
      <c r="S50" s="64"/>
    </row>
    <row r="51" spans="2:20" ht="42.75" customHeight="1" x14ac:dyDescent="0.45">
      <c r="B51" s="40" t="s">
        <v>71</v>
      </c>
      <c r="C51" s="4" t="s">
        <v>125</v>
      </c>
      <c r="D51" s="38">
        <f>(1000000000*1000000*0.001/(365*24*3600))*D26*G38/(D32*D23)</f>
        <v>219.61608148007119</v>
      </c>
      <c r="E51" s="4" t="s">
        <v>70</v>
      </c>
      <c r="G51" s="72"/>
      <c r="I51" s="30"/>
      <c r="J51" s="31"/>
      <c r="K51" s="29"/>
      <c r="M51" s="1" t="s">
        <v>126</v>
      </c>
      <c r="N51" s="731" t="s">
        <v>263</v>
      </c>
      <c r="O51" s="731"/>
      <c r="P51" s="731"/>
      <c r="Q51" s="731"/>
      <c r="R51" s="731"/>
      <c r="S51" s="731"/>
      <c r="T51" s="1"/>
    </row>
    <row r="52" spans="2:20" x14ac:dyDescent="0.35">
      <c r="B52" s="66"/>
      <c r="D52" s="38"/>
      <c r="G52" s="32"/>
      <c r="I52" s="46"/>
      <c r="J52" s="46"/>
      <c r="K52" s="46"/>
      <c r="M52" s="1"/>
      <c r="N52" s="62"/>
      <c r="O52" s="62"/>
      <c r="P52" s="62"/>
      <c r="Q52" s="62"/>
      <c r="R52" s="62"/>
      <c r="S52" s="62"/>
      <c r="T52" s="1"/>
    </row>
    <row r="53" spans="2:20" x14ac:dyDescent="0.35">
      <c r="B53" s="77"/>
      <c r="C53" s="77"/>
      <c r="D53" s="727" t="s">
        <v>78</v>
      </c>
      <c r="E53" s="727"/>
      <c r="F53" s="78" t="s">
        <v>80</v>
      </c>
      <c r="G53" s="727" t="s">
        <v>79</v>
      </c>
      <c r="H53" s="727"/>
      <c r="I53" s="728" t="s">
        <v>52</v>
      </c>
      <c r="J53" s="729"/>
      <c r="K53" s="730"/>
      <c r="L53" s="46"/>
      <c r="M53" s="46"/>
      <c r="N53" s="46"/>
      <c r="O53" s="27"/>
    </row>
    <row r="54" spans="2:20" ht="26.15" thickBot="1" x14ac:dyDescent="0.4">
      <c r="B54" s="79" t="s">
        <v>76</v>
      </c>
      <c r="C54" s="80" t="s">
        <v>77</v>
      </c>
      <c r="D54" s="81" t="s">
        <v>36</v>
      </c>
      <c r="E54" s="79" t="s">
        <v>1</v>
      </c>
      <c r="F54" s="79"/>
      <c r="G54" s="81" t="s">
        <v>36</v>
      </c>
      <c r="H54" s="82" t="s">
        <v>1</v>
      </c>
      <c r="I54" s="83" t="s">
        <v>34</v>
      </c>
      <c r="J54" s="84" t="s">
        <v>35</v>
      </c>
      <c r="K54" s="85" t="s">
        <v>1</v>
      </c>
      <c r="L54" s="42"/>
      <c r="M54" s="79" t="s">
        <v>120</v>
      </c>
      <c r="N54" s="79" t="s">
        <v>121</v>
      </c>
      <c r="O54" s="27"/>
    </row>
    <row r="55" spans="2:20" x14ac:dyDescent="0.35">
      <c r="B55" s="52" t="s">
        <v>537</v>
      </c>
      <c r="N55" s="64"/>
      <c r="O55" s="64"/>
      <c r="P55" s="64"/>
      <c r="Q55" s="64"/>
      <c r="R55" s="64"/>
      <c r="S55" s="64"/>
    </row>
    <row r="56" spans="2:20" x14ac:dyDescent="0.35">
      <c r="B56" s="408" t="s">
        <v>528</v>
      </c>
      <c r="F56" s="28" t="s">
        <v>84</v>
      </c>
    </row>
    <row r="57" spans="2:20" x14ac:dyDescent="0.35">
      <c r="B57" s="408" t="s">
        <v>535</v>
      </c>
      <c r="F57" s="28"/>
    </row>
    <row r="58" spans="2:20" ht="25.75" x14ac:dyDescent="0.35">
      <c r="B58" s="377" t="s">
        <v>329</v>
      </c>
      <c r="C58" s="378"/>
      <c r="D58" s="379" t="str">
        <f>UPPER(Main!E82)</f>
        <v>PARKER</v>
      </c>
      <c r="E58" s="245"/>
      <c r="F58" s="380"/>
      <c r="G58" s="381"/>
      <c r="H58" s="292"/>
      <c r="I58" s="30"/>
      <c r="J58" s="31"/>
      <c r="K58" s="29"/>
      <c r="M58" s="4" t="s">
        <v>221</v>
      </c>
      <c r="N58" s="110" t="s">
        <v>419</v>
      </c>
    </row>
    <row r="59" spans="2:20" ht="25.75" x14ac:dyDescent="0.35">
      <c r="B59" s="68" t="s">
        <v>302</v>
      </c>
      <c r="C59" s="49"/>
      <c r="D59" s="384" t="str">
        <f>Main!E83</f>
        <v>Cen</v>
      </c>
      <c r="E59" s="46"/>
      <c r="F59" s="249"/>
      <c r="G59" s="50"/>
      <c r="H59" s="218"/>
      <c r="I59" s="30"/>
      <c r="J59" s="31"/>
      <c r="K59" s="29"/>
      <c r="M59" s="4" t="s">
        <v>221</v>
      </c>
      <c r="N59" s="110" t="s">
        <v>307</v>
      </c>
    </row>
    <row r="60" spans="2:20" x14ac:dyDescent="0.35">
      <c r="B60" s="68" t="s">
        <v>478</v>
      </c>
      <c r="C60" s="4" t="s">
        <v>56</v>
      </c>
      <c r="D60" s="398">
        <f>D48</f>
        <v>12</v>
      </c>
      <c r="E60" s="46" t="s">
        <v>10</v>
      </c>
      <c r="F60" s="249"/>
      <c r="G60" s="50"/>
      <c r="H60" s="218"/>
      <c r="I60" s="30"/>
      <c r="J60" s="396"/>
      <c r="K60" s="397"/>
      <c r="M60" s="4" t="s">
        <v>480</v>
      </c>
      <c r="N60" s="110"/>
    </row>
    <row r="61" spans="2:20" ht="14.6" x14ac:dyDescent="0.45">
      <c r="B61" s="68" t="s">
        <v>479</v>
      </c>
      <c r="C61" s="4" t="s">
        <v>62</v>
      </c>
      <c r="D61" s="399">
        <f>Main!E74</f>
        <v>79.41</v>
      </c>
      <c r="E61" s="46" t="s">
        <v>5</v>
      </c>
      <c r="F61" s="249"/>
      <c r="G61" s="50"/>
      <c r="H61" s="218"/>
      <c r="I61" s="30"/>
      <c r="J61" s="396"/>
      <c r="K61" s="397"/>
      <c r="M61" s="4" t="s">
        <v>221</v>
      </c>
      <c r="N61" s="110"/>
    </row>
    <row r="62" spans="2:20" ht="39.450000000000003" x14ac:dyDescent="0.45">
      <c r="B62" s="382" t="s">
        <v>432</v>
      </c>
      <c r="C62" s="383"/>
      <c r="D62" s="385">
        <f>Pres_Fact(PL_d)</f>
        <v>1</v>
      </c>
      <c r="E62" s="288"/>
      <c r="F62" s="289"/>
      <c r="G62" s="290"/>
      <c r="H62" s="291"/>
      <c r="I62" s="30"/>
      <c r="J62" s="31"/>
      <c r="K62" s="29"/>
      <c r="M62" s="4" t="s">
        <v>426</v>
      </c>
      <c r="N62" s="1" t="s">
        <v>427</v>
      </c>
    </row>
    <row r="63" spans="2:20" x14ac:dyDescent="0.35">
      <c r="B63" s="40" t="s">
        <v>395</v>
      </c>
      <c r="F63" s="28"/>
    </row>
    <row r="64" spans="2:20" ht="14.6" x14ac:dyDescent="0.45">
      <c r="B64" s="235" t="s">
        <v>345</v>
      </c>
      <c r="C64" s="239"/>
      <c r="D64" s="251">
        <f>CpParker($D$60,$D$61,"Mat",0)/$D$61</f>
        <v>83236.750535197076</v>
      </c>
      <c r="E64" s="4" t="s">
        <v>343</v>
      </c>
      <c r="F64" s="375">
        <f>525/261</f>
        <v>2.0114942528735633</v>
      </c>
      <c r="G64" s="55">
        <f>D64*F64</f>
        <v>167430.24532941941</v>
      </c>
      <c r="H64" s="4" t="s">
        <v>397</v>
      </c>
      <c r="I64" s="30"/>
      <c r="J64" s="31"/>
      <c r="K64" s="29"/>
      <c r="M64" s="4" t="s">
        <v>344</v>
      </c>
      <c r="N64" s="4" t="s">
        <v>431</v>
      </c>
    </row>
    <row r="65" spans="2:14" ht="14.6" x14ac:dyDescent="0.45">
      <c r="B65" s="235" t="s">
        <v>346</v>
      </c>
      <c r="C65" s="239"/>
      <c r="D65" s="251">
        <f>CpParker($D$60,$D$61,"Lab",0)/$D$61</f>
        <v>246622.68140032742</v>
      </c>
      <c r="E65" s="4" t="s">
        <v>343</v>
      </c>
      <c r="F65" s="375">
        <f>525/261</f>
        <v>2.0114942528735633</v>
      </c>
      <c r="G65" s="55">
        <f t="shared" ref="G65:G67" si="1">D65*F65</f>
        <v>496080.10626502644</v>
      </c>
      <c r="H65" s="4" t="s">
        <v>397</v>
      </c>
      <c r="I65" s="30"/>
      <c r="J65" s="31"/>
      <c r="K65" s="29"/>
      <c r="M65" s="4" t="s">
        <v>344</v>
      </c>
      <c r="N65" s="4" t="s">
        <v>431</v>
      </c>
    </row>
    <row r="66" spans="2:14" ht="14.6" x14ac:dyDescent="0.45">
      <c r="B66" s="236" t="s">
        <v>347</v>
      </c>
      <c r="C66" s="49"/>
      <c r="D66" s="251">
        <f>CpParker($D$60,$D$61,"ROW",0)/$D$61</f>
        <v>37215.714897368089</v>
      </c>
      <c r="E66" s="4" t="s">
        <v>343</v>
      </c>
      <c r="F66" s="375">
        <f>113.8/88.7</f>
        <v>1.2829763246899661</v>
      </c>
      <c r="G66" s="55">
        <f t="shared" si="1"/>
        <v>47746.881119734928</v>
      </c>
      <c r="H66" s="4" t="s">
        <v>397</v>
      </c>
      <c r="I66" s="30"/>
      <c r="J66" s="31"/>
      <c r="K66" s="29"/>
      <c r="M66" s="4" t="s">
        <v>344</v>
      </c>
      <c r="N66" s="4" t="s">
        <v>400</v>
      </c>
    </row>
    <row r="67" spans="2:14" ht="14.6" x14ac:dyDescent="0.45">
      <c r="B67" s="273" t="s">
        <v>348</v>
      </c>
      <c r="C67" s="274"/>
      <c r="D67" s="283">
        <f>CpParker($D$60,$D$61,"Misc",0)/$D$61</f>
        <v>109524.32288124922</v>
      </c>
      <c r="E67" s="275" t="s">
        <v>343</v>
      </c>
      <c r="F67" s="376">
        <f>190.9/122.3</f>
        <v>1.5609157808667213</v>
      </c>
      <c r="G67" s="55">
        <f t="shared" si="1"/>
        <v>170958.24397408403</v>
      </c>
      <c r="H67" s="277" t="s">
        <v>397</v>
      </c>
      <c r="I67" s="30"/>
      <c r="J67" s="31"/>
      <c r="K67" s="29"/>
      <c r="M67" s="4" t="s">
        <v>344</v>
      </c>
      <c r="N67" s="4" t="s">
        <v>401</v>
      </c>
    </row>
    <row r="68" spans="2:14" ht="29.15" x14ac:dyDescent="0.45">
      <c r="B68" s="278" t="s">
        <v>349</v>
      </c>
      <c r="C68" s="279"/>
      <c r="D68" s="280">
        <f>SUM(D64:D67)</f>
        <v>476599.4697141418</v>
      </c>
      <c r="E68" s="279" t="s">
        <v>343</v>
      </c>
      <c r="F68" s="281"/>
      <c r="G68" s="287">
        <f>SUM(G64:G67)</f>
        <v>882215.47668826487</v>
      </c>
      <c r="H68" s="279" t="s">
        <v>397</v>
      </c>
      <c r="I68" s="30"/>
      <c r="J68" s="31"/>
      <c r="K68" s="29"/>
      <c r="M68" s="1" t="s">
        <v>350</v>
      </c>
    </row>
    <row r="69" spans="2:14" x14ac:dyDescent="0.35">
      <c r="B69" s="40" t="s">
        <v>396</v>
      </c>
      <c r="F69" s="28"/>
    </row>
    <row r="70" spans="2:14" ht="14.6" x14ac:dyDescent="0.45">
      <c r="B70" s="235" t="s">
        <v>308</v>
      </c>
      <c r="C70" s="239"/>
      <c r="D70" s="251">
        <f>CpRui($D$60,$D$61,$D$59,"Mat",0)/$D$61</f>
        <v>105260.36539808275</v>
      </c>
      <c r="E70" s="4" t="s">
        <v>81</v>
      </c>
      <c r="F70" s="389">
        <f>525/604</f>
        <v>0.86920529801324509</v>
      </c>
      <c r="G70" s="55">
        <f>D70*F70</f>
        <v>91492.867274823584</v>
      </c>
      <c r="H70" s="4" t="s">
        <v>397</v>
      </c>
      <c r="I70" s="30"/>
      <c r="J70" s="31"/>
      <c r="K70" s="29"/>
      <c r="M70" s="4" t="s">
        <v>393</v>
      </c>
      <c r="N70" s="4" t="s">
        <v>431</v>
      </c>
    </row>
    <row r="71" spans="2:14" ht="14.6" x14ac:dyDescent="0.45">
      <c r="B71" s="235" t="s">
        <v>309</v>
      </c>
      <c r="C71" s="239"/>
      <c r="D71" s="251">
        <f>CpRui($D$60,$D$61,$D$59,"Lab",0)/$D$61</f>
        <v>117255.73429532297</v>
      </c>
      <c r="E71" s="4" t="s">
        <v>81</v>
      </c>
      <c r="F71" s="389">
        <f>525/604</f>
        <v>0.86920529801324509</v>
      </c>
      <c r="G71" s="55">
        <f t="shared" ref="G71:G72" si="2">D71*F71</f>
        <v>101919.30547192808</v>
      </c>
      <c r="H71" s="4" t="s">
        <v>397</v>
      </c>
      <c r="I71" s="30"/>
      <c r="J71" s="31"/>
      <c r="K71" s="29"/>
      <c r="M71" s="4" t="s">
        <v>393</v>
      </c>
      <c r="N71" s="4" t="s">
        <v>431</v>
      </c>
    </row>
    <row r="72" spans="2:14" ht="14.6" x14ac:dyDescent="0.45">
      <c r="B72" s="236" t="s">
        <v>310</v>
      </c>
      <c r="C72" s="49"/>
      <c r="D72" s="251">
        <f>CpRui($D$60,$D$61,$D$59,"ROW",0)/$D$61</f>
        <v>25187.240485406983</v>
      </c>
      <c r="E72" s="4" t="s">
        <v>81</v>
      </c>
      <c r="F72" s="389">
        <f>113.8/108.5</f>
        <v>1.0488479262672812</v>
      </c>
      <c r="G72" s="55">
        <f t="shared" si="2"/>
        <v>26417.584951514422</v>
      </c>
      <c r="H72" s="4" t="s">
        <v>397</v>
      </c>
      <c r="I72" s="30"/>
      <c r="J72" s="31"/>
      <c r="K72" s="29"/>
      <c r="M72" s="4" t="s">
        <v>393</v>
      </c>
      <c r="N72" s="4" t="s">
        <v>400</v>
      </c>
    </row>
    <row r="73" spans="2:14" ht="14.6" x14ac:dyDescent="0.45">
      <c r="B73" s="273" t="s">
        <v>311</v>
      </c>
      <c r="C73" s="274"/>
      <c r="D73" s="283">
        <f>CpRui($D$60,$D$61,$D$59,"Misc",0)/$D$61</f>
        <v>59794.144186946047</v>
      </c>
      <c r="E73" s="275" t="s">
        <v>81</v>
      </c>
      <c r="F73" s="390">
        <f>190.9/196.3</f>
        <v>0.9724910850738665</v>
      </c>
      <c r="G73" s="55">
        <f>D73*F73</f>
        <v>58149.272161426386</v>
      </c>
      <c r="H73" s="277" t="s">
        <v>397</v>
      </c>
      <c r="I73" s="30"/>
      <c r="J73" s="31"/>
      <c r="K73" s="29"/>
      <c r="M73" s="4" t="s">
        <v>393</v>
      </c>
      <c r="N73" s="4" t="s">
        <v>401</v>
      </c>
    </row>
    <row r="74" spans="2:14" ht="29.15" x14ac:dyDescent="0.45">
      <c r="B74" s="278" t="s">
        <v>342</v>
      </c>
      <c r="C74" s="279"/>
      <c r="D74" s="280">
        <f>SUM(D70:D73)</f>
        <v>307497.48436575878</v>
      </c>
      <c r="E74" s="279" t="s">
        <v>81</v>
      </c>
      <c r="F74" s="391"/>
      <c r="G74" s="287">
        <f>SUM(G70:G73)</f>
        <v>277979.02985969244</v>
      </c>
      <c r="H74" s="279" t="s">
        <v>397</v>
      </c>
      <c r="I74" s="30"/>
      <c r="J74" s="31"/>
      <c r="K74" s="29"/>
      <c r="M74" s="1" t="s">
        <v>394</v>
      </c>
    </row>
    <row r="75" spans="2:14" x14ac:dyDescent="0.35">
      <c r="B75" s="40" t="s">
        <v>398</v>
      </c>
      <c r="F75" s="392"/>
    </row>
    <row r="76" spans="2:14" ht="14.6" x14ac:dyDescent="0.45">
      <c r="B76" s="235" t="s">
        <v>409</v>
      </c>
      <c r="C76" s="239"/>
      <c r="D76" s="251">
        <f>Cpmccoy($D$60,$D$61,$D$59,"Mat",0)/$D$61</f>
        <v>66988.493303583804</v>
      </c>
      <c r="E76" s="4" t="s">
        <v>399</v>
      </c>
      <c r="F76" s="389">
        <f>525/400</f>
        <v>1.3125</v>
      </c>
      <c r="G76" s="55">
        <f>D76*F76</f>
        <v>87922.39746095374</v>
      </c>
      <c r="H76" s="4" t="s">
        <v>397</v>
      </c>
      <c r="I76" s="30"/>
      <c r="J76" s="31"/>
      <c r="K76" s="29"/>
      <c r="M76" s="4" t="s">
        <v>393</v>
      </c>
      <c r="N76" s="4" t="s">
        <v>431</v>
      </c>
    </row>
    <row r="77" spans="2:14" ht="14.6" x14ac:dyDescent="0.45">
      <c r="B77" s="235" t="s">
        <v>410</v>
      </c>
      <c r="C77" s="239"/>
      <c r="D77" s="251">
        <f>Cpmccoy($D$60,$D$61,$D$59,"Lab",0)/$D$61</f>
        <v>138644.94401718362</v>
      </c>
      <c r="E77" s="4" t="s">
        <v>399</v>
      </c>
      <c r="F77" s="389">
        <f>525/400</f>
        <v>1.3125</v>
      </c>
      <c r="G77" s="55">
        <f t="shared" ref="G77:G79" si="3">D77*F77</f>
        <v>181971.48902255349</v>
      </c>
      <c r="H77" s="4" t="s">
        <v>397</v>
      </c>
      <c r="I77" s="30"/>
      <c r="J77" s="31"/>
      <c r="K77" s="29"/>
      <c r="M77" s="4" t="s">
        <v>393</v>
      </c>
      <c r="N77" s="4" t="s">
        <v>431</v>
      </c>
    </row>
    <row r="78" spans="2:14" ht="14.6" x14ac:dyDescent="0.45">
      <c r="B78" s="236" t="s">
        <v>411</v>
      </c>
      <c r="C78" s="49"/>
      <c r="D78" s="251">
        <f>Cpmccoy($D$60,$D$61,$D$59,"ROW",0)/$D$61</f>
        <v>20548.37462997398</v>
      </c>
      <c r="E78" s="4" t="s">
        <v>399</v>
      </c>
      <c r="F78" s="375">
        <f>113.8/96.8</f>
        <v>1.1756198347107438</v>
      </c>
      <c r="G78" s="55">
        <f t="shared" si="3"/>
        <v>24157.076786064452</v>
      </c>
      <c r="H78" s="4" t="s">
        <v>397</v>
      </c>
      <c r="I78" s="30"/>
      <c r="J78" s="31"/>
      <c r="K78" s="29"/>
      <c r="M78" s="4" t="s">
        <v>393</v>
      </c>
      <c r="N78" s="4" t="s">
        <v>400</v>
      </c>
    </row>
    <row r="79" spans="2:14" ht="14.6" x14ac:dyDescent="0.45">
      <c r="B79" s="273" t="s">
        <v>412</v>
      </c>
      <c r="C79" s="274"/>
      <c r="D79" s="283">
        <f>Cpmccoy($D$60,$D$61,$D$59,"Misc",0)/$D$61</f>
        <v>42088.619384797137</v>
      </c>
      <c r="E79" s="275" t="s">
        <v>399</v>
      </c>
      <c r="F79" s="376">
        <f>190.9/139.6</f>
        <v>1.3674785100286533</v>
      </c>
      <c r="G79" s="55">
        <f t="shared" si="3"/>
        <v>57555.282525485483</v>
      </c>
      <c r="H79" s="277" t="s">
        <v>397</v>
      </c>
      <c r="I79" s="30"/>
      <c r="J79" s="31"/>
      <c r="K79" s="29"/>
      <c r="M79" s="4" t="s">
        <v>393</v>
      </c>
      <c r="N79" s="4" t="s">
        <v>401</v>
      </c>
    </row>
    <row r="80" spans="2:14" ht="29.15" x14ac:dyDescent="0.45">
      <c r="B80" s="278" t="s">
        <v>413</v>
      </c>
      <c r="C80" s="279"/>
      <c r="D80" s="280">
        <f>SUM(D76:D79)</f>
        <v>268270.43133553857</v>
      </c>
      <c r="E80" s="279" t="s">
        <v>399</v>
      </c>
      <c r="F80" s="281"/>
      <c r="G80" s="287">
        <f>SUM(G76:G79)</f>
        <v>351606.24579505716</v>
      </c>
      <c r="H80" s="279" t="s">
        <v>397</v>
      </c>
      <c r="I80" s="30"/>
      <c r="J80" s="31"/>
      <c r="K80" s="29"/>
      <c r="M80" s="1" t="s">
        <v>414</v>
      </c>
    </row>
    <row r="81" spans="2:13" x14ac:dyDescent="0.35">
      <c r="B81" s="40" t="s">
        <v>415</v>
      </c>
      <c r="F81" s="28"/>
    </row>
    <row r="82" spans="2:13" ht="14.6" x14ac:dyDescent="0.45">
      <c r="B82" s="235" t="s">
        <v>438</v>
      </c>
      <c r="C82" s="239"/>
      <c r="D82" s="251"/>
      <c r="E82" s="35"/>
      <c r="F82" s="189"/>
      <c r="G82" s="55">
        <f>$D$62*G64</f>
        <v>167430.24532941941</v>
      </c>
      <c r="H82" s="4" t="s">
        <v>397</v>
      </c>
      <c r="I82" s="30"/>
      <c r="J82" s="31"/>
      <c r="K82" s="29"/>
      <c r="M82" s="1" t="s">
        <v>433</v>
      </c>
    </row>
    <row r="83" spans="2:13" ht="14.6" x14ac:dyDescent="0.45">
      <c r="B83" s="235" t="s">
        <v>439</v>
      </c>
      <c r="C83" s="239"/>
      <c r="D83" s="251"/>
      <c r="E83" s="35"/>
      <c r="F83" s="189"/>
      <c r="G83" s="55">
        <f>$D$62*G65</f>
        <v>496080.10626502644</v>
      </c>
      <c r="H83" s="4" t="s">
        <v>397</v>
      </c>
      <c r="I83" s="30"/>
      <c r="J83" s="31"/>
      <c r="K83" s="29"/>
      <c r="M83" s="1" t="s">
        <v>434</v>
      </c>
    </row>
    <row r="84" spans="2:13" ht="14.6" x14ac:dyDescent="0.45">
      <c r="B84" s="236" t="s">
        <v>440</v>
      </c>
      <c r="C84" s="49"/>
      <c r="D84" s="251"/>
      <c r="E84" s="35"/>
      <c r="F84" s="189"/>
      <c r="G84" s="55">
        <f>G66</f>
        <v>47746.881119734928</v>
      </c>
      <c r="H84" s="4" t="s">
        <v>397</v>
      </c>
      <c r="I84" s="30"/>
      <c r="J84" s="31"/>
      <c r="K84" s="29"/>
      <c r="M84" s="1" t="s">
        <v>435</v>
      </c>
    </row>
    <row r="85" spans="2:13" ht="14.6" x14ac:dyDescent="0.45">
      <c r="B85" s="273" t="s">
        <v>441</v>
      </c>
      <c r="C85" s="274"/>
      <c r="D85" s="283"/>
      <c r="E85" s="284"/>
      <c r="F85" s="276"/>
      <c r="G85" s="55">
        <f>G67</f>
        <v>170958.24397408403</v>
      </c>
      <c r="H85" s="277" t="s">
        <v>397</v>
      </c>
      <c r="I85" s="30"/>
      <c r="J85" s="31"/>
      <c r="K85" s="29"/>
      <c r="M85" s="1" t="s">
        <v>436</v>
      </c>
    </row>
    <row r="86" spans="2:13" ht="29.15" x14ac:dyDescent="0.45">
      <c r="B86" s="278" t="s">
        <v>442</v>
      </c>
      <c r="C86" s="279"/>
      <c r="D86" s="285"/>
      <c r="E86" s="286"/>
      <c r="F86" s="281"/>
      <c r="G86" s="287">
        <f>SUM(G82:G85)</f>
        <v>882215.47668826487</v>
      </c>
      <c r="H86" s="279" t="s">
        <v>397</v>
      </c>
      <c r="I86" s="30"/>
      <c r="J86" s="31"/>
      <c r="K86" s="29"/>
      <c r="M86" s="1" t="s">
        <v>437</v>
      </c>
    </row>
    <row r="87" spans="2:13" x14ac:dyDescent="0.35">
      <c r="B87" s="40" t="s">
        <v>416</v>
      </c>
      <c r="D87" s="35"/>
      <c r="E87" s="35"/>
      <c r="F87" s="28"/>
    </row>
    <row r="88" spans="2:13" ht="14.6" x14ac:dyDescent="0.45">
      <c r="B88" s="235" t="s">
        <v>448</v>
      </c>
      <c r="C88" s="239"/>
      <c r="D88" s="251"/>
      <c r="E88" s="35"/>
      <c r="F88" s="189"/>
      <c r="G88" s="55">
        <f>$D$62*G70</f>
        <v>91492.867274823584</v>
      </c>
      <c r="H88" s="4" t="s">
        <v>397</v>
      </c>
      <c r="I88" s="30"/>
      <c r="J88" s="31"/>
      <c r="K88" s="29"/>
      <c r="M88" s="1" t="s">
        <v>443</v>
      </c>
    </row>
    <row r="89" spans="2:13" ht="14.6" x14ac:dyDescent="0.45">
      <c r="B89" s="235" t="s">
        <v>449</v>
      </c>
      <c r="C89" s="239"/>
      <c r="D89" s="251"/>
      <c r="E89" s="35"/>
      <c r="F89" s="189"/>
      <c r="G89" s="55">
        <f>$D$62*G71</f>
        <v>101919.30547192808</v>
      </c>
      <c r="H89" s="4" t="s">
        <v>397</v>
      </c>
      <c r="I89" s="30"/>
      <c r="J89" s="31"/>
      <c r="K89" s="29"/>
      <c r="M89" s="1" t="s">
        <v>444</v>
      </c>
    </row>
    <row r="90" spans="2:13" ht="14.6" x14ac:dyDescent="0.45">
      <c r="B90" s="236" t="s">
        <v>450</v>
      </c>
      <c r="C90" s="49"/>
      <c r="D90" s="251"/>
      <c r="E90" s="35"/>
      <c r="F90" s="189"/>
      <c r="G90" s="55">
        <f>G72</f>
        <v>26417.584951514422</v>
      </c>
      <c r="H90" s="4" t="s">
        <v>397</v>
      </c>
      <c r="I90" s="30"/>
      <c r="J90" s="31"/>
      <c r="K90" s="29"/>
      <c r="M90" s="1" t="s">
        <v>445</v>
      </c>
    </row>
    <row r="91" spans="2:13" ht="14.6" x14ac:dyDescent="0.45">
      <c r="B91" s="273" t="s">
        <v>451</v>
      </c>
      <c r="C91" s="274"/>
      <c r="D91" s="283"/>
      <c r="E91" s="284"/>
      <c r="F91" s="276"/>
      <c r="G91" s="55">
        <f>G73</f>
        <v>58149.272161426386</v>
      </c>
      <c r="H91" s="277" t="s">
        <v>397</v>
      </c>
      <c r="I91" s="30"/>
      <c r="J91" s="31"/>
      <c r="K91" s="29"/>
      <c r="M91" s="1" t="s">
        <v>446</v>
      </c>
    </row>
    <row r="92" spans="2:13" ht="29.15" x14ac:dyDescent="0.45">
      <c r="B92" s="278" t="s">
        <v>452</v>
      </c>
      <c r="C92" s="279"/>
      <c r="D92" s="285"/>
      <c r="E92" s="286"/>
      <c r="F92" s="281"/>
      <c r="G92" s="287">
        <f>SUM(G88:G91)</f>
        <v>277979.02985969244</v>
      </c>
      <c r="H92" s="279" t="s">
        <v>397</v>
      </c>
      <c r="I92" s="30"/>
      <c r="J92" s="31"/>
      <c r="K92" s="29"/>
      <c r="M92" s="1" t="s">
        <v>447</v>
      </c>
    </row>
    <row r="93" spans="2:13" x14ac:dyDescent="0.35">
      <c r="B93" s="40" t="s">
        <v>417</v>
      </c>
      <c r="D93" s="35"/>
      <c r="E93" s="35"/>
      <c r="F93" s="28"/>
    </row>
    <row r="94" spans="2:13" ht="14.6" x14ac:dyDescent="0.45">
      <c r="B94" s="235" t="s">
        <v>454</v>
      </c>
      <c r="C94" s="239"/>
      <c r="D94" s="251"/>
      <c r="E94" s="35"/>
      <c r="F94" s="189"/>
      <c r="G94" s="55">
        <f>$D$62*G76</f>
        <v>87922.39746095374</v>
      </c>
      <c r="H94" s="4" t="s">
        <v>397</v>
      </c>
      <c r="I94" s="30"/>
      <c r="J94" s="31"/>
      <c r="K94" s="29"/>
      <c r="M94" s="1" t="s">
        <v>458</v>
      </c>
    </row>
    <row r="95" spans="2:13" ht="14.6" x14ac:dyDescent="0.45">
      <c r="B95" s="235" t="s">
        <v>455</v>
      </c>
      <c r="C95" s="239"/>
      <c r="D95" s="251"/>
      <c r="E95" s="35"/>
      <c r="F95" s="189"/>
      <c r="G95" s="55">
        <f>$D$62*G77</f>
        <v>181971.48902255349</v>
      </c>
      <c r="H95" s="4" t="s">
        <v>397</v>
      </c>
      <c r="I95" s="30"/>
      <c r="J95" s="31"/>
      <c r="K95" s="29"/>
      <c r="M95" s="1" t="s">
        <v>459</v>
      </c>
    </row>
    <row r="96" spans="2:13" ht="14.6" x14ac:dyDescent="0.45">
      <c r="B96" s="236" t="s">
        <v>456</v>
      </c>
      <c r="C96" s="49"/>
      <c r="D96" s="251"/>
      <c r="E96" s="35"/>
      <c r="F96" s="189"/>
      <c r="G96" s="55">
        <f>G78</f>
        <v>24157.076786064452</v>
      </c>
      <c r="H96" s="4" t="s">
        <v>397</v>
      </c>
      <c r="I96" s="30"/>
      <c r="J96" s="31"/>
      <c r="K96" s="29"/>
      <c r="M96" s="1" t="s">
        <v>460</v>
      </c>
    </row>
    <row r="97" spans="2:19" ht="14.6" x14ac:dyDescent="0.45">
      <c r="B97" s="273" t="s">
        <v>457</v>
      </c>
      <c r="C97" s="274"/>
      <c r="D97" s="283"/>
      <c r="E97" s="284"/>
      <c r="F97" s="276"/>
      <c r="G97" s="55">
        <f>G79</f>
        <v>57555.282525485483</v>
      </c>
      <c r="H97" s="277" t="s">
        <v>397</v>
      </c>
      <c r="I97" s="30"/>
      <c r="J97" s="31"/>
      <c r="K97" s="29"/>
      <c r="M97" s="1" t="s">
        <v>461</v>
      </c>
    </row>
    <row r="98" spans="2:19" ht="29.15" x14ac:dyDescent="0.45">
      <c r="B98" s="278" t="s">
        <v>453</v>
      </c>
      <c r="C98" s="279"/>
      <c r="D98" s="285"/>
      <c r="E98" s="286"/>
      <c r="F98" s="281"/>
      <c r="G98" s="287">
        <f>SUM(G94:G97)</f>
        <v>351606.24579505716</v>
      </c>
      <c r="H98" s="279" t="s">
        <v>397</v>
      </c>
      <c r="I98" s="30"/>
      <c r="J98" s="31"/>
      <c r="K98" s="29"/>
      <c r="M98" s="1" t="s">
        <v>462</v>
      </c>
    </row>
    <row r="99" spans="2:19" x14ac:dyDescent="0.35">
      <c r="B99" s="68"/>
      <c r="C99" s="49"/>
      <c r="D99" s="250"/>
      <c r="E99" s="46"/>
      <c r="F99" s="249"/>
      <c r="G99" s="50"/>
      <c r="H99" s="46"/>
      <c r="I99" s="46"/>
      <c r="J99" s="46"/>
      <c r="K99" s="46"/>
      <c r="N99" s="107"/>
    </row>
    <row r="100" spans="2:19" x14ac:dyDescent="0.35">
      <c r="B100" s="40" t="s">
        <v>314</v>
      </c>
      <c r="F100" s="28"/>
    </row>
    <row r="101" spans="2:19" ht="14.6" x14ac:dyDescent="0.45">
      <c r="B101" s="235" t="s">
        <v>210</v>
      </c>
      <c r="C101" s="38"/>
      <c r="D101" s="238"/>
      <c r="F101" s="56"/>
      <c r="G101" s="55">
        <f>IF($D$58="PARKER",G82,IF($D$58="RUI",G88,IF($D$58="MCCOY",G94,"Error")))</f>
        <v>167430.24532941941</v>
      </c>
      <c r="H101" s="4" t="s">
        <v>397</v>
      </c>
      <c r="I101" s="30"/>
      <c r="J101" s="31"/>
      <c r="K101" s="29"/>
      <c r="N101" s="64"/>
      <c r="O101" s="65"/>
      <c r="P101" s="65"/>
      <c r="Q101" s="65"/>
      <c r="R101" s="65"/>
      <c r="S101" s="65"/>
    </row>
    <row r="102" spans="2:19" ht="14.6" x14ac:dyDescent="0.45">
      <c r="B102" s="235" t="s">
        <v>211</v>
      </c>
      <c r="C102" s="38"/>
      <c r="D102" s="238"/>
      <c r="F102" s="56"/>
      <c r="G102" s="55">
        <f>IF($D$58="PARKER",G83,IF($D$58="RUI",G89,IF($D$58="MCCOY",G95,"Error")))</f>
        <v>496080.10626502644</v>
      </c>
      <c r="H102" s="4" t="s">
        <v>397</v>
      </c>
      <c r="I102" s="30"/>
      <c r="J102" s="31"/>
      <c r="K102" s="29"/>
      <c r="N102" s="65"/>
      <c r="O102" s="65"/>
      <c r="P102" s="65"/>
      <c r="Q102" s="65"/>
      <c r="R102" s="65"/>
      <c r="S102" s="65"/>
    </row>
    <row r="103" spans="2:19" ht="14.6" x14ac:dyDescent="0.45">
      <c r="B103" s="236" t="s">
        <v>212</v>
      </c>
      <c r="C103" s="38"/>
      <c r="D103" s="238"/>
      <c r="F103" s="56"/>
      <c r="G103" s="55">
        <f>IF($D$58="PARKER",G84,IF($D$58="RUI",G90,IF($D$58="MCCOY",G96,"Error")))</f>
        <v>47746.881119734928</v>
      </c>
      <c r="H103" s="4" t="s">
        <v>397</v>
      </c>
      <c r="I103" s="30"/>
      <c r="J103" s="31"/>
      <c r="K103" s="29"/>
      <c r="N103" s="65"/>
      <c r="O103" s="65"/>
      <c r="P103" s="65"/>
      <c r="Q103" s="65"/>
      <c r="R103" s="65"/>
      <c r="S103" s="65"/>
    </row>
    <row r="104" spans="2:19" ht="14.6" x14ac:dyDescent="0.45">
      <c r="B104" s="237" t="s">
        <v>213</v>
      </c>
      <c r="C104" s="51"/>
      <c r="D104" s="243"/>
      <c r="E104" s="47"/>
      <c r="F104" s="289"/>
      <c r="G104" s="290">
        <f>IF($D$58="PARKER",G85,IF($D$58="RUI",G91,IF($D$58="MCCOY",G97,"Error")))</f>
        <v>170958.24397408403</v>
      </c>
      <c r="H104" s="291" t="s">
        <v>397</v>
      </c>
      <c r="I104" s="30"/>
      <c r="J104" s="31"/>
      <c r="K104" s="29"/>
    </row>
    <row r="105" spans="2:19" ht="14.6" x14ac:dyDescent="0.45">
      <c r="B105" s="242" t="s">
        <v>85</v>
      </c>
      <c r="C105" s="4" t="s">
        <v>122</v>
      </c>
      <c r="D105" s="38"/>
      <c r="G105" s="38">
        <f>SUM(G101:G104)</f>
        <v>882215.47668826487</v>
      </c>
      <c r="H105" s="292" t="s">
        <v>397</v>
      </c>
      <c r="I105" s="30"/>
      <c r="J105" s="31"/>
      <c r="K105" s="29"/>
      <c r="M105" s="1" t="s">
        <v>214</v>
      </c>
      <c r="N105" s="1" t="s">
        <v>315</v>
      </c>
    </row>
    <row r="106" spans="2:19" ht="14.6" x14ac:dyDescent="0.45">
      <c r="B106" s="235" t="s">
        <v>239</v>
      </c>
      <c r="C106" s="4" t="s">
        <v>123</v>
      </c>
      <c r="D106" s="38"/>
      <c r="G106" s="57">
        <f>G105*l_conv(D16,E16,"mi")</f>
        <v>70056731.003815129</v>
      </c>
      <c r="H106" s="218" t="s">
        <v>408</v>
      </c>
      <c r="I106" s="30"/>
      <c r="J106" s="31"/>
      <c r="K106" s="29"/>
      <c r="M106" s="4" t="s">
        <v>124</v>
      </c>
      <c r="N106" s="1" t="s">
        <v>315</v>
      </c>
    </row>
    <row r="107" spans="2:19" x14ac:dyDescent="0.35">
      <c r="B107" s="40"/>
      <c r="D107" s="38"/>
      <c r="G107" s="57"/>
      <c r="I107" s="46"/>
      <c r="J107" s="46"/>
      <c r="K107" s="46"/>
    </row>
    <row r="108" spans="2:19" x14ac:dyDescent="0.35">
      <c r="B108" s="408" t="s">
        <v>536</v>
      </c>
      <c r="D108" s="38"/>
      <c r="G108" s="57"/>
      <c r="I108" s="46"/>
      <c r="J108" s="46"/>
      <c r="K108" s="46"/>
    </row>
    <row r="109" spans="2:19" ht="14.6" x14ac:dyDescent="0.45">
      <c r="B109" s="68" t="s">
        <v>236</v>
      </c>
      <c r="C109" s="46" t="s">
        <v>237</v>
      </c>
      <c r="D109" s="246">
        <v>701600</v>
      </c>
      <c r="E109" s="46" t="s">
        <v>352</v>
      </c>
      <c r="F109" s="386">
        <f>657.5/370.6</f>
        <v>1.7741500269832702</v>
      </c>
      <c r="G109" s="50">
        <f>D109*F109</f>
        <v>1244743.6589314623</v>
      </c>
      <c r="H109" s="4" t="s">
        <v>408</v>
      </c>
      <c r="I109" s="30"/>
      <c r="J109" s="31"/>
      <c r="K109" s="29"/>
      <c r="N109" s="4" t="s">
        <v>402</v>
      </c>
    </row>
    <row r="110" spans="2:19" ht="14.6" x14ac:dyDescent="0.45">
      <c r="B110" s="69" t="s">
        <v>242</v>
      </c>
      <c r="C110" s="47" t="s">
        <v>243</v>
      </c>
      <c r="D110" s="247">
        <v>94000</v>
      </c>
      <c r="E110" s="47" t="s">
        <v>352</v>
      </c>
      <c r="F110" s="387">
        <f>438.7/368.5</f>
        <v>1.1905020352781546</v>
      </c>
      <c r="G110" s="93">
        <f>D110*F110</f>
        <v>111907.19131614653</v>
      </c>
      <c r="H110" s="291" t="s">
        <v>408</v>
      </c>
      <c r="I110" s="30"/>
      <c r="J110" s="31"/>
      <c r="K110" s="29"/>
      <c r="N110" s="4" t="s">
        <v>403</v>
      </c>
    </row>
    <row r="111" spans="2:19" x14ac:dyDescent="0.35">
      <c r="B111" s="40" t="s">
        <v>240</v>
      </c>
      <c r="D111" s="38"/>
      <c r="F111" s="56"/>
      <c r="G111" s="38">
        <f>SUM(G109:G110)</f>
        <v>1356650.850247609</v>
      </c>
      <c r="H111" s="4" t="s">
        <v>408</v>
      </c>
      <c r="I111" s="46"/>
      <c r="J111" s="46"/>
      <c r="K111" s="46"/>
    </row>
    <row r="112" spans="2:19" x14ac:dyDescent="0.35">
      <c r="B112" s="40"/>
      <c r="D112" s="38"/>
      <c r="F112" s="56"/>
      <c r="G112" s="55"/>
      <c r="I112" s="46"/>
      <c r="J112" s="46"/>
      <c r="K112" s="46"/>
    </row>
    <row r="113" spans="2:15" ht="14.6" x14ac:dyDescent="0.45">
      <c r="B113" s="40" t="s">
        <v>24</v>
      </c>
      <c r="C113" s="4" t="s">
        <v>241</v>
      </c>
      <c r="D113" s="38"/>
      <c r="G113" s="38">
        <f>G111+G106</f>
        <v>71413381.854062736</v>
      </c>
      <c r="H113" s="4" t="s">
        <v>408</v>
      </c>
      <c r="I113" s="30"/>
      <c r="J113" s="31"/>
      <c r="K113" s="29"/>
      <c r="M113" s="4" t="s">
        <v>463</v>
      </c>
    </row>
    <row r="114" spans="2:15" x14ac:dyDescent="0.35">
      <c r="B114" s="40"/>
      <c r="D114" s="38"/>
    </row>
    <row r="115" spans="2:15" x14ac:dyDescent="0.35">
      <c r="B115" s="408" t="s">
        <v>529</v>
      </c>
    </row>
    <row r="116" spans="2:15" ht="14.6" x14ac:dyDescent="0.45">
      <c r="B116" s="40" t="s">
        <v>140</v>
      </c>
      <c r="C116" s="4" t="s">
        <v>138</v>
      </c>
      <c r="D116" s="180">
        <f>0.07*10^6</f>
        <v>70000</v>
      </c>
      <c r="E116" s="4" t="s">
        <v>275</v>
      </c>
      <c r="I116" s="30"/>
      <c r="J116" s="31"/>
      <c r="K116" s="29"/>
      <c r="N116" s="1" t="s">
        <v>197</v>
      </c>
    </row>
    <row r="117" spans="2:15" ht="14.6" x14ac:dyDescent="0.45">
      <c r="B117" s="40" t="s">
        <v>141</v>
      </c>
      <c r="C117" s="4" t="s">
        <v>139</v>
      </c>
      <c r="D117" s="180">
        <f>1.11*10^6</f>
        <v>1110000</v>
      </c>
      <c r="E117" s="4" t="s">
        <v>351</v>
      </c>
      <c r="I117" s="30"/>
      <c r="J117" s="31"/>
      <c r="K117" s="29"/>
      <c r="N117" s="1" t="s">
        <v>197</v>
      </c>
    </row>
    <row r="118" spans="2:15" ht="14.6" x14ac:dyDescent="0.45">
      <c r="B118" s="69" t="s">
        <v>82</v>
      </c>
      <c r="C118" s="47" t="s">
        <v>86</v>
      </c>
      <c r="D118" s="70">
        <f>IF(n_pumps=0,"NA",(D117*pump_power/1000+D116))</f>
        <v>313773.85044287902</v>
      </c>
      <c r="E118" s="47" t="s">
        <v>275</v>
      </c>
      <c r="F118" s="393">
        <f>898.5/752.5</f>
        <v>1.1940199335548172</v>
      </c>
      <c r="G118" s="93">
        <f>IF(D118="NA",0,D118*F118)</f>
        <v>374652.23205704556</v>
      </c>
      <c r="H118" s="94" t="s">
        <v>408</v>
      </c>
      <c r="I118" s="30"/>
      <c r="J118" s="31"/>
      <c r="K118" s="29"/>
      <c r="M118" s="46" t="s">
        <v>465</v>
      </c>
      <c r="N118" s="4" t="s">
        <v>404</v>
      </c>
    </row>
    <row r="119" spans="2:15" ht="15" thickBot="1" x14ac:dyDescent="0.5">
      <c r="B119" s="41" t="str">
        <f>"Cost for "&amp;D22&amp;" pumps"</f>
        <v>Cost for 5 pumps</v>
      </c>
      <c r="C119" s="42" t="s">
        <v>87</v>
      </c>
      <c r="D119" s="97">
        <f>IF(D118="NA",0,D22*D118)</f>
        <v>1568869.252214395</v>
      </c>
      <c r="E119" s="42" t="s">
        <v>275</v>
      </c>
      <c r="F119" s="244"/>
      <c r="G119" s="95">
        <f>IF(D118="NA",0,D22*G118)</f>
        <v>1873261.1602852279</v>
      </c>
      <c r="H119" s="96" t="s">
        <v>408</v>
      </c>
      <c r="I119" s="30"/>
      <c r="J119" s="31"/>
      <c r="K119" s="29"/>
      <c r="M119" s="46" t="s">
        <v>148</v>
      </c>
    </row>
    <row r="120" spans="2:15" ht="14.6" x14ac:dyDescent="0.45">
      <c r="B120" s="408" t="s">
        <v>530</v>
      </c>
      <c r="C120" s="54" t="s">
        <v>67</v>
      </c>
      <c r="D120" s="43"/>
      <c r="G120" s="43">
        <f>G113+G119</f>
        <v>73286643.01434797</v>
      </c>
      <c r="H120" s="4" t="s">
        <v>408</v>
      </c>
      <c r="I120" s="30"/>
      <c r="J120" s="31"/>
      <c r="K120" s="29"/>
      <c r="M120" s="54" t="s">
        <v>464</v>
      </c>
    </row>
    <row r="121" spans="2:15" x14ac:dyDescent="0.35">
      <c r="I121" s="38"/>
    </row>
    <row r="122" spans="2:15" x14ac:dyDescent="0.35">
      <c r="B122" s="77"/>
      <c r="C122" s="77"/>
      <c r="D122" s="727" t="s">
        <v>78</v>
      </c>
      <c r="E122" s="727"/>
      <c r="F122" s="222" t="s">
        <v>80</v>
      </c>
      <c r="G122" s="727" t="s">
        <v>79</v>
      </c>
      <c r="H122" s="727"/>
      <c r="I122" s="728" t="s">
        <v>52</v>
      </c>
      <c r="J122" s="729"/>
      <c r="K122" s="730"/>
      <c r="L122" s="46"/>
      <c r="M122" s="46"/>
      <c r="N122" s="46"/>
      <c r="O122" s="27"/>
    </row>
    <row r="123" spans="2:15" ht="26.15" thickBot="1" x14ac:dyDescent="0.4">
      <c r="B123" s="79" t="s">
        <v>76</v>
      </c>
      <c r="C123" s="80" t="s">
        <v>77</v>
      </c>
      <c r="D123" s="81" t="s">
        <v>36</v>
      </c>
      <c r="E123" s="79" t="s">
        <v>1</v>
      </c>
      <c r="F123" s="79"/>
      <c r="G123" s="81" t="s">
        <v>36</v>
      </c>
      <c r="H123" s="82" t="s">
        <v>1</v>
      </c>
      <c r="I123" s="83" t="s">
        <v>34</v>
      </c>
      <c r="J123" s="84" t="s">
        <v>35</v>
      </c>
      <c r="K123" s="85" t="s">
        <v>1</v>
      </c>
      <c r="L123" s="42"/>
      <c r="M123" s="79" t="s">
        <v>120</v>
      </c>
      <c r="N123" s="79" t="s">
        <v>121</v>
      </c>
      <c r="O123" s="27"/>
    </row>
    <row r="124" spans="2:15" x14ac:dyDescent="0.35">
      <c r="B124" s="52" t="s">
        <v>538</v>
      </c>
      <c r="I124" s="38"/>
    </row>
    <row r="125" spans="2:15" x14ac:dyDescent="0.35">
      <c r="B125" s="408" t="s">
        <v>531</v>
      </c>
      <c r="I125" s="30"/>
      <c r="J125" s="31"/>
      <c r="K125" s="29"/>
    </row>
    <row r="126" spans="2:15" ht="14.6" x14ac:dyDescent="0.45">
      <c r="B126" s="69" t="s">
        <v>316</v>
      </c>
      <c r="C126" s="47" t="s">
        <v>319</v>
      </c>
      <c r="D126" s="248">
        <v>5000</v>
      </c>
      <c r="E126" s="47" t="s">
        <v>494</v>
      </c>
      <c r="F126" s="387">
        <f>190.9/112.6</f>
        <v>1.6953818827708704</v>
      </c>
      <c r="G126" s="293">
        <f>D126*F126</f>
        <v>8476.9094138543514</v>
      </c>
      <c r="H126" s="47" t="s">
        <v>407</v>
      </c>
      <c r="I126" s="30"/>
      <c r="J126" s="31"/>
      <c r="K126" s="29"/>
      <c r="N126" s="4" t="s">
        <v>420</v>
      </c>
    </row>
    <row r="127" spans="2:15" ht="14.6" x14ac:dyDescent="0.45">
      <c r="B127" s="40" t="s">
        <v>317</v>
      </c>
      <c r="C127" s="245" t="s">
        <v>320</v>
      </c>
      <c r="D127" s="55">
        <f>D126*l_conv(D16,E16,"mi")</f>
        <v>397050.00000000006</v>
      </c>
      <c r="E127" s="4" t="s">
        <v>418</v>
      </c>
      <c r="G127" s="55">
        <f>G126*l_conv(D16,E16,"mi")</f>
        <v>673151.37655417412</v>
      </c>
      <c r="H127" s="4" t="s">
        <v>406</v>
      </c>
      <c r="I127" s="30"/>
      <c r="J127" s="31"/>
      <c r="K127" s="29"/>
      <c r="M127" s="46" t="s">
        <v>325</v>
      </c>
    </row>
    <row r="128" spans="2:15" x14ac:dyDescent="0.35">
      <c r="B128" s="66"/>
      <c r="D128" s="55"/>
      <c r="G128" s="55"/>
      <c r="I128" s="38"/>
    </row>
    <row r="129" spans="2:14" x14ac:dyDescent="0.35">
      <c r="B129" s="408" t="s">
        <v>532</v>
      </c>
      <c r="D129" s="55"/>
      <c r="G129" s="55"/>
      <c r="I129" s="38"/>
    </row>
    <row r="130" spans="2:14" ht="14.6" x14ac:dyDescent="0.45">
      <c r="B130" s="40" t="s">
        <v>318</v>
      </c>
      <c r="C130" s="4" t="s">
        <v>322</v>
      </c>
      <c r="D130" s="55"/>
      <c r="G130" s="55">
        <f>G109+G110+G119</f>
        <v>3229912.0105328369</v>
      </c>
      <c r="H130" s="4" t="s">
        <v>408</v>
      </c>
      <c r="I130" s="30"/>
      <c r="J130" s="31"/>
      <c r="K130" s="29"/>
      <c r="M130" s="4" t="s">
        <v>323</v>
      </c>
    </row>
    <row r="131" spans="2:14" ht="14.6" x14ac:dyDescent="0.45">
      <c r="B131" s="69" t="s">
        <v>31</v>
      </c>
      <c r="C131" s="47" t="s">
        <v>68</v>
      </c>
      <c r="D131" s="282"/>
      <c r="E131" s="47"/>
      <c r="F131" s="288"/>
      <c r="G131" s="224">
        <v>0.04</v>
      </c>
      <c r="H131" s="94"/>
      <c r="I131" s="30"/>
      <c r="J131" s="31"/>
      <c r="K131" s="29"/>
      <c r="N131" s="4" t="s">
        <v>198</v>
      </c>
    </row>
    <row r="132" spans="2:14" ht="14.6" x14ac:dyDescent="0.45">
      <c r="B132" s="40" t="s">
        <v>114</v>
      </c>
      <c r="C132" s="4" t="s">
        <v>321</v>
      </c>
      <c r="D132" s="43"/>
      <c r="G132" s="57">
        <f>G130*G131</f>
        <v>129196.48042131348</v>
      </c>
      <c r="H132" s="4" t="s">
        <v>406</v>
      </c>
      <c r="I132" s="30"/>
      <c r="J132" s="31"/>
      <c r="K132" s="29"/>
      <c r="M132" s="4" t="s">
        <v>326</v>
      </c>
    </row>
    <row r="133" spans="2:14" x14ac:dyDescent="0.35">
      <c r="D133" s="38"/>
      <c r="I133" s="38"/>
    </row>
    <row r="134" spans="2:14" x14ac:dyDescent="0.35">
      <c r="B134" s="408" t="s">
        <v>533</v>
      </c>
      <c r="I134" s="38"/>
    </row>
    <row r="135" spans="2:14" ht="27" customHeight="1" x14ac:dyDescent="0.45">
      <c r="B135" s="40" t="s">
        <v>119</v>
      </c>
      <c r="C135" s="4" t="s">
        <v>118</v>
      </c>
      <c r="D135" s="55">
        <f>D27*8760*n_pumps*pump_power/ 1000</f>
        <v>9619.1843688271183</v>
      </c>
      <c r="E135" s="4" t="s">
        <v>72</v>
      </c>
      <c r="I135" s="30"/>
      <c r="J135" s="31"/>
      <c r="K135" s="29"/>
      <c r="M135" s="1" t="s">
        <v>482</v>
      </c>
    </row>
    <row r="136" spans="2:14" ht="14.6" x14ac:dyDescent="0.45">
      <c r="B136" s="69" t="s">
        <v>73</v>
      </c>
      <c r="C136" s="47" t="s">
        <v>143</v>
      </c>
      <c r="D136" s="181">
        <v>102.3</v>
      </c>
      <c r="E136" s="47" t="s">
        <v>405</v>
      </c>
      <c r="F136" s="288"/>
      <c r="G136" s="47"/>
      <c r="H136" s="94"/>
      <c r="I136" s="30">
        <v>40</v>
      </c>
      <c r="J136" s="31">
        <v>110</v>
      </c>
      <c r="K136" s="29" t="s">
        <v>53</v>
      </c>
      <c r="N136" s="4" t="s">
        <v>273</v>
      </c>
    </row>
    <row r="137" spans="2:14" ht="15" thickBot="1" x14ac:dyDescent="0.5">
      <c r="B137" s="41" t="s">
        <v>74</v>
      </c>
      <c r="C137" s="42" t="s">
        <v>144</v>
      </c>
      <c r="D137" s="230">
        <f>D135*D136</f>
        <v>984042.56093101413</v>
      </c>
      <c r="E137" s="42" t="s">
        <v>406</v>
      </c>
      <c r="F137" s="294">
        <v>1</v>
      </c>
      <c r="G137" s="95">
        <f>D137*F137</f>
        <v>984042.56093101413</v>
      </c>
      <c r="H137" s="42" t="s">
        <v>406</v>
      </c>
      <c r="I137" s="30"/>
      <c r="J137" s="31"/>
      <c r="K137" s="29"/>
      <c r="M137" s="4" t="s">
        <v>145</v>
      </c>
    </row>
    <row r="138" spans="2:14" ht="14.6" x14ac:dyDescent="0.45">
      <c r="B138" s="409" t="s">
        <v>534</v>
      </c>
      <c r="C138" s="54" t="s">
        <v>142</v>
      </c>
      <c r="D138" s="43"/>
      <c r="G138" s="43">
        <f>G127+G132+G137</f>
        <v>1786390.4179065018</v>
      </c>
      <c r="H138" s="4" t="s">
        <v>406</v>
      </c>
      <c r="I138" s="30"/>
      <c r="J138" s="31"/>
      <c r="K138" s="29"/>
      <c r="M138" s="4" t="s">
        <v>146</v>
      </c>
    </row>
    <row r="140" spans="2:14" x14ac:dyDescent="0.35">
      <c r="D140" s="38"/>
    </row>
    <row r="141" spans="2:14" x14ac:dyDescent="0.35">
      <c r="B141" s="52" t="s">
        <v>552</v>
      </c>
    </row>
    <row r="142" spans="2:14" ht="30" customHeight="1" x14ac:dyDescent="0.35">
      <c r="B142" s="726" t="s">
        <v>209</v>
      </c>
      <c r="C142" s="732"/>
      <c r="D142" s="732"/>
      <c r="E142" s="732"/>
      <c r="F142" s="732"/>
      <c r="G142" s="732"/>
      <c r="H142" s="732"/>
      <c r="I142" s="732"/>
      <c r="J142" s="732"/>
      <c r="K142" s="732"/>
    </row>
    <row r="143" spans="2:14" ht="30" customHeight="1" x14ac:dyDescent="0.35">
      <c r="B143" s="726" t="s">
        <v>193</v>
      </c>
      <c r="C143" s="726"/>
      <c r="D143" s="726"/>
      <c r="E143" s="726"/>
      <c r="F143" s="726"/>
      <c r="G143" s="726"/>
      <c r="H143" s="726"/>
      <c r="I143" s="726"/>
      <c r="J143" s="726"/>
      <c r="K143" s="726"/>
    </row>
    <row r="144" spans="2:14" ht="29.25" customHeight="1" x14ac:dyDescent="0.35">
      <c r="B144" s="726" t="s">
        <v>222</v>
      </c>
      <c r="C144" s="726"/>
      <c r="D144" s="726"/>
      <c r="E144" s="726"/>
      <c r="F144" s="726"/>
      <c r="G144" s="726"/>
      <c r="H144" s="726"/>
      <c r="I144" s="726"/>
      <c r="J144" s="726"/>
      <c r="K144" s="726"/>
    </row>
    <row r="145" spans="2:11" ht="29.25" customHeight="1" x14ac:dyDescent="0.35">
      <c r="B145" s="726" t="s">
        <v>196</v>
      </c>
      <c r="C145" s="726"/>
      <c r="D145" s="726"/>
      <c r="E145" s="726"/>
      <c r="F145" s="726"/>
      <c r="G145" s="726"/>
      <c r="H145" s="726"/>
      <c r="I145" s="726"/>
      <c r="J145" s="726"/>
      <c r="K145" s="726"/>
    </row>
    <row r="146" spans="2:11" ht="30.75" customHeight="1" x14ac:dyDescent="0.35">
      <c r="B146" s="726" t="s">
        <v>192</v>
      </c>
      <c r="C146" s="726"/>
      <c r="D146" s="726"/>
      <c r="E146" s="726"/>
      <c r="F146" s="726"/>
      <c r="G146" s="726"/>
      <c r="H146" s="726"/>
      <c r="I146" s="726"/>
      <c r="J146" s="726"/>
      <c r="K146" s="726"/>
    </row>
    <row r="147" spans="2:11" ht="42" customHeight="1" x14ac:dyDescent="0.35">
      <c r="B147" s="726" t="s">
        <v>194</v>
      </c>
      <c r="C147" s="726"/>
      <c r="D147" s="726"/>
      <c r="E147" s="726"/>
      <c r="F147" s="726"/>
      <c r="G147" s="726"/>
      <c r="H147" s="726"/>
      <c r="I147" s="726"/>
      <c r="J147" s="726"/>
      <c r="K147" s="726"/>
    </row>
    <row r="148" spans="2:11" ht="29.25" customHeight="1" x14ac:dyDescent="0.35">
      <c r="B148" s="726" t="s">
        <v>481</v>
      </c>
      <c r="C148" s="726"/>
      <c r="D148" s="726"/>
      <c r="E148" s="726"/>
      <c r="F148" s="726"/>
      <c r="G148" s="726"/>
      <c r="H148" s="726"/>
      <c r="I148" s="726"/>
      <c r="J148" s="726"/>
      <c r="K148" s="726"/>
    </row>
    <row r="149" spans="2:11" ht="28.5" customHeight="1" x14ac:dyDescent="0.35">
      <c r="B149" s="726" t="s">
        <v>195</v>
      </c>
      <c r="C149" s="726"/>
      <c r="D149" s="726"/>
      <c r="E149" s="726"/>
      <c r="F149" s="726"/>
      <c r="G149" s="726"/>
      <c r="H149" s="726"/>
      <c r="I149" s="726"/>
      <c r="J149" s="726"/>
      <c r="K149" s="726"/>
    </row>
    <row r="150" spans="2:11" ht="25.5" customHeight="1" x14ac:dyDescent="0.35">
      <c r="B150" s="726" t="s">
        <v>238</v>
      </c>
      <c r="C150" s="726"/>
      <c r="D150" s="726"/>
      <c r="E150" s="726"/>
      <c r="F150" s="726"/>
      <c r="G150" s="726"/>
      <c r="H150" s="726"/>
      <c r="I150" s="726"/>
      <c r="J150" s="726"/>
      <c r="K150" s="726"/>
    </row>
    <row r="151" spans="2:11" ht="24.75" customHeight="1" x14ac:dyDescent="0.35">
      <c r="B151" s="726" t="s">
        <v>495</v>
      </c>
      <c r="C151" s="726"/>
      <c r="D151" s="726"/>
      <c r="E151" s="726"/>
      <c r="F151" s="726"/>
      <c r="G151" s="726"/>
      <c r="H151" s="726"/>
      <c r="I151" s="726"/>
      <c r="J151" s="726"/>
      <c r="K151" s="726"/>
    </row>
    <row r="152" spans="2:11" ht="24.75" customHeight="1" x14ac:dyDescent="0.35">
      <c r="B152" s="726" t="s">
        <v>327</v>
      </c>
      <c r="C152" s="726"/>
      <c r="D152" s="726"/>
      <c r="E152" s="726"/>
      <c r="F152" s="726"/>
      <c r="G152" s="726"/>
      <c r="H152" s="726"/>
      <c r="I152" s="726"/>
      <c r="J152" s="726"/>
      <c r="K152" s="726"/>
    </row>
    <row r="154" spans="2:11" x14ac:dyDescent="0.35">
      <c r="B154" s="725" t="s">
        <v>486</v>
      </c>
      <c r="C154" s="725"/>
      <c r="D154" s="725"/>
      <c r="E154" s="725"/>
      <c r="F154" s="725"/>
      <c r="G154" s="725"/>
      <c r="H154" s="725"/>
      <c r="I154" s="725"/>
      <c r="J154" s="725"/>
      <c r="K154" s="725"/>
    </row>
    <row r="155" spans="2:11" x14ac:dyDescent="0.35">
      <c r="B155" s="726" t="s">
        <v>491</v>
      </c>
      <c r="C155" s="726"/>
      <c r="D155" s="726"/>
      <c r="E155" s="726"/>
      <c r="F155" s="726"/>
      <c r="G155" s="726"/>
      <c r="H155" s="726"/>
      <c r="I155" s="726"/>
      <c r="J155" s="726"/>
      <c r="K155" s="726"/>
    </row>
    <row r="156" spans="2:11" x14ac:dyDescent="0.35">
      <c r="B156" s="724" t="s">
        <v>488</v>
      </c>
      <c r="C156" s="724"/>
      <c r="D156" s="724"/>
      <c r="E156" s="724"/>
      <c r="F156" s="724"/>
      <c r="G156" s="724"/>
      <c r="H156" s="724"/>
      <c r="I156" s="724"/>
      <c r="J156" s="724"/>
      <c r="K156" s="724"/>
    </row>
    <row r="157" spans="2:11" x14ac:dyDescent="0.35">
      <c r="B157" s="724" t="s">
        <v>489</v>
      </c>
      <c r="C157" s="724"/>
      <c r="D157" s="724"/>
      <c r="E157" s="724"/>
      <c r="F157" s="724"/>
      <c r="G157" s="724"/>
      <c r="H157" s="724"/>
      <c r="I157" s="724"/>
      <c r="J157" s="724"/>
      <c r="K157" s="724"/>
    </row>
    <row r="158" spans="2:11" x14ac:dyDescent="0.35">
      <c r="B158" s="724" t="s">
        <v>487</v>
      </c>
      <c r="C158" s="724"/>
      <c r="D158" s="724"/>
      <c r="E158" s="724"/>
      <c r="F158" s="724"/>
      <c r="G158" s="724"/>
      <c r="H158" s="724"/>
      <c r="I158" s="724"/>
      <c r="J158" s="724"/>
      <c r="K158" s="724"/>
    </row>
    <row r="159" spans="2:11" ht="27.75" customHeight="1" x14ac:dyDescent="0.35">
      <c r="B159" s="724" t="s">
        <v>490</v>
      </c>
      <c r="C159" s="724"/>
      <c r="D159" s="724"/>
      <c r="E159" s="724"/>
      <c r="F159" s="724"/>
      <c r="G159" s="724"/>
      <c r="H159" s="724"/>
      <c r="I159" s="724"/>
      <c r="J159" s="724"/>
      <c r="K159" s="724"/>
    </row>
  </sheetData>
  <mergeCells count="30">
    <mergeCell ref="D122:E122"/>
    <mergeCell ref="G122:H122"/>
    <mergeCell ref="I122:K122"/>
    <mergeCell ref="B142:K142"/>
    <mergeCell ref="B150:K150"/>
    <mergeCell ref="B152:K152"/>
    <mergeCell ref="B145:K145"/>
    <mergeCell ref="B147:K147"/>
    <mergeCell ref="B146:K146"/>
    <mergeCell ref="B143:K143"/>
    <mergeCell ref="B144:K144"/>
    <mergeCell ref="B149:K149"/>
    <mergeCell ref="B148:K148"/>
    <mergeCell ref="B151:K151"/>
    <mergeCell ref="D53:E53"/>
    <mergeCell ref="G53:H53"/>
    <mergeCell ref="I53:K53"/>
    <mergeCell ref="D9:E9"/>
    <mergeCell ref="N51:S51"/>
    <mergeCell ref="I9:K9"/>
    <mergeCell ref="G9:H9"/>
    <mergeCell ref="D40:E40"/>
    <mergeCell ref="G40:H40"/>
    <mergeCell ref="I40:K40"/>
    <mergeCell ref="B156:K156"/>
    <mergeCell ref="B157:K157"/>
    <mergeCell ref="B158:K158"/>
    <mergeCell ref="B159:K159"/>
    <mergeCell ref="B154:K154"/>
    <mergeCell ref="B155:K155"/>
  </mergeCells>
  <dataValidations disablePrompts="1" count="5">
    <dataValidation type="list" allowBlank="1" showInputMessage="1" showErrorMessage="1" sqref="C63:C100 C56:C57">
      <formula1>$U$5:$U$9</formula1>
    </dataValidation>
    <dataValidation type="list" allowBlank="1" showInputMessage="1" showErrorMessage="1" sqref="E13">
      <formula1>$S$6:$S$7</formula1>
    </dataValidation>
    <dataValidation type="list" allowBlank="1" showInputMessage="1" showErrorMessage="1" sqref="E37">
      <formula1>$P$6:$P$9</formula1>
    </dataValidation>
    <dataValidation type="list" allowBlank="1" showInputMessage="1" showErrorMessage="1" sqref="E34:E36 E38">
      <formula1>$Q$6:$Q$9</formula1>
    </dataValidation>
    <dataValidation type="list" allowBlank="1" showInputMessage="1" showErrorMessage="1" sqref="K13 E13">
      <formula1>#REF!</formula1>
    </dataValidation>
  </dataValidations>
  <pageMargins left="0.7" right="0.7" top="0.75" bottom="0.75" header="0.3" footer="0.3"/>
  <pageSetup scale="80" pageOrder="overThenDown" orientation="landscape" r:id="rId1"/>
  <rowBreaks count="4" manualBreakCount="4">
    <brk id="39" min="1" max="14" man="1"/>
    <brk id="52" min="1" max="14" man="1"/>
    <brk id="121" min="1" max="14" man="1"/>
    <brk id="140" min="1" max="14"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63"/>
  <sheetViews>
    <sheetView view="pageBreakPreview" zoomScale="80" zoomScaleNormal="100" zoomScaleSheetLayoutView="80" workbookViewId="0"/>
  </sheetViews>
  <sheetFormatPr defaultColWidth="9.15234375" defaultRowHeight="12.9" x14ac:dyDescent="0.35"/>
  <cols>
    <col min="1" max="1" width="19" style="4" customWidth="1"/>
    <col min="2" max="14" width="11" style="4" customWidth="1"/>
    <col min="15" max="22" width="15.4609375" style="4" customWidth="1"/>
    <col min="23" max="16384" width="9.15234375" style="4"/>
  </cols>
  <sheetData>
    <row r="1" spans="1:14" x14ac:dyDescent="0.35">
      <c r="A1" s="52" t="s">
        <v>585</v>
      </c>
    </row>
    <row r="2" spans="1:14" x14ac:dyDescent="0.35">
      <c r="B2" s="52"/>
    </row>
    <row r="3" spans="1:14" x14ac:dyDescent="0.35">
      <c r="A3" s="299" t="s">
        <v>422</v>
      </c>
      <c r="B3" s="346"/>
      <c r="C3" s="346"/>
      <c r="D3" s="346"/>
      <c r="E3" s="346"/>
      <c r="F3" s="346"/>
      <c r="G3" s="346"/>
      <c r="H3" s="346"/>
      <c r="I3" s="346"/>
      <c r="J3" s="346"/>
      <c r="K3" s="346"/>
      <c r="L3" s="346"/>
      <c r="M3" s="346"/>
      <c r="N3" s="347"/>
    </row>
    <row r="4" spans="1:14" x14ac:dyDescent="0.35">
      <c r="A4" s="300" t="s">
        <v>423</v>
      </c>
      <c r="N4" s="348"/>
    </row>
    <row r="5" spans="1:14" x14ac:dyDescent="0.35">
      <c r="A5" s="300" t="s">
        <v>424</v>
      </c>
      <c r="N5" s="348"/>
    </row>
    <row r="6" spans="1:14" x14ac:dyDescent="0.35">
      <c r="A6" s="300" t="s">
        <v>425</v>
      </c>
      <c r="N6" s="348"/>
    </row>
    <row r="7" spans="1:14" x14ac:dyDescent="0.35">
      <c r="A7" s="733" t="s">
        <v>353</v>
      </c>
      <c r="B7" s="734"/>
      <c r="C7" s="734"/>
      <c r="D7" s="734"/>
      <c r="E7" s="734"/>
      <c r="F7" s="734"/>
      <c r="G7" s="734"/>
      <c r="H7" s="734"/>
      <c r="I7" s="734"/>
      <c r="J7" s="734"/>
      <c r="K7" s="734"/>
      <c r="L7" s="734"/>
      <c r="M7" s="734"/>
      <c r="N7" s="735"/>
    </row>
    <row r="8" spans="1:14" x14ac:dyDescent="0.35">
      <c r="A8" s="301" t="s">
        <v>354</v>
      </c>
      <c r="B8" s="302" t="s">
        <v>355</v>
      </c>
      <c r="C8" s="302" t="s">
        <v>356</v>
      </c>
      <c r="D8" s="302" t="s">
        <v>357</v>
      </c>
      <c r="E8" s="302" t="s">
        <v>358</v>
      </c>
      <c r="F8" s="302" t="s">
        <v>359</v>
      </c>
      <c r="G8" s="302" t="s">
        <v>360</v>
      </c>
      <c r="H8" s="302" t="s">
        <v>361</v>
      </c>
      <c r="I8" s="302" t="s">
        <v>362</v>
      </c>
      <c r="J8" s="302" t="s">
        <v>363</v>
      </c>
      <c r="K8" s="302" t="s">
        <v>364</v>
      </c>
      <c r="L8" s="302" t="s">
        <v>365</v>
      </c>
      <c r="M8" s="302" t="s">
        <v>366</v>
      </c>
      <c r="N8" s="302" t="s">
        <v>367</v>
      </c>
    </row>
    <row r="9" spans="1:14" x14ac:dyDescent="0.35">
      <c r="A9" s="303">
        <v>1997</v>
      </c>
      <c r="B9" s="304">
        <v>111.7</v>
      </c>
      <c r="C9" s="304">
        <v>112.2</v>
      </c>
      <c r="D9" s="304">
        <v>112.2</v>
      </c>
      <c r="E9" s="304">
        <v>111.9</v>
      </c>
      <c r="F9" s="304">
        <v>112.4</v>
      </c>
      <c r="G9" s="304">
        <v>112.5</v>
      </c>
      <c r="H9" s="304">
        <v>112.7</v>
      </c>
      <c r="I9" s="304">
        <v>112.8</v>
      </c>
      <c r="J9" s="304">
        <v>113.1</v>
      </c>
      <c r="K9" s="304">
        <v>113.4</v>
      </c>
      <c r="L9" s="304">
        <v>113.6</v>
      </c>
      <c r="M9" s="304">
        <v>113.7</v>
      </c>
      <c r="N9" s="304">
        <v>112.7</v>
      </c>
    </row>
    <row r="10" spans="1:14" x14ac:dyDescent="0.35">
      <c r="A10" s="303">
        <v>1998</v>
      </c>
      <c r="B10" s="305">
        <v>114</v>
      </c>
      <c r="C10" s="305">
        <v>113.9</v>
      </c>
      <c r="D10" s="305">
        <v>113.9</v>
      </c>
      <c r="E10" s="305">
        <v>114</v>
      </c>
      <c r="F10" s="305">
        <v>114.1</v>
      </c>
      <c r="G10" s="305">
        <v>113.9</v>
      </c>
      <c r="H10" s="305">
        <v>114</v>
      </c>
      <c r="I10" s="305">
        <v>113.9</v>
      </c>
      <c r="J10" s="305">
        <v>113.8</v>
      </c>
      <c r="K10" s="305">
        <v>113.1</v>
      </c>
      <c r="L10" s="305">
        <v>112.6</v>
      </c>
      <c r="M10" s="305">
        <v>112.5</v>
      </c>
      <c r="N10" s="305">
        <v>113.6</v>
      </c>
    </row>
    <row r="11" spans="1:14" x14ac:dyDescent="0.35">
      <c r="A11" s="303">
        <v>1999</v>
      </c>
      <c r="B11" s="304">
        <v>112</v>
      </c>
      <c r="C11" s="304">
        <v>111.4</v>
      </c>
      <c r="D11" s="304">
        <v>111.2</v>
      </c>
      <c r="E11" s="304">
        <v>111.1</v>
      </c>
      <c r="F11" s="304">
        <v>111.2</v>
      </c>
      <c r="G11" s="304">
        <v>112.6</v>
      </c>
      <c r="H11" s="304">
        <v>112.7</v>
      </c>
      <c r="I11" s="304">
        <v>112.7</v>
      </c>
      <c r="J11" s="304">
        <v>112.8</v>
      </c>
      <c r="K11" s="304">
        <v>113.7</v>
      </c>
      <c r="L11" s="304">
        <v>116.6</v>
      </c>
      <c r="M11" s="306">
        <v>116.7</v>
      </c>
      <c r="N11" s="307">
        <v>112.9</v>
      </c>
    </row>
    <row r="12" spans="1:14" x14ac:dyDescent="0.35">
      <c r="A12" s="303">
        <v>2000</v>
      </c>
      <c r="B12" s="305">
        <v>117.6</v>
      </c>
      <c r="C12" s="305">
        <v>118.1</v>
      </c>
      <c r="D12" s="305">
        <v>120.9</v>
      </c>
      <c r="E12" s="305">
        <v>121.4</v>
      </c>
      <c r="F12" s="305">
        <v>121.3</v>
      </c>
      <c r="G12" s="305">
        <v>122.3</v>
      </c>
      <c r="H12" s="305">
        <v>125.4</v>
      </c>
      <c r="I12" s="305">
        <v>123.8</v>
      </c>
      <c r="J12" s="305">
        <v>126.3</v>
      </c>
      <c r="K12" s="305">
        <v>126.8</v>
      </c>
      <c r="L12" s="305">
        <v>128</v>
      </c>
      <c r="M12" s="305">
        <v>127.2</v>
      </c>
      <c r="N12" s="307">
        <v>123.3</v>
      </c>
    </row>
    <row r="13" spans="1:14" x14ac:dyDescent="0.35">
      <c r="A13" s="303">
        <v>2001</v>
      </c>
      <c r="B13" s="304">
        <v>130.80000000000001</v>
      </c>
      <c r="C13" s="304">
        <v>136.19999999999999</v>
      </c>
      <c r="D13" s="304">
        <v>138.30000000000001</v>
      </c>
      <c r="E13" s="304">
        <v>140.80000000000001</v>
      </c>
      <c r="F13" s="304">
        <v>142</v>
      </c>
      <c r="G13" s="304">
        <v>144.1</v>
      </c>
      <c r="H13" s="304">
        <v>144.1</v>
      </c>
      <c r="I13" s="304">
        <v>147.30000000000001</v>
      </c>
      <c r="J13" s="304">
        <v>146.80000000000001</v>
      </c>
      <c r="K13" s="304">
        <v>147.30000000000001</v>
      </c>
      <c r="L13" s="304">
        <v>145.6</v>
      </c>
      <c r="M13" s="304">
        <v>146</v>
      </c>
      <c r="N13" s="304">
        <v>142.4</v>
      </c>
    </row>
    <row r="14" spans="1:14" x14ac:dyDescent="0.35">
      <c r="A14" s="303">
        <v>2002</v>
      </c>
      <c r="B14" s="305">
        <v>143.5</v>
      </c>
      <c r="C14" s="305">
        <v>140.4</v>
      </c>
      <c r="D14" s="305">
        <v>137.5</v>
      </c>
      <c r="E14" s="305">
        <v>138.80000000000001</v>
      </c>
      <c r="F14" s="305">
        <v>137.4</v>
      </c>
      <c r="G14" s="305">
        <v>137.30000000000001</v>
      </c>
      <c r="H14" s="305">
        <v>136.5</v>
      </c>
      <c r="I14" s="305">
        <v>136</v>
      </c>
      <c r="J14" s="305">
        <v>135.9</v>
      </c>
      <c r="K14" s="305">
        <v>135</v>
      </c>
      <c r="L14" s="305">
        <v>134.1</v>
      </c>
      <c r="M14" s="305">
        <v>135.80000000000001</v>
      </c>
      <c r="N14" s="305">
        <v>137.4</v>
      </c>
    </row>
    <row r="15" spans="1:14" x14ac:dyDescent="0.35">
      <c r="A15" s="303">
        <v>2003</v>
      </c>
      <c r="B15" s="304">
        <v>135.30000000000001</v>
      </c>
      <c r="C15" s="304">
        <v>134.9</v>
      </c>
      <c r="D15" s="304">
        <v>135.19999999999999</v>
      </c>
      <c r="E15" s="304">
        <v>133.5</v>
      </c>
      <c r="F15" s="304">
        <v>132.1</v>
      </c>
      <c r="G15" s="304">
        <v>134.1</v>
      </c>
      <c r="H15" s="304">
        <v>134.19999999999999</v>
      </c>
      <c r="I15" s="304">
        <v>136.80000000000001</v>
      </c>
      <c r="J15" s="304">
        <v>137.30000000000001</v>
      </c>
      <c r="K15" s="304">
        <v>136.1</v>
      </c>
      <c r="L15" s="304">
        <v>139.30000000000001</v>
      </c>
      <c r="M15" s="304">
        <v>138.5</v>
      </c>
      <c r="N15" s="304">
        <v>135.6</v>
      </c>
    </row>
    <row r="16" spans="1:14" x14ac:dyDescent="0.35">
      <c r="A16" s="303">
        <v>2004</v>
      </c>
      <c r="B16" s="305">
        <v>140.4</v>
      </c>
      <c r="C16" s="305">
        <v>139</v>
      </c>
      <c r="D16" s="305">
        <v>139</v>
      </c>
      <c r="E16" s="305">
        <v>139.1</v>
      </c>
      <c r="F16" s="305">
        <v>139.6</v>
      </c>
      <c r="G16" s="305">
        <v>139.6</v>
      </c>
      <c r="H16" s="305">
        <v>141.30000000000001</v>
      </c>
      <c r="I16" s="305">
        <v>142.69999999999999</v>
      </c>
      <c r="J16" s="305">
        <v>142.9</v>
      </c>
      <c r="K16" s="305">
        <v>143.69999999999999</v>
      </c>
      <c r="L16" s="307">
        <v>147.1</v>
      </c>
      <c r="M16" s="305">
        <v>147.19999999999999</v>
      </c>
      <c r="N16" s="305">
        <v>141.80000000000001</v>
      </c>
    </row>
    <row r="17" spans="1:14" x14ac:dyDescent="0.35">
      <c r="A17" s="303">
        <v>2005</v>
      </c>
      <c r="B17" s="304">
        <v>148</v>
      </c>
      <c r="C17" s="304">
        <v>157.19999999999999</v>
      </c>
      <c r="D17" s="304">
        <v>157.19999999999999</v>
      </c>
      <c r="E17" s="304">
        <v>154.5</v>
      </c>
      <c r="F17" s="304">
        <v>155.4</v>
      </c>
      <c r="G17" s="304">
        <v>160.30000000000001</v>
      </c>
      <c r="H17" s="304">
        <v>160.4</v>
      </c>
      <c r="I17" s="304">
        <v>162.30000000000001</v>
      </c>
      <c r="J17" s="304">
        <v>166.8</v>
      </c>
      <c r="K17" s="304">
        <v>169</v>
      </c>
      <c r="L17" s="304">
        <v>170.3</v>
      </c>
      <c r="M17" s="304">
        <v>173.8</v>
      </c>
      <c r="N17" s="304">
        <v>161.30000000000001</v>
      </c>
    </row>
    <row r="18" spans="1:14" x14ac:dyDescent="0.35">
      <c r="A18" s="303">
        <v>2006</v>
      </c>
      <c r="B18" s="305">
        <v>176.6</v>
      </c>
      <c r="C18" s="305">
        <v>179.2</v>
      </c>
      <c r="D18" s="305">
        <v>183.5</v>
      </c>
      <c r="E18" s="305">
        <v>183.9</v>
      </c>
      <c r="F18" s="305">
        <v>184.7</v>
      </c>
      <c r="G18" s="305">
        <v>187.7</v>
      </c>
      <c r="H18" s="305">
        <v>190.7</v>
      </c>
      <c r="I18" s="305">
        <v>191.3</v>
      </c>
      <c r="J18" s="305">
        <v>192</v>
      </c>
      <c r="K18" s="305">
        <v>193.2</v>
      </c>
      <c r="L18" s="305">
        <v>194</v>
      </c>
      <c r="M18" s="305">
        <v>193.9</v>
      </c>
      <c r="N18" s="305">
        <v>187.6</v>
      </c>
    </row>
    <row r="19" spans="1:14" x14ac:dyDescent="0.35">
      <c r="A19" s="303">
        <v>2007</v>
      </c>
      <c r="B19" s="304">
        <v>194.4</v>
      </c>
      <c r="C19" s="304">
        <v>194.2</v>
      </c>
      <c r="D19" s="304">
        <v>194.2</v>
      </c>
      <c r="E19" s="304">
        <v>194.8</v>
      </c>
      <c r="F19" s="304">
        <v>195.1</v>
      </c>
      <c r="G19" s="307">
        <v>194.9</v>
      </c>
      <c r="H19" s="304">
        <v>194.4</v>
      </c>
      <c r="I19" s="304">
        <v>194.3</v>
      </c>
      <c r="J19" s="304">
        <v>194.1</v>
      </c>
      <c r="K19" s="304">
        <v>193.7</v>
      </c>
      <c r="L19" s="304">
        <v>194</v>
      </c>
      <c r="M19" s="304">
        <v>194</v>
      </c>
      <c r="N19" s="304">
        <v>194.3</v>
      </c>
    </row>
    <row r="20" spans="1:14" x14ac:dyDescent="0.35">
      <c r="A20" s="303">
        <v>2008</v>
      </c>
      <c r="B20" s="305">
        <v>193.5</v>
      </c>
      <c r="C20" s="305">
        <v>195.9</v>
      </c>
      <c r="D20" s="305">
        <v>195.4</v>
      </c>
      <c r="E20" s="305">
        <v>195.5</v>
      </c>
      <c r="F20" s="305">
        <v>196</v>
      </c>
      <c r="G20" s="305">
        <v>196.3</v>
      </c>
      <c r="H20" s="305">
        <v>197.1</v>
      </c>
      <c r="I20" s="305">
        <v>197.6</v>
      </c>
      <c r="J20" s="305">
        <v>197.7</v>
      </c>
      <c r="K20" s="305">
        <v>199</v>
      </c>
      <c r="L20" s="305">
        <v>200</v>
      </c>
      <c r="M20" s="305">
        <v>198.4</v>
      </c>
      <c r="N20" s="307">
        <v>196.9</v>
      </c>
    </row>
    <row r="21" spans="1:14" x14ac:dyDescent="0.35">
      <c r="A21" s="303">
        <v>2009</v>
      </c>
      <c r="B21" s="305">
        <v>195.8</v>
      </c>
      <c r="C21" s="305">
        <v>194.3</v>
      </c>
      <c r="D21" s="305">
        <v>188.4</v>
      </c>
      <c r="E21" s="305">
        <v>184.4</v>
      </c>
      <c r="F21" s="305">
        <v>181.4</v>
      </c>
      <c r="G21" s="305">
        <v>177.7</v>
      </c>
      <c r="H21" s="305">
        <v>177.4</v>
      </c>
      <c r="I21" s="305">
        <v>176.5</v>
      </c>
      <c r="J21" s="305">
        <v>176</v>
      </c>
      <c r="K21" s="305">
        <v>175.8</v>
      </c>
      <c r="L21" s="305">
        <v>174.9</v>
      </c>
      <c r="M21" s="305">
        <v>175.1</v>
      </c>
      <c r="N21" s="307">
        <v>181.5</v>
      </c>
    </row>
    <row r="22" spans="1:14" x14ac:dyDescent="0.35">
      <c r="A22" s="303">
        <v>2010</v>
      </c>
      <c r="B22" s="305">
        <v>175.5</v>
      </c>
      <c r="C22" s="305">
        <v>175.5</v>
      </c>
      <c r="D22" s="305">
        <v>177</v>
      </c>
      <c r="E22" s="305">
        <v>177.8</v>
      </c>
      <c r="F22" s="305">
        <v>178.1</v>
      </c>
      <c r="G22" s="305">
        <v>179</v>
      </c>
      <c r="H22" s="305">
        <v>179.3</v>
      </c>
      <c r="I22" s="305">
        <v>177.9</v>
      </c>
      <c r="J22" s="305">
        <v>178.4</v>
      </c>
      <c r="K22" s="305">
        <v>181.4</v>
      </c>
      <c r="L22" s="305">
        <v>178</v>
      </c>
      <c r="M22" s="305">
        <v>181.8</v>
      </c>
      <c r="N22" s="307">
        <v>178.3</v>
      </c>
    </row>
    <row r="23" spans="1:14" x14ac:dyDescent="0.35">
      <c r="A23" s="303">
        <v>2011</v>
      </c>
      <c r="B23" s="305">
        <v>182.6</v>
      </c>
      <c r="C23" s="305">
        <v>186</v>
      </c>
      <c r="D23" s="305">
        <v>183.3</v>
      </c>
      <c r="E23" s="305">
        <v>187.7</v>
      </c>
      <c r="F23" s="305">
        <v>189.9</v>
      </c>
      <c r="G23" s="308">
        <v>190.9</v>
      </c>
      <c r="H23" s="305">
        <v>192.8</v>
      </c>
      <c r="I23" s="305">
        <v>191.2</v>
      </c>
      <c r="J23" s="305">
        <v>192.2</v>
      </c>
      <c r="K23" s="305">
        <v>195.3</v>
      </c>
      <c r="L23" s="305">
        <v>200.9</v>
      </c>
      <c r="M23" s="309">
        <v>200.9</v>
      </c>
      <c r="N23" s="309">
        <f>AVERAGE(B23:M23)</f>
        <v>191.14166666666668</v>
      </c>
    </row>
    <row r="24" spans="1:14" ht="13.3" thickBot="1" x14ac:dyDescent="0.4"/>
    <row r="25" spans="1:14" x14ac:dyDescent="0.35">
      <c r="A25" s="349" t="s">
        <v>369</v>
      </c>
      <c r="B25" s="350"/>
      <c r="G25" s="49"/>
    </row>
    <row r="26" spans="1:14" x14ac:dyDescent="0.35">
      <c r="A26" s="351" t="s">
        <v>370</v>
      </c>
      <c r="B26" s="218"/>
      <c r="G26" s="310"/>
    </row>
    <row r="27" spans="1:14" x14ac:dyDescent="0.35">
      <c r="A27" s="352">
        <v>1998</v>
      </c>
      <c r="B27" s="353">
        <v>85.507249999999999</v>
      </c>
      <c r="G27" s="310"/>
    </row>
    <row r="28" spans="1:14" x14ac:dyDescent="0.35">
      <c r="A28" s="352">
        <v>1999</v>
      </c>
      <c r="B28" s="353">
        <v>86.765250000000009</v>
      </c>
      <c r="G28" s="310"/>
    </row>
    <row r="29" spans="1:14" x14ac:dyDescent="0.35">
      <c r="A29" s="354">
        <v>2000</v>
      </c>
      <c r="B29" s="355">
        <v>88.647999999999996</v>
      </c>
      <c r="G29" s="310"/>
    </row>
    <row r="30" spans="1:14" x14ac:dyDescent="0.35">
      <c r="A30" s="352">
        <v>2001</v>
      </c>
      <c r="B30" s="353">
        <v>90.653750000000002</v>
      </c>
      <c r="G30" s="310"/>
    </row>
    <row r="31" spans="1:14" x14ac:dyDescent="0.35">
      <c r="A31" s="352">
        <v>2002</v>
      </c>
      <c r="B31" s="353">
        <v>92.113</v>
      </c>
      <c r="G31" s="310"/>
    </row>
    <row r="32" spans="1:14" x14ac:dyDescent="0.35">
      <c r="A32" s="352">
        <v>2003</v>
      </c>
      <c r="B32" s="353">
        <v>94.099500000000006</v>
      </c>
      <c r="G32" s="310"/>
    </row>
    <row r="33" spans="1:7" x14ac:dyDescent="0.35">
      <c r="A33" s="352">
        <v>2004</v>
      </c>
      <c r="B33" s="353">
        <v>96.768750000000011</v>
      </c>
      <c r="G33" s="310"/>
    </row>
    <row r="34" spans="1:7" x14ac:dyDescent="0.35">
      <c r="A34" s="352">
        <v>2005</v>
      </c>
      <c r="B34" s="353">
        <v>100.00024999999999</v>
      </c>
      <c r="G34" s="310"/>
    </row>
    <row r="35" spans="1:7" x14ac:dyDescent="0.35">
      <c r="A35" s="352">
        <v>2006</v>
      </c>
      <c r="B35" s="353">
        <v>103.26274999999998</v>
      </c>
      <c r="G35" s="310"/>
    </row>
    <row r="36" spans="1:7" x14ac:dyDescent="0.35">
      <c r="A36" s="356">
        <v>39234</v>
      </c>
      <c r="B36" s="355">
        <v>106.46</v>
      </c>
      <c r="G36" s="310"/>
    </row>
    <row r="37" spans="1:7" x14ac:dyDescent="0.35">
      <c r="A37" s="354">
        <v>2008</v>
      </c>
      <c r="B37" s="355">
        <v>108.48075</v>
      </c>
      <c r="G37" s="310"/>
    </row>
    <row r="38" spans="1:7" x14ac:dyDescent="0.35">
      <c r="A38" s="352">
        <f t="shared" ref="A38" si="0">1+A37</f>
        <v>2009</v>
      </c>
      <c r="B38" s="353">
        <v>109.706</v>
      </c>
    </row>
    <row r="39" spans="1:7" ht="13.3" thickBot="1" x14ac:dyDescent="0.4">
      <c r="A39" s="357">
        <v>40725</v>
      </c>
      <c r="B39" s="358">
        <v>113.79600000000001</v>
      </c>
    </row>
    <row r="40" spans="1:7" ht="13.3" thickBot="1" x14ac:dyDescent="0.4"/>
    <row r="41" spans="1:7" x14ac:dyDescent="0.35">
      <c r="A41" s="5" t="s">
        <v>368</v>
      </c>
      <c r="B41" s="6"/>
      <c r="C41" s="359"/>
      <c r="D41" s="8"/>
      <c r="E41" s="8"/>
    </row>
    <row r="42" spans="1:7" x14ac:dyDescent="0.35">
      <c r="A42" s="351"/>
      <c r="B42" s="46"/>
      <c r="C42" s="46"/>
      <c r="D42" s="218"/>
      <c r="E42" s="218"/>
    </row>
    <row r="43" spans="1:7" x14ac:dyDescent="0.35">
      <c r="A43" s="360"/>
      <c r="B43" s="361">
        <v>2000</v>
      </c>
      <c r="C43" s="361">
        <v>2005</v>
      </c>
      <c r="D43" s="362" t="s">
        <v>371</v>
      </c>
      <c r="E43" s="363">
        <v>40603</v>
      </c>
    </row>
    <row r="44" spans="1:7" x14ac:dyDescent="0.35">
      <c r="A44" s="364" t="s">
        <v>372</v>
      </c>
      <c r="B44" s="46">
        <v>394.1</v>
      </c>
      <c r="C44" s="46">
        <v>468.2</v>
      </c>
      <c r="D44" s="218">
        <v>532.70000000000005</v>
      </c>
      <c r="E44" s="218">
        <v>575.9</v>
      </c>
    </row>
    <row r="45" spans="1:7" x14ac:dyDescent="0.35">
      <c r="A45" s="364" t="s">
        <v>373</v>
      </c>
      <c r="B45" s="46">
        <v>438</v>
      </c>
      <c r="C45" s="46">
        <v>543.70000000000005</v>
      </c>
      <c r="D45" s="218">
        <v>635.29999999999995</v>
      </c>
      <c r="E45" s="218">
        <v>698.7</v>
      </c>
    </row>
    <row r="46" spans="1:7" ht="25.75" x14ac:dyDescent="0.35">
      <c r="A46" s="365" t="s">
        <v>374</v>
      </c>
      <c r="B46" s="366">
        <v>370.6</v>
      </c>
      <c r="C46" s="366">
        <v>513.9</v>
      </c>
      <c r="D46" s="367">
        <v>607.79999999999995</v>
      </c>
      <c r="E46" s="368">
        <v>657.5</v>
      </c>
    </row>
    <row r="47" spans="1:7" x14ac:dyDescent="0.35">
      <c r="A47" s="364" t="s">
        <v>375</v>
      </c>
      <c r="B47" s="46">
        <v>439.4</v>
      </c>
      <c r="C47" s="46">
        <v>519.70000000000005</v>
      </c>
      <c r="D47" s="218">
        <v>604.70000000000005</v>
      </c>
      <c r="E47" s="218">
        <v>662.1</v>
      </c>
    </row>
    <row r="48" spans="1:7" x14ac:dyDescent="0.35">
      <c r="A48" s="364" t="s">
        <v>376</v>
      </c>
      <c r="B48" s="46">
        <v>545.9</v>
      </c>
      <c r="C48" s="46">
        <v>623.70000000000005</v>
      </c>
      <c r="D48" s="218">
        <v>740.8</v>
      </c>
      <c r="E48" s="218">
        <v>862.8</v>
      </c>
    </row>
    <row r="49" spans="1:12" x14ac:dyDescent="0.35">
      <c r="A49" s="365" t="s">
        <v>377</v>
      </c>
      <c r="B49" s="366">
        <v>368.5</v>
      </c>
      <c r="C49" s="366">
        <v>381.8</v>
      </c>
      <c r="D49" s="367">
        <v>433.7</v>
      </c>
      <c r="E49" s="368">
        <v>438.7</v>
      </c>
    </row>
    <row r="50" spans="1:12" ht="25.75" x14ac:dyDescent="0.35">
      <c r="A50" s="364" t="s">
        <v>378</v>
      </c>
      <c r="B50" s="46">
        <v>665.3</v>
      </c>
      <c r="C50" s="369">
        <v>752.5</v>
      </c>
      <c r="D50" s="218">
        <v>830.9</v>
      </c>
      <c r="E50" s="218">
        <v>898.5</v>
      </c>
    </row>
    <row r="51" spans="1:12" x14ac:dyDescent="0.35">
      <c r="A51" s="364" t="s">
        <v>379</v>
      </c>
      <c r="B51" s="46">
        <v>339.4</v>
      </c>
      <c r="C51" s="46">
        <v>372.1</v>
      </c>
      <c r="D51" s="218">
        <v>433.3</v>
      </c>
      <c r="E51" s="218">
        <v>499.4</v>
      </c>
    </row>
    <row r="52" spans="1:12" x14ac:dyDescent="0.35">
      <c r="A52" s="364" t="s">
        <v>380</v>
      </c>
      <c r="B52" s="46">
        <v>408.7</v>
      </c>
      <c r="C52" s="46">
        <v>584.79999999999995</v>
      </c>
      <c r="D52" s="218">
        <v>678.8</v>
      </c>
      <c r="E52" s="218">
        <v>738.6</v>
      </c>
      <c r="F52" s="46"/>
      <c r="G52" s="46"/>
      <c r="H52" s="48"/>
    </row>
    <row r="53" spans="1:12" x14ac:dyDescent="0.35">
      <c r="A53" s="364" t="s">
        <v>381</v>
      </c>
      <c r="B53" s="46">
        <v>299.2</v>
      </c>
      <c r="C53" s="46">
        <v>305.60000000000002</v>
      </c>
      <c r="D53" s="218">
        <v>315.2</v>
      </c>
      <c r="E53" s="218">
        <v>324.3</v>
      </c>
      <c r="F53" s="46"/>
      <c r="G53" s="46"/>
      <c r="H53" s="48"/>
    </row>
    <row r="54" spans="1:12" x14ac:dyDescent="0.35">
      <c r="A54" s="364" t="s">
        <v>382</v>
      </c>
      <c r="B54" s="46">
        <v>385.6</v>
      </c>
      <c r="C54" s="46">
        <v>445.1</v>
      </c>
      <c r="D54" s="218">
        <v>479.2</v>
      </c>
      <c r="E54" s="218">
        <v>514.20000000000005</v>
      </c>
      <c r="F54" s="46"/>
      <c r="G54" s="46"/>
      <c r="H54" s="48"/>
    </row>
    <row r="55" spans="1:12" ht="13.3" thickBot="1" x14ac:dyDescent="0.4">
      <c r="A55" s="370" t="s">
        <v>383</v>
      </c>
      <c r="B55" s="371">
        <v>340.6</v>
      </c>
      <c r="C55" s="371">
        <v>346.8</v>
      </c>
      <c r="D55" s="372">
        <v>356</v>
      </c>
      <c r="E55" s="372">
        <v>334.3</v>
      </c>
      <c r="F55" s="46"/>
      <c r="G55" s="46"/>
      <c r="H55" s="48"/>
    </row>
    <row r="56" spans="1:12" x14ac:dyDescent="0.35">
      <c r="A56" s="46"/>
      <c r="B56" s="46"/>
      <c r="C56" s="46"/>
      <c r="D56" s="46"/>
      <c r="E56" s="46"/>
      <c r="F56" s="46"/>
      <c r="G56" s="48"/>
    </row>
    <row r="57" spans="1:12" ht="13.3" thickBot="1" x14ac:dyDescent="0.4"/>
    <row r="58" spans="1:12" x14ac:dyDescent="0.35">
      <c r="A58" s="311" t="s">
        <v>384</v>
      </c>
      <c r="B58" s="312"/>
      <c r="C58" s="313"/>
      <c r="D58" s="313"/>
      <c r="E58" s="314"/>
      <c r="F58" s="315"/>
      <c r="G58" s="316"/>
      <c r="H58" s="315"/>
      <c r="I58" s="316"/>
      <c r="J58" s="315"/>
      <c r="K58" s="316"/>
      <c r="L58" s="4" t="s">
        <v>385</v>
      </c>
    </row>
    <row r="59" spans="1:12" x14ac:dyDescent="0.35">
      <c r="A59" s="317"/>
      <c r="B59" s="318">
        <v>1999</v>
      </c>
      <c r="C59" s="318">
        <v>1999</v>
      </c>
      <c r="D59" s="319">
        <v>2000</v>
      </c>
      <c r="E59" s="319">
        <v>2000</v>
      </c>
      <c r="F59" s="320">
        <v>2004</v>
      </c>
      <c r="G59" s="321">
        <v>2004</v>
      </c>
      <c r="H59" s="320">
        <v>2007</v>
      </c>
      <c r="I59" s="322">
        <v>2007</v>
      </c>
      <c r="J59" s="320">
        <v>2008</v>
      </c>
      <c r="K59" s="321">
        <v>2008</v>
      </c>
      <c r="L59" s="323">
        <v>2011</v>
      </c>
    </row>
    <row r="60" spans="1:12" ht="25.75" x14ac:dyDescent="0.35">
      <c r="A60" s="324" t="s">
        <v>386</v>
      </c>
      <c r="B60" s="325" t="s">
        <v>387</v>
      </c>
      <c r="C60" s="326" t="s">
        <v>388</v>
      </c>
      <c r="D60" s="327" t="s">
        <v>387</v>
      </c>
      <c r="E60" s="327" t="s">
        <v>388</v>
      </c>
      <c r="F60" s="328" t="s">
        <v>387</v>
      </c>
      <c r="G60" s="329" t="s">
        <v>388</v>
      </c>
      <c r="H60" s="328" t="s">
        <v>387</v>
      </c>
      <c r="I60" s="330" t="s">
        <v>388</v>
      </c>
      <c r="J60" s="328" t="s">
        <v>387</v>
      </c>
      <c r="K60" s="329" t="s">
        <v>388</v>
      </c>
      <c r="L60" s="331" t="s">
        <v>389</v>
      </c>
    </row>
    <row r="61" spans="1:12" x14ac:dyDescent="0.35">
      <c r="A61" s="373" t="s">
        <v>390</v>
      </c>
      <c r="B61" s="332">
        <v>479</v>
      </c>
      <c r="C61" s="333">
        <v>479</v>
      </c>
      <c r="D61" s="334">
        <v>481</v>
      </c>
      <c r="E61" s="334">
        <v>484</v>
      </c>
      <c r="F61" s="335">
        <v>501</v>
      </c>
      <c r="G61" s="336">
        <v>502</v>
      </c>
      <c r="H61" s="332">
        <v>557</v>
      </c>
      <c r="I61" s="337">
        <v>574.07397225650675</v>
      </c>
      <c r="J61" s="335">
        <v>580.54</v>
      </c>
      <c r="K61" s="336">
        <v>603</v>
      </c>
      <c r="L61" s="344">
        <v>656.34</v>
      </c>
    </row>
    <row r="62" spans="1:12" ht="25.75" x14ac:dyDescent="0.35">
      <c r="A62" s="373" t="s">
        <v>391</v>
      </c>
      <c r="B62" s="332">
        <v>266</v>
      </c>
      <c r="C62" s="333">
        <v>266</v>
      </c>
      <c r="D62" s="334">
        <v>270</v>
      </c>
      <c r="E62" s="334">
        <v>261</v>
      </c>
      <c r="F62" s="335">
        <v>257</v>
      </c>
      <c r="G62" s="336">
        <v>400</v>
      </c>
      <c r="H62" s="332">
        <v>525</v>
      </c>
      <c r="I62" s="337">
        <v>481.97044755664001</v>
      </c>
      <c r="J62" s="335">
        <v>502.01</v>
      </c>
      <c r="K62" s="336">
        <v>604</v>
      </c>
      <c r="L62" s="344">
        <v>525.11</v>
      </c>
    </row>
    <row r="63" spans="1:12" ht="13.3" thickBot="1" x14ac:dyDescent="0.4">
      <c r="A63" s="374" t="s">
        <v>392</v>
      </c>
      <c r="B63" s="338">
        <v>389</v>
      </c>
      <c r="C63" s="339">
        <v>389</v>
      </c>
      <c r="D63" s="340">
        <v>430</v>
      </c>
      <c r="E63" s="340">
        <v>427</v>
      </c>
      <c r="F63" s="341">
        <v>521</v>
      </c>
      <c r="G63" s="342">
        <v>576</v>
      </c>
      <c r="H63" s="338">
        <v>829</v>
      </c>
      <c r="I63" s="343">
        <v>838.93144954743013</v>
      </c>
      <c r="J63" s="341">
        <v>832.59</v>
      </c>
      <c r="K63" s="342">
        <v>1122</v>
      </c>
      <c r="L63" s="345">
        <v>1122.51</v>
      </c>
    </row>
  </sheetData>
  <mergeCells count="1">
    <mergeCell ref="A7:N7"/>
  </mergeCells>
  <pageMargins left="0.7" right="0.7" top="0.75" bottom="0.75" header="0.3" footer="0.3"/>
  <pageSetup scale="75" orientation="landscape" r:id="rId1"/>
  <rowBreaks count="1" manualBreakCount="1">
    <brk id="40"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T40"/>
  <sheetViews>
    <sheetView zoomScale="80" zoomScaleNormal="80" workbookViewId="0">
      <selection activeCell="B1" sqref="B1"/>
    </sheetView>
  </sheetViews>
  <sheetFormatPr defaultColWidth="9.15234375" defaultRowHeight="12.9" x14ac:dyDescent="0.35"/>
  <cols>
    <col min="1" max="1" width="1.69140625" style="4" customWidth="1"/>
    <col min="2" max="2" width="9.15234375" style="4"/>
    <col min="3" max="10" width="11" style="4" customWidth="1"/>
    <col min="11" max="11" width="1.4609375" style="4" customWidth="1"/>
    <col min="12" max="19" width="10.69140625" style="4" customWidth="1"/>
    <col min="20" max="20" width="12.3046875" style="4" customWidth="1"/>
    <col min="21" max="16384" width="9.15234375" style="4"/>
  </cols>
  <sheetData>
    <row r="2" spans="1:20" x14ac:dyDescent="0.35">
      <c r="B2" s="52" t="s">
        <v>584</v>
      </c>
    </row>
    <row r="3" spans="1:20" s="2" customFormat="1" ht="30" customHeight="1" x14ac:dyDescent="0.35">
      <c r="A3" s="63"/>
      <c r="B3" s="726" t="s">
        <v>50</v>
      </c>
      <c r="C3" s="726"/>
      <c r="D3" s="726"/>
      <c r="E3" s="726"/>
      <c r="F3" s="726"/>
      <c r="G3" s="726"/>
      <c r="H3" s="726"/>
      <c r="I3" s="726"/>
      <c r="J3" s="726"/>
      <c r="K3" s="1"/>
      <c r="L3" s="1"/>
      <c r="M3" s="1"/>
      <c r="N3" s="1"/>
      <c r="O3" s="1"/>
    </row>
    <row r="4" spans="1:20" ht="212.25" customHeight="1" x14ac:dyDescent="0.35">
      <c r="B4" s="726" t="s">
        <v>57</v>
      </c>
      <c r="C4" s="732"/>
      <c r="D4" s="732"/>
      <c r="E4" s="732"/>
      <c r="F4" s="732"/>
      <c r="G4" s="732"/>
      <c r="H4" s="732"/>
      <c r="I4" s="732"/>
      <c r="J4" s="732"/>
      <c r="K4" s="3"/>
      <c r="L4" s="3"/>
      <c r="M4" s="3"/>
      <c r="N4" s="3"/>
      <c r="O4" s="3"/>
    </row>
    <row r="6" spans="1:20" x14ac:dyDescent="0.35">
      <c r="B6" s="4" t="s">
        <v>51</v>
      </c>
    </row>
    <row r="7" spans="1:20" ht="13.3" thickBot="1" x14ac:dyDescent="0.4">
      <c r="B7" s="4" t="s">
        <v>46</v>
      </c>
    </row>
    <row r="8" spans="1:20" x14ac:dyDescent="0.35">
      <c r="B8" s="5"/>
      <c r="C8" s="6"/>
      <c r="D8" s="6"/>
      <c r="E8" s="744" t="s">
        <v>38</v>
      </c>
      <c r="F8" s="745"/>
      <c r="G8" s="745"/>
      <c r="H8" s="745"/>
      <c r="I8" s="745"/>
      <c r="J8" s="746"/>
      <c r="K8" s="7"/>
      <c r="L8" s="744" t="s">
        <v>47</v>
      </c>
      <c r="M8" s="745"/>
      <c r="N8" s="745"/>
      <c r="O8" s="745"/>
      <c r="P8" s="745"/>
      <c r="Q8" s="746"/>
      <c r="R8" s="5"/>
      <c r="S8" s="8"/>
      <c r="T8" s="740" t="s">
        <v>83</v>
      </c>
    </row>
    <row r="9" spans="1:20" ht="24.75" customHeight="1" x14ac:dyDescent="0.35">
      <c r="B9" s="736" t="s">
        <v>49</v>
      </c>
      <c r="C9" s="737" t="s">
        <v>39</v>
      </c>
      <c r="D9" s="747" t="s">
        <v>40</v>
      </c>
      <c r="E9" s="736" t="s">
        <v>41</v>
      </c>
      <c r="F9" s="737" t="s">
        <v>15</v>
      </c>
      <c r="G9" s="737" t="s">
        <v>274</v>
      </c>
      <c r="H9" s="737" t="s">
        <v>42</v>
      </c>
      <c r="I9" s="742" t="s">
        <v>45</v>
      </c>
      <c r="J9" s="743"/>
      <c r="K9" s="9"/>
      <c r="L9" s="736" t="s">
        <v>41</v>
      </c>
      <c r="M9" s="737" t="s">
        <v>15</v>
      </c>
      <c r="N9" s="737" t="s">
        <v>274</v>
      </c>
      <c r="O9" s="737" t="s">
        <v>42</v>
      </c>
      <c r="P9" s="742" t="s">
        <v>45</v>
      </c>
      <c r="Q9" s="743"/>
      <c r="R9" s="738" t="s">
        <v>48</v>
      </c>
      <c r="S9" s="739"/>
      <c r="T9" s="741"/>
    </row>
    <row r="10" spans="1:20" ht="24.75" customHeight="1" x14ac:dyDescent="0.35">
      <c r="B10" s="736"/>
      <c r="C10" s="737"/>
      <c r="D10" s="747"/>
      <c r="E10" s="736"/>
      <c r="F10" s="737"/>
      <c r="G10" s="737"/>
      <c r="H10" s="737"/>
      <c r="I10" s="10" t="s">
        <v>43</v>
      </c>
      <c r="J10" s="11" t="s">
        <v>44</v>
      </c>
      <c r="K10" s="9"/>
      <c r="L10" s="736"/>
      <c r="M10" s="737"/>
      <c r="N10" s="737"/>
      <c r="O10" s="737"/>
      <c r="P10" s="10" t="s">
        <v>43</v>
      </c>
      <c r="Q10" s="11" t="s">
        <v>44</v>
      </c>
      <c r="R10" s="12" t="s">
        <v>43</v>
      </c>
      <c r="S10" s="11" t="s">
        <v>44</v>
      </c>
      <c r="T10" s="741"/>
    </row>
    <row r="11" spans="1:20" x14ac:dyDescent="0.35">
      <c r="B11" s="12">
        <v>12.75</v>
      </c>
      <c r="C11" s="10">
        <v>70000</v>
      </c>
      <c r="D11" s="13">
        <v>0.6</v>
      </c>
      <c r="E11" s="12">
        <v>1000</v>
      </c>
      <c r="F11" s="10">
        <v>0.375</v>
      </c>
      <c r="G11" s="10">
        <v>12</v>
      </c>
      <c r="H11" s="10">
        <v>130</v>
      </c>
      <c r="I11" s="14">
        <f t="shared" ref="I11:I16" si="0">$H11*500</f>
        <v>65000</v>
      </c>
      <c r="J11" s="15">
        <f>$H11*900</f>
        <v>117000</v>
      </c>
      <c r="K11" s="9"/>
      <c r="L11" s="12">
        <v>2200</v>
      </c>
      <c r="M11" s="10">
        <v>0.375</v>
      </c>
      <c r="N11" s="10">
        <v>12</v>
      </c>
      <c r="O11" s="10">
        <v>130</v>
      </c>
      <c r="P11" s="10">
        <v>65000</v>
      </c>
      <c r="Q11" s="11">
        <v>117000</v>
      </c>
      <c r="R11" s="16">
        <f>P11/I11</f>
        <v>1</v>
      </c>
      <c r="S11" s="17">
        <f>Q11/J11</f>
        <v>1</v>
      </c>
      <c r="T11" s="59">
        <f>Pres_Fact(N11)</f>
        <v>1</v>
      </c>
    </row>
    <row r="12" spans="1:20" x14ac:dyDescent="0.35">
      <c r="B12" s="12">
        <v>16</v>
      </c>
      <c r="C12" s="10">
        <v>70000</v>
      </c>
      <c r="D12" s="13">
        <v>0.6</v>
      </c>
      <c r="E12" s="12">
        <v>1000</v>
      </c>
      <c r="F12" s="10">
        <v>0.375</v>
      </c>
      <c r="G12" s="10">
        <v>15.25</v>
      </c>
      <c r="H12" s="10">
        <v>165</v>
      </c>
      <c r="I12" s="14">
        <f t="shared" si="0"/>
        <v>82500</v>
      </c>
      <c r="J12" s="15">
        <f t="shared" ref="J12:J16" si="1">$H12*900</f>
        <v>148500</v>
      </c>
      <c r="K12" s="9"/>
      <c r="L12" s="12">
        <v>2200</v>
      </c>
      <c r="M12" s="10">
        <v>0.41899999999999998</v>
      </c>
      <c r="N12" s="10">
        <v>15.162000000000001</v>
      </c>
      <c r="O12" s="10">
        <v>184</v>
      </c>
      <c r="P12" s="10">
        <v>92000</v>
      </c>
      <c r="Q12" s="11">
        <v>165600</v>
      </c>
      <c r="R12" s="16">
        <f t="shared" ref="R12:R16" si="2">P12/I12</f>
        <v>1.1151515151515152</v>
      </c>
      <c r="S12" s="17">
        <f t="shared" ref="S12:S16" si="3">Q12/J12</f>
        <v>1.1151515151515152</v>
      </c>
      <c r="T12" s="59">
        <f t="shared" ref="T12:T16" si="4">Pres_Fact(N12)</f>
        <v>1.1200000000000001</v>
      </c>
    </row>
    <row r="13" spans="1:20" x14ac:dyDescent="0.35">
      <c r="B13" s="12">
        <v>24</v>
      </c>
      <c r="C13" s="10">
        <v>70000</v>
      </c>
      <c r="D13" s="13">
        <v>0.6</v>
      </c>
      <c r="E13" s="12">
        <v>1000</v>
      </c>
      <c r="F13" s="10">
        <v>0.5</v>
      </c>
      <c r="G13" s="10">
        <v>23</v>
      </c>
      <c r="H13" s="10">
        <v>330</v>
      </c>
      <c r="I13" s="14">
        <f t="shared" si="0"/>
        <v>165000</v>
      </c>
      <c r="J13" s="15">
        <f t="shared" si="1"/>
        <v>297000</v>
      </c>
      <c r="K13" s="9"/>
      <c r="L13" s="12">
        <v>2200</v>
      </c>
      <c r="M13" s="10">
        <v>0.629</v>
      </c>
      <c r="N13" s="10">
        <v>22.742000000000001</v>
      </c>
      <c r="O13" s="10">
        <v>413</v>
      </c>
      <c r="P13" s="10">
        <v>206500</v>
      </c>
      <c r="Q13" s="11">
        <v>371700</v>
      </c>
      <c r="R13" s="16">
        <f t="shared" si="2"/>
        <v>1.2515151515151515</v>
      </c>
      <c r="S13" s="17">
        <f t="shared" si="3"/>
        <v>1.2515151515151515</v>
      </c>
      <c r="T13" s="59">
        <f t="shared" si="4"/>
        <v>1.25</v>
      </c>
    </row>
    <row r="14" spans="1:20" x14ac:dyDescent="0.35">
      <c r="B14" s="12">
        <v>30</v>
      </c>
      <c r="C14" s="10">
        <v>70000</v>
      </c>
      <c r="D14" s="13">
        <v>0.6</v>
      </c>
      <c r="E14" s="12">
        <v>1000</v>
      </c>
      <c r="F14" s="10">
        <v>0.625</v>
      </c>
      <c r="G14" s="10">
        <v>28.75</v>
      </c>
      <c r="H14" s="10">
        <v>516</v>
      </c>
      <c r="I14" s="14">
        <f t="shared" si="0"/>
        <v>258000</v>
      </c>
      <c r="J14" s="15">
        <f t="shared" si="1"/>
        <v>464400</v>
      </c>
      <c r="K14" s="9"/>
      <c r="L14" s="12">
        <v>2200</v>
      </c>
      <c r="M14" s="10">
        <v>0.78600000000000003</v>
      </c>
      <c r="N14" s="10">
        <v>28.428000000000001</v>
      </c>
      <c r="O14" s="10">
        <v>645</v>
      </c>
      <c r="P14" s="10">
        <v>322500</v>
      </c>
      <c r="Q14" s="11">
        <v>580500</v>
      </c>
      <c r="R14" s="16">
        <f t="shared" si="2"/>
        <v>1.25</v>
      </c>
      <c r="S14" s="17">
        <f t="shared" si="3"/>
        <v>1.25</v>
      </c>
      <c r="T14" s="59">
        <f t="shared" si="4"/>
        <v>1.25</v>
      </c>
    </row>
    <row r="15" spans="1:20" x14ac:dyDescent="0.35">
      <c r="B15" s="12">
        <v>36</v>
      </c>
      <c r="C15" s="10">
        <v>70000</v>
      </c>
      <c r="D15" s="13">
        <v>0.6</v>
      </c>
      <c r="E15" s="12">
        <v>1000</v>
      </c>
      <c r="F15" s="10">
        <v>0.75</v>
      </c>
      <c r="G15" s="10">
        <v>34.5</v>
      </c>
      <c r="H15" s="10">
        <v>743</v>
      </c>
      <c r="I15" s="14">
        <f t="shared" si="0"/>
        <v>371500</v>
      </c>
      <c r="J15" s="15">
        <f t="shared" si="1"/>
        <v>668700</v>
      </c>
      <c r="K15" s="9"/>
      <c r="L15" s="12">
        <v>2200</v>
      </c>
      <c r="M15" s="10">
        <v>0.94299999999999995</v>
      </c>
      <c r="N15" s="10">
        <v>34.113999999999997</v>
      </c>
      <c r="O15" s="10">
        <v>926</v>
      </c>
      <c r="P15" s="10">
        <v>463000</v>
      </c>
      <c r="Q15" s="11">
        <v>833400</v>
      </c>
      <c r="R15" s="16">
        <f t="shared" si="2"/>
        <v>1.2462987886944819</v>
      </c>
      <c r="S15" s="17">
        <f t="shared" si="3"/>
        <v>1.2462987886944819</v>
      </c>
      <c r="T15" s="59">
        <f t="shared" si="4"/>
        <v>1.25</v>
      </c>
    </row>
    <row r="16" spans="1:20" ht="13.3" thickBot="1" x14ac:dyDescent="0.4">
      <c r="B16" s="18">
        <v>42</v>
      </c>
      <c r="C16" s="19">
        <v>70000</v>
      </c>
      <c r="D16" s="20">
        <v>0.6</v>
      </c>
      <c r="E16" s="18">
        <v>1000</v>
      </c>
      <c r="F16" s="19">
        <v>0.875</v>
      </c>
      <c r="G16" s="19">
        <v>40.25</v>
      </c>
      <c r="H16" s="19">
        <v>1012</v>
      </c>
      <c r="I16" s="21">
        <f t="shared" si="0"/>
        <v>506000</v>
      </c>
      <c r="J16" s="22">
        <f t="shared" si="1"/>
        <v>910800</v>
      </c>
      <c r="K16" s="23"/>
      <c r="L16" s="18">
        <v>2200</v>
      </c>
      <c r="M16" s="19">
        <v>1.1000000000000001</v>
      </c>
      <c r="N16" s="19">
        <v>39.799999999999997</v>
      </c>
      <c r="O16" s="19">
        <v>1265</v>
      </c>
      <c r="P16" s="19">
        <v>632500</v>
      </c>
      <c r="Q16" s="24">
        <v>1138500</v>
      </c>
      <c r="R16" s="25">
        <f t="shared" si="2"/>
        <v>1.25</v>
      </c>
      <c r="S16" s="26">
        <f t="shared" si="3"/>
        <v>1.25</v>
      </c>
      <c r="T16" s="60">
        <f t="shared" si="4"/>
        <v>1.25</v>
      </c>
    </row>
    <row r="22" spans="2:6" x14ac:dyDescent="0.35">
      <c r="B22" s="4" t="s">
        <v>289</v>
      </c>
    </row>
    <row r="23" spans="2:6" x14ac:dyDescent="0.35">
      <c r="B23" s="4" t="s">
        <v>290</v>
      </c>
      <c r="C23" s="4">
        <f>15.3</f>
        <v>15.3</v>
      </c>
      <c r="D23" s="4" t="s">
        <v>11</v>
      </c>
      <c r="E23" s="4" t="s">
        <v>291</v>
      </c>
    </row>
    <row r="24" spans="2:6" x14ac:dyDescent="0.35">
      <c r="C24" s="55">
        <f>C23*1000000</f>
        <v>15300000</v>
      </c>
      <c r="D24" s="4" t="s">
        <v>91</v>
      </c>
    </row>
    <row r="25" spans="2:6" x14ac:dyDescent="0.35">
      <c r="B25" s="4" t="s">
        <v>282</v>
      </c>
      <c r="C25" s="55">
        <v>483</v>
      </c>
      <c r="D25" s="4" t="s">
        <v>11</v>
      </c>
      <c r="E25" s="4" t="s">
        <v>292</v>
      </c>
    </row>
    <row r="26" spans="2:6" x14ac:dyDescent="0.35">
      <c r="C26" s="55">
        <f>C25*1000000</f>
        <v>483000000</v>
      </c>
      <c r="D26" s="4" t="s">
        <v>91</v>
      </c>
    </row>
    <row r="27" spans="2:6" x14ac:dyDescent="0.35">
      <c r="B27" s="4" t="s">
        <v>293</v>
      </c>
      <c r="C27" s="226">
        <v>1</v>
      </c>
      <c r="E27" s="4" t="s">
        <v>294</v>
      </c>
    </row>
    <row r="28" spans="2:6" x14ac:dyDescent="0.35">
      <c r="B28" s="4" t="s">
        <v>296</v>
      </c>
      <c r="C28" s="226">
        <v>0.72</v>
      </c>
      <c r="E28" s="4" t="s">
        <v>295</v>
      </c>
    </row>
    <row r="30" spans="2:6" ht="43.5" customHeight="1" x14ac:dyDescent="0.35">
      <c r="B30" s="228" t="s">
        <v>297</v>
      </c>
      <c r="C30" s="228" t="s">
        <v>297</v>
      </c>
      <c r="D30" s="228" t="s">
        <v>299</v>
      </c>
      <c r="E30" s="228" t="s">
        <v>299</v>
      </c>
      <c r="F30" s="228" t="s">
        <v>298</v>
      </c>
    </row>
    <row r="31" spans="2:6" x14ac:dyDescent="0.35">
      <c r="B31" s="229" t="s">
        <v>10</v>
      </c>
      <c r="C31" s="229" t="s">
        <v>7</v>
      </c>
      <c r="D31" s="229" t="s">
        <v>7</v>
      </c>
      <c r="E31" s="229" t="s">
        <v>10</v>
      </c>
      <c r="F31" s="229" t="s">
        <v>10</v>
      </c>
    </row>
    <row r="32" spans="2:6" x14ac:dyDescent="0.35">
      <c r="B32" s="227">
        <v>8.75</v>
      </c>
      <c r="C32" s="297">
        <f>l_conv(B32,$B$31,$C$31)</f>
        <v>0.22225</v>
      </c>
      <c r="D32" s="296">
        <f>C32*$C$24/(2*$C$26*$C$27*$C$28)</f>
        <v>4.8890398550724638E-3</v>
      </c>
      <c r="E32" s="298">
        <f>l_conv(D32,$D$31,$E$31)</f>
        <v>0.19248188405797101</v>
      </c>
      <c r="F32" s="298">
        <f>B32-2*E32</f>
        <v>8.3650362318840585</v>
      </c>
    </row>
    <row r="33" spans="2:8" x14ac:dyDescent="0.35">
      <c r="B33" s="227">
        <v>12.75</v>
      </c>
      <c r="C33" s="297">
        <f t="shared" ref="C33:C40" si="5">l_conv(B33,$B$31,$C$31)</f>
        <v>0.32384999999999997</v>
      </c>
      <c r="D33" s="296">
        <f t="shared" ref="D33:D40" si="6">C33*$C$24/(2*$C$26*$C$27*$C$28)</f>
        <v>7.1240295031055898E-3</v>
      </c>
      <c r="E33" s="298">
        <f>l_conv(D33,$D$31,$E$31)</f>
        <v>0.28047360248447206</v>
      </c>
      <c r="F33" s="298">
        <f t="shared" ref="F33:F40" si="7">B33-2*E33</f>
        <v>12.189052795031056</v>
      </c>
      <c r="G33" s="4">
        <v>12</v>
      </c>
    </row>
    <row r="34" spans="2:8" x14ac:dyDescent="0.35">
      <c r="B34" s="227">
        <v>16</v>
      </c>
      <c r="C34" s="297">
        <f t="shared" si="5"/>
        <v>0.40639999999999998</v>
      </c>
      <c r="D34" s="296">
        <f t="shared" si="6"/>
        <v>8.9399585921325058E-3</v>
      </c>
      <c r="E34" s="298">
        <f t="shared" ref="E34:E40" si="8">l_conv(D34,$D$31,$E$31)</f>
        <v>0.35196687370600416</v>
      </c>
      <c r="F34" s="298">
        <f t="shared" si="7"/>
        <v>15.296066252587991</v>
      </c>
      <c r="G34" s="4">
        <v>15.16</v>
      </c>
    </row>
    <row r="35" spans="2:8" x14ac:dyDescent="0.35">
      <c r="B35" s="227">
        <v>20</v>
      </c>
      <c r="C35" s="297">
        <f t="shared" ref="C35" si="9">l_conv(B35,$B$31,$C$31)</f>
        <v>0.50800000000000001</v>
      </c>
      <c r="D35" s="296">
        <f t="shared" ref="D35" si="10">C35*$C$24/(2*$C$26*$C$27*$C$28)</f>
        <v>1.1174948240165631E-2</v>
      </c>
      <c r="E35" s="298">
        <f t="shared" ref="E35" si="11">l_conv(D35,$D$31,$E$31)</f>
        <v>0.43995859213250516</v>
      </c>
      <c r="F35" s="298">
        <f t="shared" ref="F35" si="12">B35-2*E35</f>
        <v>19.120082815734989</v>
      </c>
    </row>
    <row r="36" spans="2:8" x14ac:dyDescent="0.35">
      <c r="B36" s="227">
        <v>24</v>
      </c>
      <c r="C36" s="297">
        <f t="shared" si="5"/>
        <v>0.60959999999999992</v>
      </c>
      <c r="D36" s="296">
        <f t="shared" si="6"/>
        <v>1.3409937888198754E-2</v>
      </c>
      <c r="E36" s="298">
        <f t="shared" si="8"/>
        <v>0.5279503105590061</v>
      </c>
      <c r="F36" s="298">
        <f t="shared" si="7"/>
        <v>22.944099378881987</v>
      </c>
      <c r="G36" s="4">
        <v>22.74</v>
      </c>
    </row>
    <row r="37" spans="2:8" x14ac:dyDescent="0.35">
      <c r="B37" s="227">
        <v>30</v>
      </c>
      <c r="C37" s="297">
        <f t="shared" si="5"/>
        <v>0.76200000000000001</v>
      </c>
      <c r="D37" s="296">
        <f t="shared" si="6"/>
        <v>1.6762422360248448E-2</v>
      </c>
      <c r="E37" s="298">
        <f t="shared" si="8"/>
        <v>0.65993788819875787</v>
      </c>
      <c r="F37" s="298">
        <f t="shared" si="7"/>
        <v>28.680124223602483</v>
      </c>
      <c r="G37" s="4">
        <v>28.43</v>
      </c>
    </row>
    <row r="38" spans="2:8" x14ac:dyDescent="0.35">
      <c r="B38" s="227">
        <v>36</v>
      </c>
      <c r="C38" s="297">
        <f t="shared" si="5"/>
        <v>0.91439999999999999</v>
      </c>
      <c r="D38" s="296">
        <f t="shared" si="6"/>
        <v>2.0114906832298135E-2</v>
      </c>
      <c r="E38" s="298">
        <f t="shared" si="8"/>
        <v>0.79192546583850931</v>
      </c>
      <c r="F38" s="298">
        <f t="shared" si="7"/>
        <v>34.41614906832298</v>
      </c>
      <c r="G38" s="4">
        <v>34.11</v>
      </c>
    </row>
    <row r="39" spans="2:8" x14ac:dyDescent="0.35">
      <c r="B39" s="227">
        <v>42</v>
      </c>
      <c r="C39" s="297">
        <f t="shared" si="5"/>
        <v>1.0668</v>
      </c>
      <c r="D39" s="296">
        <f t="shared" si="6"/>
        <v>2.3467391304347825E-2</v>
      </c>
      <c r="E39" s="298">
        <f t="shared" si="8"/>
        <v>0.92391304347826086</v>
      </c>
      <c r="F39" s="298">
        <f t="shared" si="7"/>
        <v>40.152173913043477</v>
      </c>
      <c r="G39" s="4">
        <v>39.799999999999997</v>
      </c>
      <c r="H39" s="39">
        <f>F39-G39</f>
        <v>0.35217391304347956</v>
      </c>
    </row>
    <row r="40" spans="2:8" x14ac:dyDescent="0.35">
      <c r="B40" s="227">
        <v>48</v>
      </c>
      <c r="C40" s="297">
        <f t="shared" si="5"/>
        <v>1.2191999999999998</v>
      </c>
      <c r="D40" s="296">
        <f t="shared" si="6"/>
        <v>2.6819875776397509E-2</v>
      </c>
      <c r="E40" s="298">
        <f t="shared" si="8"/>
        <v>1.0559006211180122</v>
      </c>
      <c r="F40" s="298">
        <f t="shared" si="7"/>
        <v>45.888198757763973</v>
      </c>
      <c r="H40" s="4">
        <f>45.89-0.35</f>
        <v>45.54</v>
      </c>
    </row>
  </sheetData>
  <mergeCells count="19">
    <mergeCell ref="T8:T10"/>
    <mergeCell ref="B9:B10"/>
    <mergeCell ref="B3:J3"/>
    <mergeCell ref="B4:J4"/>
    <mergeCell ref="P9:Q9"/>
    <mergeCell ref="L9:L10"/>
    <mergeCell ref="M9:M10"/>
    <mergeCell ref="N9:N10"/>
    <mergeCell ref="O9:O10"/>
    <mergeCell ref="L8:Q8"/>
    <mergeCell ref="E8:J8"/>
    <mergeCell ref="I9:J9"/>
    <mergeCell ref="C9:C10"/>
    <mergeCell ref="D9:D10"/>
    <mergeCell ref="E9:E10"/>
    <mergeCell ref="F9:F10"/>
    <mergeCell ref="G9:G10"/>
    <mergeCell ref="H9:H10"/>
    <mergeCell ref="R9:S9"/>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257"/>
  <sheetViews>
    <sheetView view="pageBreakPreview" zoomScale="80" zoomScaleSheetLayoutView="80" workbookViewId="0"/>
  </sheetViews>
  <sheetFormatPr defaultColWidth="8.84375" defaultRowHeight="14.6" x14ac:dyDescent="0.4"/>
  <cols>
    <col min="1" max="1" width="13.69140625" customWidth="1"/>
    <col min="2" max="6" width="9.69140625" customWidth="1"/>
    <col min="7" max="7" width="1.69140625" customWidth="1"/>
    <col min="8" max="8" width="13.69140625" customWidth="1"/>
    <col min="9" max="13" width="9.69140625" customWidth="1"/>
    <col min="14" max="14" width="1.69140625" customWidth="1"/>
    <col min="15" max="15" width="13.69140625" customWidth="1"/>
    <col min="16" max="20" width="9.69140625" customWidth="1"/>
    <col min="21" max="21" width="1.69140625" customWidth="1"/>
  </cols>
  <sheetData>
    <row r="1" spans="1:22" x14ac:dyDescent="0.4">
      <c r="A1" s="52" t="s">
        <v>587</v>
      </c>
    </row>
    <row r="3" spans="1:22" x14ac:dyDescent="0.4">
      <c r="A3" s="4" t="s">
        <v>334</v>
      </c>
      <c r="B3" s="4">
        <v>3</v>
      </c>
      <c r="H3" s="4" t="s">
        <v>334</v>
      </c>
      <c r="I3" s="4">
        <f>B3</f>
        <v>3</v>
      </c>
      <c r="O3" s="4" t="s">
        <v>334</v>
      </c>
      <c r="P3" s="4">
        <f>B3</f>
        <v>3</v>
      </c>
    </row>
    <row r="4" spans="1:22" x14ac:dyDescent="0.4">
      <c r="A4" s="4" t="s">
        <v>429</v>
      </c>
      <c r="B4" s="388" t="s">
        <v>284</v>
      </c>
      <c r="H4" s="4" t="s">
        <v>429</v>
      </c>
      <c r="I4" s="394" t="str">
        <f>B4</f>
        <v>MW</v>
      </c>
      <c r="O4" s="4" t="s">
        <v>429</v>
      </c>
      <c r="P4" s="388" t="str">
        <f>B4</f>
        <v>MW</v>
      </c>
    </row>
    <row r="5" spans="1:22" x14ac:dyDescent="0.4">
      <c r="A5" s="4" t="s">
        <v>430</v>
      </c>
      <c r="B5" s="395">
        <v>2011</v>
      </c>
      <c r="C5" s="4"/>
      <c r="D5" s="4"/>
      <c r="E5" s="4"/>
      <c r="F5" s="4"/>
      <c r="G5" s="4"/>
      <c r="H5" s="4" t="s">
        <v>430</v>
      </c>
      <c r="I5" s="4">
        <f>B5</f>
        <v>2011</v>
      </c>
      <c r="J5" s="4"/>
      <c r="O5" s="4" t="s">
        <v>430</v>
      </c>
      <c r="P5" s="395">
        <f>B5</f>
        <v>2011</v>
      </c>
      <c r="Q5" s="4"/>
    </row>
    <row r="6" spans="1:22" x14ac:dyDescent="0.4">
      <c r="A6" s="4"/>
      <c r="B6" s="395"/>
      <c r="C6" s="4"/>
      <c r="D6" s="4"/>
      <c r="E6" s="4"/>
      <c r="F6" s="4"/>
      <c r="G6" s="4"/>
      <c r="H6" s="4"/>
      <c r="I6" s="4"/>
      <c r="J6" s="4"/>
      <c r="O6" s="4"/>
      <c r="P6" s="395"/>
      <c r="Q6" s="4"/>
    </row>
    <row r="7" spans="1:22" x14ac:dyDescent="0.4">
      <c r="A7" s="258" t="s">
        <v>499</v>
      </c>
      <c r="H7" s="258" t="s">
        <v>501</v>
      </c>
      <c r="O7" s="258" t="s">
        <v>500</v>
      </c>
    </row>
    <row r="8" spans="1:22" x14ac:dyDescent="0.4">
      <c r="A8" s="270" t="s">
        <v>335</v>
      </c>
      <c r="B8" s="271" t="s">
        <v>336</v>
      </c>
      <c r="C8" s="4" t="str">
        <f>IF(B$5=2011,"  Costs in 2011 dollars/mi","  Costs in 2000 dollars/mi")</f>
        <v xml:space="preserve">  Costs in 2011 dollars/mi</v>
      </c>
      <c r="H8" s="270" t="s">
        <v>335</v>
      </c>
      <c r="I8" s="271" t="str">
        <f>B8</f>
        <v>Tot</v>
      </c>
      <c r="J8" s="4" t="str">
        <f>IF(I$5=2011,"  Costs in 2011 dollars/mi","  Costs in 2004 dollars/mi")</f>
        <v xml:space="preserve">  Costs in 2011 dollars/mi</v>
      </c>
      <c r="O8" s="270" t="s">
        <v>335</v>
      </c>
      <c r="P8" s="271" t="str">
        <f>B8</f>
        <v>Tot</v>
      </c>
      <c r="Q8" s="4" t="str">
        <f>IF(P$5=2011,"  Costs in 2011 dollars/mi","  Costs in 2008 dollars/mi")</f>
        <v xml:space="preserve">  Costs in 2011 dollars/mi</v>
      </c>
    </row>
    <row r="9" spans="1:22" x14ac:dyDescent="0.4">
      <c r="A9" s="411" t="s">
        <v>337</v>
      </c>
      <c r="B9" s="412" t="s">
        <v>338</v>
      </c>
      <c r="C9" s="413"/>
      <c r="D9" s="413"/>
      <c r="E9" s="413"/>
      <c r="F9" s="414"/>
      <c r="H9" s="411" t="s">
        <v>337</v>
      </c>
      <c r="I9" s="412" t="s">
        <v>338</v>
      </c>
      <c r="J9" s="413"/>
      <c r="K9" s="413"/>
      <c r="L9" s="413"/>
      <c r="M9" s="414"/>
      <c r="O9" s="411" t="s">
        <v>337</v>
      </c>
      <c r="P9" s="412" t="s">
        <v>338</v>
      </c>
      <c r="Q9" s="413"/>
      <c r="R9" s="413"/>
      <c r="S9" s="413"/>
      <c r="T9" s="414"/>
    </row>
    <row r="10" spans="1:22" ht="15" thickBot="1" x14ac:dyDescent="0.45">
      <c r="A10" s="263"/>
      <c r="B10" s="263">
        <v>50</v>
      </c>
      <c r="C10" s="263">
        <v>100</v>
      </c>
      <c r="D10" s="263">
        <v>200</v>
      </c>
      <c r="E10" s="263">
        <v>300</v>
      </c>
      <c r="F10" s="263">
        <v>500</v>
      </c>
      <c r="H10" s="263"/>
      <c r="I10" s="263">
        <v>50</v>
      </c>
      <c r="J10" s="263">
        <v>100</v>
      </c>
      <c r="K10" s="263">
        <v>200</v>
      </c>
      <c r="L10" s="263">
        <v>300</v>
      </c>
      <c r="M10" s="263">
        <v>500</v>
      </c>
      <c r="O10" s="263"/>
      <c r="P10" s="263">
        <v>50</v>
      </c>
      <c r="Q10" s="263">
        <v>100</v>
      </c>
      <c r="R10" s="263">
        <v>200</v>
      </c>
      <c r="S10" s="263">
        <v>300</v>
      </c>
      <c r="T10" s="263">
        <v>500</v>
      </c>
      <c r="V10" s="28"/>
    </row>
    <row r="11" spans="1:22" x14ac:dyDescent="0.4">
      <c r="A11" s="264">
        <v>12</v>
      </c>
      <c r="B11" s="265">
        <f t="shared" ref="B11:F16" si="0">sigfig(CpParker($A11,B$10,$B$8,$B$5),$B$3)/B$10</f>
        <v>886000</v>
      </c>
      <c r="C11" s="265">
        <f t="shared" si="0"/>
        <v>881000</v>
      </c>
      <c r="D11" s="265">
        <f t="shared" si="0"/>
        <v>875000</v>
      </c>
      <c r="E11" s="265">
        <f t="shared" si="0"/>
        <v>876666.66666666663</v>
      </c>
      <c r="F11" s="265">
        <f t="shared" si="0"/>
        <v>876000</v>
      </c>
      <c r="H11" s="264">
        <v>12</v>
      </c>
      <c r="I11" s="265">
        <f t="shared" ref="I11:M16" si="1">sigfig(Cpmccoy($H11,I$10,$I$4,$I$8,$I$5),$I$3)/I$10</f>
        <v>602000</v>
      </c>
      <c r="J11" s="265">
        <f t="shared" si="1"/>
        <v>541000</v>
      </c>
      <c r="K11" s="265">
        <f t="shared" si="1"/>
        <v>488500</v>
      </c>
      <c r="L11" s="265">
        <f t="shared" si="1"/>
        <v>460000</v>
      </c>
      <c r="M11" s="265">
        <f t="shared" si="1"/>
        <v>428000</v>
      </c>
      <c r="O11" s="264">
        <v>12</v>
      </c>
      <c r="P11" s="265">
        <f t="shared" ref="P11:T16" si="2">sigfig(CpRui($O11,P$10,$P$4,$P$8,$P$5),$P$3)/P$10</f>
        <v>466000</v>
      </c>
      <c r="Q11" s="265">
        <f t="shared" si="2"/>
        <v>420000</v>
      </c>
      <c r="R11" s="265">
        <f t="shared" si="2"/>
        <v>380000</v>
      </c>
      <c r="S11" s="265">
        <f t="shared" si="2"/>
        <v>360000</v>
      </c>
      <c r="T11" s="265">
        <f t="shared" si="2"/>
        <v>334000</v>
      </c>
      <c r="V11" s="272"/>
    </row>
    <row r="12" spans="1:22" x14ac:dyDescent="0.4">
      <c r="A12" s="266">
        <v>16</v>
      </c>
      <c r="B12" s="267">
        <f t="shared" si="0"/>
        <v>1116000</v>
      </c>
      <c r="C12" s="267">
        <f t="shared" si="0"/>
        <v>1110000</v>
      </c>
      <c r="D12" s="267">
        <f t="shared" si="0"/>
        <v>1105000</v>
      </c>
      <c r="E12" s="267">
        <f t="shared" si="0"/>
        <v>1106666.6666666667</v>
      </c>
      <c r="F12" s="267">
        <f t="shared" si="0"/>
        <v>1104000</v>
      </c>
      <c r="H12" s="266">
        <v>16</v>
      </c>
      <c r="I12" s="267">
        <f t="shared" si="1"/>
        <v>794000</v>
      </c>
      <c r="J12" s="267">
        <f t="shared" si="1"/>
        <v>715000</v>
      </c>
      <c r="K12" s="267">
        <f t="shared" si="1"/>
        <v>645000</v>
      </c>
      <c r="L12" s="267">
        <f t="shared" si="1"/>
        <v>606666.66666666663</v>
      </c>
      <c r="M12" s="267">
        <f t="shared" si="1"/>
        <v>564000</v>
      </c>
      <c r="O12" s="266">
        <v>16</v>
      </c>
      <c r="P12" s="267">
        <f t="shared" si="2"/>
        <v>614000</v>
      </c>
      <c r="Q12" s="267">
        <f t="shared" si="2"/>
        <v>551000</v>
      </c>
      <c r="R12" s="267">
        <f t="shared" si="2"/>
        <v>496500</v>
      </c>
      <c r="S12" s="267">
        <f t="shared" si="2"/>
        <v>466666.66666666669</v>
      </c>
      <c r="T12" s="267">
        <f t="shared" si="2"/>
        <v>434000</v>
      </c>
      <c r="V12" s="272"/>
    </row>
    <row r="13" spans="1:22" x14ac:dyDescent="0.4">
      <c r="A13" s="266">
        <v>20</v>
      </c>
      <c r="B13" s="267">
        <f t="shared" si="0"/>
        <v>1390000</v>
      </c>
      <c r="C13" s="267">
        <f t="shared" si="0"/>
        <v>1380000</v>
      </c>
      <c r="D13" s="267">
        <f t="shared" si="0"/>
        <v>1380000</v>
      </c>
      <c r="E13" s="267">
        <f t="shared" si="0"/>
        <v>1380000</v>
      </c>
      <c r="F13" s="267">
        <f t="shared" si="0"/>
        <v>1378000</v>
      </c>
      <c r="H13" s="266">
        <v>20</v>
      </c>
      <c r="I13" s="267">
        <f t="shared" si="1"/>
        <v>992000</v>
      </c>
      <c r="J13" s="267">
        <f t="shared" si="1"/>
        <v>892000</v>
      </c>
      <c r="K13" s="267">
        <f t="shared" si="1"/>
        <v>805000</v>
      </c>
      <c r="L13" s="267">
        <f t="shared" si="1"/>
        <v>756666.66666666663</v>
      </c>
      <c r="M13" s="267">
        <f t="shared" si="1"/>
        <v>704000</v>
      </c>
      <c r="O13" s="266">
        <v>20</v>
      </c>
      <c r="P13" s="267">
        <f t="shared" si="2"/>
        <v>762000</v>
      </c>
      <c r="Q13" s="267">
        <f t="shared" si="2"/>
        <v>684000</v>
      </c>
      <c r="R13" s="267">
        <f t="shared" si="2"/>
        <v>615000</v>
      </c>
      <c r="S13" s="267">
        <f t="shared" si="2"/>
        <v>580000</v>
      </c>
      <c r="T13" s="267">
        <f t="shared" si="2"/>
        <v>538000</v>
      </c>
      <c r="V13" s="272"/>
    </row>
    <row r="14" spans="1:22" x14ac:dyDescent="0.4">
      <c r="A14" s="266">
        <v>24</v>
      </c>
      <c r="B14" s="267">
        <f t="shared" si="0"/>
        <v>1706000</v>
      </c>
      <c r="C14" s="267">
        <f t="shared" si="0"/>
        <v>1700000</v>
      </c>
      <c r="D14" s="267">
        <f t="shared" si="0"/>
        <v>1695000</v>
      </c>
      <c r="E14" s="267">
        <f t="shared" si="0"/>
        <v>1693333.3333333333</v>
      </c>
      <c r="F14" s="267">
        <f t="shared" si="0"/>
        <v>1694000</v>
      </c>
      <c r="H14" s="266">
        <v>24</v>
      </c>
      <c r="I14" s="267">
        <f t="shared" si="1"/>
        <v>1194000</v>
      </c>
      <c r="J14" s="267">
        <f t="shared" si="1"/>
        <v>1070000</v>
      </c>
      <c r="K14" s="267">
        <f t="shared" si="1"/>
        <v>965000</v>
      </c>
      <c r="L14" s="267">
        <f t="shared" si="1"/>
        <v>910000</v>
      </c>
      <c r="M14" s="267">
        <f t="shared" si="1"/>
        <v>846000</v>
      </c>
      <c r="O14" s="266">
        <v>24</v>
      </c>
      <c r="P14" s="267">
        <f t="shared" si="2"/>
        <v>914000</v>
      </c>
      <c r="Q14" s="267">
        <f t="shared" si="2"/>
        <v>819000</v>
      </c>
      <c r="R14" s="267">
        <f t="shared" si="2"/>
        <v>735000</v>
      </c>
      <c r="S14" s="267">
        <f t="shared" si="2"/>
        <v>693333.33333333337</v>
      </c>
      <c r="T14" s="267">
        <f t="shared" si="2"/>
        <v>642000</v>
      </c>
      <c r="V14" s="272"/>
    </row>
    <row r="15" spans="1:22" x14ac:dyDescent="0.4">
      <c r="A15" s="266">
        <v>30</v>
      </c>
      <c r="B15" s="267">
        <f t="shared" si="0"/>
        <v>2260000</v>
      </c>
      <c r="C15" s="267">
        <f t="shared" si="0"/>
        <v>2250000</v>
      </c>
      <c r="D15" s="267">
        <f t="shared" si="0"/>
        <v>2250000</v>
      </c>
      <c r="E15" s="267">
        <f t="shared" si="0"/>
        <v>2250000</v>
      </c>
      <c r="F15" s="267">
        <f t="shared" si="0"/>
        <v>2240000</v>
      </c>
      <c r="H15" s="266">
        <v>30</v>
      </c>
      <c r="I15" s="267">
        <f t="shared" si="1"/>
        <v>1504000</v>
      </c>
      <c r="J15" s="267">
        <f t="shared" si="1"/>
        <v>1350000</v>
      </c>
      <c r="K15" s="267">
        <f t="shared" si="1"/>
        <v>1220000</v>
      </c>
      <c r="L15" s="267">
        <f t="shared" si="1"/>
        <v>1150000</v>
      </c>
      <c r="M15" s="267">
        <f t="shared" si="1"/>
        <v>1068000</v>
      </c>
      <c r="O15" s="266">
        <v>30</v>
      </c>
      <c r="P15" s="267">
        <f t="shared" si="2"/>
        <v>1148000</v>
      </c>
      <c r="Q15" s="267">
        <f t="shared" si="2"/>
        <v>1030000</v>
      </c>
      <c r="R15" s="267">
        <f t="shared" si="2"/>
        <v>920000</v>
      </c>
      <c r="S15" s="267">
        <f t="shared" si="2"/>
        <v>866666.66666666663</v>
      </c>
      <c r="T15" s="267">
        <f t="shared" si="2"/>
        <v>802000</v>
      </c>
      <c r="V15" s="272"/>
    </row>
    <row r="16" spans="1:22" x14ac:dyDescent="0.4">
      <c r="A16" s="268">
        <v>42</v>
      </c>
      <c r="B16" s="269">
        <f t="shared" si="0"/>
        <v>3660000</v>
      </c>
      <c r="C16" s="269">
        <f t="shared" si="0"/>
        <v>3660000</v>
      </c>
      <c r="D16" s="269">
        <f t="shared" si="0"/>
        <v>3655000</v>
      </c>
      <c r="E16" s="269">
        <f t="shared" si="0"/>
        <v>3666666.6666666665</v>
      </c>
      <c r="F16" s="269">
        <f t="shared" si="0"/>
        <v>3660000</v>
      </c>
      <c r="H16" s="268">
        <v>42</v>
      </c>
      <c r="I16" s="269">
        <f t="shared" si="1"/>
        <v>2160000</v>
      </c>
      <c r="J16" s="269">
        <f t="shared" si="1"/>
        <v>1940000</v>
      </c>
      <c r="K16" s="269">
        <f t="shared" si="1"/>
        <v>1755000</v>
      </c>
      <c r="L16" s="269">
        <f t="shared" si="1"/>
        <v>1656666.6666666667</v>
      </c>
      <c r="M16" s="269">
        <f t="shared" si="1"/>
        <v>1538000</v>
      </c>
      <c r="O16" s="268">
        <v>42</v>
      </c>
      <c r="P16" s="269">
        <f t="shared" si="2"/>
        <v>1632000</v>
      </c>
      <c r="Q16" s="269">
        <f t="shared" si="2"/>
        <v>1460000</v>
      </c>
      <c r="R16" s="269">
        <f t="shared" si="2"/>
        <v>1310000</v>
      </c>
      <c r="S16" s="269">
        <f t="shared" si="2"/>
        <v>1230000</v>
      </c>
      <c r="T16" s="269">
        <f t="shared" si="2"/>
        <v>1136000</v>
      </c>
      <c r="V16" s="272"/>
    </row>
    <row r="18" spans="1:20" x14ac:dyDescent="0.4">
      <c r="A18" s="270" t="s">
        <v>335</v>
      </c>
      <c r="B18" s="271" t="s">
        <v>339</v>
      </c>
      <c r="C18" s="4" t="str">
        <f>IF(B$5=2011,"  Costs in 2011 dollars/mi","  Costs in 2000 dollars/mi")</f>
        <v xml:space="preserve">  Costs in 2011 dollars/mi</v>
      </c>
      <c r="H18" s="270" t="s">
        <v>335</v>
      </c>
      <c r="I18" s="271" t="str">
        <f>B18</f>
        <v>Mat</v>
      </c>
      <c r="J18" s="4" t="str">
        <f>IF(I$5=2011,"  Costs in 2011 dollars/mi","  Costs in 2004 dollars/mi")</f>
        <v xml:space="preserve">  Costs in 2011 dollars/mi</v>
      </c>
      <c r="O18" s="270" t="s">
        <v>335</v>
      </c>
      <c r="P18" s="271" t="str">
        <f>B18</f>
        <v>Mat</v>
      </c>
      <c r="Q18" s="4" t="str">
        <f>IF(P$5=2011,"  Costs in 2011 dollars/mi","  Costs in 2008 dollars/mi")</f>
        <v xml:space="preserve">  Costs in 2011 dollars/mi</v>
      </c>
    </row>
    <row r="19" spans="1:20" x14ac:dyDescent="0.4">
      <c r="A19" s="411" t="s">
        <v>337</v>
      </c>
      <c r="B19" s="412" t="s">
        <v>338</v>
      </c>
      <c r="C19" s="413"/>
      <c r="D19" s="413"/>
      <c r="E19" s="413"/>
      <c r="F19" s="414"/>
      <c r="H19" s="411" t="s">
        <v>337</v>
      </c>
      <c r="I19" s="412" t="s">
        <v>338</v>
      </c>
      <c r="J19" s="413"/>
      <c r="K19" s="413"/>
      <c r="L19" s="413"/>
      <c r="M19" s="414"/>
      <c r="O19" s="411" t="s">
        <v>337</v>
      </c>
      <c r="P19" s="412" t="s">
        <v>338</v>
      </c>
      <c r="Q19" s="413"/>
      <c r="R19" s="413"/>
      <c r="S19" s="413"/>
      <c r="T19" s="414"/>
    </row>
    <row r="20" spans="1:20" ht="15" thickBot="1" x14ac:dyDescent="0.45">
      <c r="A20" s="263"/>
      <c r="B20" s="263">
        <v>50</v>
      </c>
      <c r="C20" s="263">
        <v>100</v>
      </c>
      <c r="D20" s="263">
        <v>200</v>
      </c>
      <c r="E20" s="263">
        <v>300</v>
      </c>
      <c r="F20" s="263">
        <v>500</v>
      </c>
      <c r="H20" s="263"/>
      <c r="I20" s="263">
        <v>50</v>
      </c>
      <c r="J20" s="263">
        <v>100</v>
      </c>
      <c r="K20" s="263">
        <v>200</v>
      </c>
      <c r="L20" s="263">
        <v>300</v>
      </c>
      <c r="M20" s="263">
        <v>500</v>
      </c>
      <c r="O20" s="263"/>
      <c r="P20" s="263">
        <v>50</v>
      </c>
      <c r="Q20" s="263">
        <v>100</v>
      </c>
      <c r="R20" s="263">
        <v>200</v>
      </c>
      <c r="S20" s="263">
        <v>300</v>
      </c>
      <c r="T20" s="263">
        <v>500</v>
      </c>
    </row>
    <row r="21" spans="1:20" x14ac:dyDescent="0.4">
      <c r="A21" s="264">
        <v>12</v>
      </c>
      <c r="B21" s="265">
        <f t="shared" ref="B21:F26" si="3">sigfig(CpParker($A21,B$20,$B$18,$B$5),$B$3)/B$20</f>
        <v>168000</v>
      </c>
      <c r="C21" s="265">
        <f t="shared" si="3"/>
        <v>167000</v>
      </c>
      <c r="D21" s="265">
        <f t="shared" si="3"/>
        <v>167000</v>
      </c>
      <c r="E21" s="265">
        <f t="shared" si="3"/>
        <v>166666.66666666666</v>
      </c>
      <c r="F21" s="265">
        <f t="shared" si="3"/>
        <v>166600</v>
      </c>
      <c r="H21" s="264">
        <v>12</v>
      </c>
      <c r="I21" s="265">
        <f t="shared" ref="I21:M26" si="4">sigfig(Cpmccoy($H21,I$20,$I$4,$I$18,$I$5),$I$3)/I$20</f>
        <v>92000</v>
      </c>
      <c r="J21" s="265">
        <f t="shared" si="4"/>
        <v>85900</v>
      </c>
      <c r="K21" s="265">
        <f t="shared" si="4"/>
        <v>80000</v>
      </c>
      <c r="L21" s="265">
        <f t="shared" si="4"/>
        <v>77000</v>
      </c>
      <c r="M21" s="265">
        <f t="shared" si="4"/>
        <v>73200</v>
      </c>
      <c r="O21" s="264">
        <v>12</v>
      </c>
      <c r="P21" s="265">
        <f t="shared" ref="P21:T26" si="5">sigfig(CpRui($O21,P$20,$P$4,$P$18,$P$5),$P$3)/P$20</f>
        <v>88000</v>
      </c>
      <c r="Q21" s="265">
        <f t="shared" si="5"/>
        <v>80600</v>
      </c>
      <c r="R21" s="265">
        <f t="shared" si="5"/>
        <v>74000</v>
      </c>
      <c r="S21" s="265">
        <f t="shared" si="5"/>
        <v>70000</v>
      </c>
      <c r="T21" s="265">
        <f t="shared" si="5"/>
        <v>65600</v>
      </c>
    </row>
    <row r="22" spans="1:20" x14ac:dyDescent="0.4">
      <c r="A22" s="266">
        <v>16</v>
      </c>
      <c r="B22" s="267">
        <f t="shared" si="3"/>
        <v>248000</v>
      </c>
      <c r="C22" s="267">
        <f t="shared" si="3"/>
        <v>247000</v>
      </c>
      <c r="D22" s="267">
        <f t="shared" si="3"/>
        <v>247000</v>
      </c>
      <c r="E22" s="267">
        <f t="shared" si="3"/>
        <v>246666.66666666666</v>
      </c>
      <c r="F22" s="267">
        <f t="shared" si="3"/>
        <v>246000</v>
      </c>
      <c r="H22" s="266">
        <v>16</v>
      </c>
      <c r="I22" s="267">
        <f t="shared" si="4"/>
        <v>145400</v>
      </c>
      <c r="J22" s="267">
        <f t="shared" si="4"/>
        <v>136000</v>
      </c>
      <c r="K22" s="267">
        <f t="shared" si="4"/>
        <v>127000</v>
      </c>
      <c r="L22" s="267">
        <f t="shared" si="4"/>
        <v>121666.66666666667</v>
      </c>
      <c r="M22" s="267">
        <f t="shared" si="4"/>
        <v>115800</v>
      </c>
      <c r="O22" s="266">
        <v>16</v>
      </c>
      <c r="P22" s="267">
        <f t="shared" si="5"/>
        <v>134200</v>
      </c>
      <c r="Q22" s="267">
        <f t="shared" si="5"/>
        <v>123000</v>
      </c>
      <c r="R22" s="267">
        <f t="shared" si="5"/>
        <v>112500</v>
      </c>
      <c r="S22" s="267">
        <f t="shared" si="5"/>
        <v>107000</v>
      </c>
      <c r="T22" s="267">
        <f t="shared" si="5"/>
        <v>100200</v>
      </c>
    </row>
    <row r="23" spans="1:20" x14ac:dyDescent="0.4">
      <c r="A23" s="266">
        <v>20</v>
      </c>
      <c r="B23" s="267">
        <f t="shared" si="3"/>
        <v>350000</v>
      </c>
      <c r="C23" s="267">
        <f t="shared" si="3"/>
        <v>348000</v>
      </c>
      <c r="D23" s="267">
        <f t="shared" si="3"/>
        <v>348000</v>
      </c>
      <c r="E23" s="267">
        <f t="shared" si="3"/>
        <v>346666.66666666669</v>
      </c>
      <c r="F23" s="267">
        <f t="shared" si="3"/>
        <v>348000</v>
      </c>
      <c r="H23" s="266">
        <v>20</v>
      </c>
      <c r="I23" s="267">
        <f t="shared" si="4"/>
        <v>208000</v>
      </c>
      <c r="J23" s="267">
        <f t="shared" si="4"/>
        <v>194000</v>
      </c>
      <c r="K23" s="267">
        <f t="shared" si="4"/>
        <v>181000</v>
      </c>
      <c r="L23" s="267">
        <f t="shared" si="4"/>
        <v>173666.66666666666</v>
      </c>
      <c r="M23" s="267">
        <f t="shared" si="4"/>
        <v>165000</v>
      </c>
      <c r="O23" s="266">
        <v>20</v>
      </c>
      <c r="P23" s="267">
        <f t="shared" si="5"/>
        <v>186200</v>
      </c>
      <c r="Q23" s="267">
        <f t="shared" si="5"/>
        <v>171000</v>
      </c>
      <c r="R23" s="267">
        <f t="shared" si="5"/>
        <v>156000</v>
      </c>
      <c r="S23" s="267">
        <f t="shared" si="5"/>
        <v>148333.33333333334</v>
      </c>
      <c r="T23" s="267">
        <f t="shared" si="5"/>
        <v>139000</v>
      </c>
    </row>
    <row r="24" spans="1:20" x14ac:dyDescent="0.4">
      <c r="A24" s="266">
        <v>24</v>
      </c>
      <c r="B24" s="267">
        <f t="shared" si="3"/>
        <v>472000</v>
      </c>
      <c r="C24" s="267">
        <f t="shared" si="3"/>
        <v>471000</v>
      </c>
      <c r="D24" s="267">
        <f t="shared" si="3"/>
        <v>470500</v>
      </c>
      <c r="E24" s="267">
        <f t="shared" si="3"/>
        <v>470000</v>
      </c>
      <c r="F24" s="267">
        <f t="shared" si="3"/>
        <v>470000</v>
      </c>
      <c r="H24" s="266">
        <v>24</v>
      </c>
      <c r="I24" s="267">
        <f t="shared" si="4"/>
        <v>278000</v>
      </c>
      <c r="J24" s="267">
        <f t="shared" si="4"/>
        <v>259000</v>
      </c>
      <c r="K24" s="267">
        <f t="shared" si="4"/>
        <v>241500</v>
      </c>
      <c r="L24" s="267">
        <f t="shared" si="4"/>
        <v>232000</v>
      </c>
      <c r="M24" s="267">
        <f t="shared" si="4"/>
        <v>220000</v>
      </c>
      <c r="O24" s="266">
        <v>24</v>
      </c>
      <c r="P24" s="267">
        <f t="shared" si="5"/>
        <v>244000</v>
      </c>
      <c r="Q24" s="267">
        <f t="shared" si="5"/>
        <v>223000</v>
      </c>
      <c r="R24" s="267">
        <f t="shared" si="5"/>
        <v>204000</v>
      </c>
      <c r="S24" s="267">
        <f t="shared" si="5"/>
        <v>193666.66666666666</v>
      </c>
      <c r="T24" s="267">
        <f t="shared" si="5"/>
        <v>181600</v>
      </c>
    </row>
    <row r="25" spans="1:20" x14ac:dyDescent="0.4">
      <c r="A25" s="266">
        <v>30</v>
      </c>
      <c r="B25" s="267">
        <f t="shared" si="3"/>
        <v>696000</v>
      </c>
      <c r="C25" s="267">
        <f t="shared" si="3"/>
        <v>695000</v>
      </c>
      <c r="D25" s="267">
        <f t="shared" si="3"/>
        <v>695000</v>
      </c>
      <c r="E25" s="267">
        <f t="shared" si="3"/>
        <v>693333.33333333337</v>
      </c>
      <c r="F25" s="267">
        <f t="shared" si="3"/>
        <v>694000</v>
      </c>
      <c r="H25" s="266">
        <v>30</v>
      </c>
      <c r="I25" s="267">
        <f t="shared" si="4"/>
        <v>396000</v>
      </c>
      <c r="J25" s="267">
        <f t="shared" si="4"/>
        <v>369000</v>
      </c>
      <c r="K25" s="267">
        <f t="shared" si="4"/>
        <v>344500</v>
      </c>
      <c r="L25" s="267">
        <f t="shared" si="4"/>
        <v>331000</v>
      </c>
      <c r="M25" s="267">
        <f t="shared" si="4"/>
        <v>314000</v>
      </c>
      <c r="O25" s="266">
        <v>30</v>
      </c>
      <c r="P25" s="267">
        <f t="shared" si="5"/>
        <v>338000</v>
      </c>
      <c r="Q25" s="267">
        <f t="shared" si="5"/>
        <v>309000</v>
      </c>
      <c r="R25" s="267">
        <f t="shared" si="5"/>
        <v>283000</v>
      </c>
      <c r="S25" s="267">
        <f t="shared" si="5"/>
        <v>269000</v>
      </c>
      <c r="T25" s="267">
        <f t="shared" si="5"/>
        <v>252000</v>
      </c>
    </row>
    <row r="26" spans="1:20" x14ac:dyDescent="0.4">
      <c r="A26" s="268">
        <v>42</v>
      </c>
      <c r="B26" s="269">
        <f t="shared" si="3"/>
        <v>1286000</v>
      </c>
      <c r="C26" s="269">
        <f t="shared" si="3"/>
        <v>1290000</v>
      </c>
      <c r="D26" s="269">
        <f t="shared" si="3"/>
        <v>1285000</v>
      </c>
      <c r="E26" s="269">
        <f t="shared" si="3"/>
        <v>1286666.6666666667</v>
      </c>
      <c r="F26" s="269">
        <f t="shared" si="3"/>
        <v>1286000</v>
      </c>
      <c r="H26" s="268">
        <v>42</v>
      </c>
      <c r="I26" s="269">
        <f t="shared" si="4"/>
        <v>674000</v>
      </c>
      <c r="J26" s="269">
        <f t="shared" si="4"/>
        <v>630000</v>
      </c>
      <c r="K26" s="269">
        <f t="shared" si="4"/>
        <v>590000</v>
      </c>
      <c r="L26" s="269">
        <f t="shared" si="4"/>
        <v>563333.33333333337</v>
      </c>
      <c r="M26" s="269">
        <f t="shared" si="4"/>
        <v>538000</v>
      </c>
      <c r="O26" s="268">
        <v>42</v>
      </c>
      <c r="P26" s="269">
        <f t="shared" si="5"/>
        <v>554000</v>
      </c>
      <c r="Q26" s="269">
        <f t="shared" si="5"/>
        <v>507000</v>
      </c>
      <c r="R26" s="269">
        <f t="shared" si="5"/>
        <v>464000</v>
      </c>
      <c r="S26" s="269">
        <f t="shared" si="5"/>
        <v>440000</v>
      </c>
      <c r="T26" s="269">
        <f t="shared" si="5"/>
        <v>414000</v>
      </c>
    </row>
    <row r="28" spans="1:20" x14ac:dyDescent="0.4">
      <c r="A28" s="270" t="s">
        <v>335</v>
      </c>
      <c r="B28" s="271" t="s">
        <v>340</v>
      </c>
      <c r="C28" s="4" t="str">
        <f>IF(B$5=2011,"  Costs in 2011 dollars/mi","  Costs in 2000 dollars/mi")</f>
        <v xml:space="preserve">  Costs in 2011 dollars/mi</v>
      </c>
      <c r="H28" s="270" t="s">
        <v>335</v>
      </c>
      <c r="I28" s="271" t="str">
        <f>B28</f>
        <v>Lab</v>
      </c>
      <c r="J28" s="4" t="str">
        <f>IF(I$5=2011,"  Costs in 2011 dollars/mi","  Costs in 2004 dollars/mi")</f>
        <v xml:space="preserve">  Costs in 2011 dollars/mi</v>
      </c>
      <c r="O28" s="270" t="s">
        <v>335</v>
      </c>
      <c r="P28" s="271" t="str">
        <f>B28</f>
        <v>Lab</v>
      </c>
      <c r="Q28" s="4" t="str">
        <f>IF(P$5=2011,"  Costs in 2011 dollars/mi","  Costs in 2008 dollars/mi")</f>
        <v xml:space="preserve">  Costs in 2011 dollars/mi</v>
      </c>
    </row>
    <row r="29" spans="1:20" x14ac:dyDescent="0.4">
      <c r="A29" s="411" t="s">
        <v>337</v>
      </c>
      <c r="B29" s="412" t="s">
        <v>338</v>
      </c>
      <c r="C29" s="413"/>
      <c r="D29" s="413"/>
      <c r="E29" s="413"/>
      <c r="F29" s="414"/>
      <c r="H29" s="411" t="s">
        <v>337</v>
      </c>
      <c r="I29" s="412" t="s">
        <v>338</v>
      </c>
      <c r="J29" s="413"/>
      <c r="K29" s="413"/>
      <c r="L29" s="413"/>
      <c r="M29" s="414"/>
      <c r="O29" s="411" t="s">
        <v>337</v>
      </c>
      <c r="P29" s="412" t="s">
        <v>338</v>
      </c>
      <c r="Q29" s="413"/>
      <c r="R29" s="413"/>
      <c r="S29" s="413"/>
      <c r="T29" s="414"/>
    </row>
    <row r="30" spans="1:20" ht="15" thickBot="1" x14ac:dyDescent="0.45">
      <c r="A30" s="263"/>
      <c r="B30" s="263">
        <v>50</v>
      </c>
      <c r="C30" s="263">
        <v>100</v>
      </c>
      <c r="D30" s="263">
        <v>200</v>
      </c>
      <c r="E30" s="263">
        <v>300</v>
      </c>
      <c r="F30" s="263">
        <v>500</v>
      </c>
      <c r="H30" s="263"/>
      <c r="I30" s="263">
        <v>50</v>
      </c>
      <c r="J30" s="263">
        <v>100</v>
      </c>
      <c r="K30" s="263">
        <v>200</v>
      </c>
      <c r="L30" s="263">
        <v>300</v>
      </c>
      <c r="M30" s="263">
        <v>500</v>
      </c>
      <c r="O30" s="263"/>
      <c r="P30" s="263">
        <v>50</v>
      </c>
      <c r="Q30" s="263">
        <v>100</v>
      </c>
      <c r="R30" s="263">
        <v>200</v>
      </c>
      <c r="S30" s="263">
        <v>300</v>
      </c>
      <c r="T30" s="263">
        <v>500</v>
      </c>
    </row>
    <row r="31" spans="1:20" x14ac:dyDescent="0.4">
      <c r="A31" s="264">
        <v>12</v>
      </c>
      <c r="B31" s="265">
        <f t="shared" ref="B31:F36" si="6">sigfig(CpParker($A31,B$30,$B$28,$B$5),$B$3)/B$30</f>
        <v>498000</v>
      </c>
      <c r="C31" s="265">
        <f t="shared" si="6"/>
        <v>495000</v>
      </c>
      <c r="D31" s="265">
        <f t="shared" si="6"/>
        <v>493500</v>
      </c>
      <c r="E31" s="265">
        <f t="shared" si="6"/>
        <v>493333.33333333331</v>
      </c>
      <c r="F31" s="265">
        <f t="shared" si="6"/>
        <v>492000</v>
      </c>
      <c r="H31" s="264">
        <v>12</v>
      </c>
      <c r="I31" s="265">
        <f t="shared" ref="I31:M36" si="7">sigfig(Cpmccoy($H31,I$30,$I$4,$I$28,$I$5),$I$3)/I$30</f>
        <v>304000</v>
      </c>
      <c r="J31" s="265">
        <f t="shared" si="7"/>
        <v>269000</v>
      </c>
      <c r="K31" s="265">
        <f t="shared" si="7"/>
        <v>237000</v>
      </c>
      <c r="L31" s="265">
        <f t="shared" si="7"/>
        <v>220333.33333333334</v>
      </c>
      <c r="M31" s="265">
        <f t="shared" si="7"/>
        <v>200000</v>
      </c>
      <c r="O31" s="264">
        <v>12</v>
      </c>
      <c r="P31" s="265">
        <f t="shared" ref="P31:T36" si="8">sigfig(CpRui($O31,P$30,$P$4,$P$28,$P$5),$P$3)/P$30</f>
        <v>191400</v>
      </c>
      <c r="Q31" s="265">
        <f t="shared" si="8"/>
        <v>167000</v>
      </c>
      <c r="R31" s="265">
        <f t="shared" si="8"/>
        <v>146500</v>
      </c>
      <c r="S31" s="265">
        <f t="shared" si="8"/>
        <v>135666.66666666666</v>
      </c>
      <c r="T31" s="265">
        <f t="shared" si="8"/>
        <v>123000</v>
      </c>
    </row>
    <row r="32" spans="1:20" x14ac:dyDescent="0.4">
      <c r="A32" s="266">
        <v>16</v>
      </c>
      <c r="B32" s="267">
        <f t="shared" si="6"/>
        <v>592000</v>
      </c>
      <c r="C32" s="267">
        <f t="shared" si="6"/>
        <v>589000</v>
      </c>
      <c r="D32" s="267">
        <f t="shared" si="6"/>
        <v>585000</v>
      </c>
      <c r="E32" s="267">
        <f t="shared" si="6"/>
        <v>586666.66666666663</v>
      </c>
      <c r="F32" s="267">
        <f t="shared" si="6"/>
        <v>586000</v>
      </c>
      <c r="H32" s="266">
        <v>16</v>
      </c>
      <c r="I32" s="267">
        <f t="shared" si="7"/>
        <v>398000</v>
      </c>
      <c r="J32" s="267">
        <f t="shared" si="7"/>
        <v>352000</v>
      </c>
      <c r="K32" s="267">
        <f t="shared" si="7"/>
        <v>310500</v>
      </c>
      <c r="L32" s="267">
        <f t="shared" si="7"/>
        <v>288666.66666666669</v>
      </c>
      <c r="M32" s="267">
        <f t="shared" si="7"/>
        <v>264000</v>
      </c>
      <c r="O32" s="266">
        <v>16</v>
      </c>
      <c r="P32" s="267">
        <f t="shared" si="8"/>
        <v>250000</v>
      </c>
      <c r="Q32" s="267">
        <f t="shared" si="8"/>
        <v>218000</v>
      </c>
      <c r="R32" s="267">
        <f t="shared" si="8"/>
        <v>191000</v>
      </c>
      <c r="S32" s="267">
        <f t="shared" si="8"/>
        <v>176666.66666666666</v>
      </c>
      <c r="T32" s="267">
        <f t="shared" si="8"/>
        <v>160200</v>
      </c>
    </row>
    <row r="33" spans="1:20" x14ac:dyDescent="0.4">
      <c r="A33" s="266">
        <v>20</v>
      </c>
      <c r="B33" s="267">
        <f t="shared" si="6"/>
        <v>708000</v>
      </c>
      <c r="C33" s="267">
        <f t="shared" si="6"/>
        <v>705000</v>
      </c>
      <c r="D33" s="267">
        <f t="shared" si="6"/>
        <v>705000</v>
      </c>
      <c r="E33" s="267">
        <f t="shared" si="6"/>
        <v>703333.33333333337</v>
      </c>
      <c r="F33" s="267">
        <f t="shared" si="6"/>
        <v>702000</v>
      </c>
      <c r="H33" s="266">
        <v>20</v>
      </c>
      <c r="I33" s="267">
        <f t="shared" si="7"/>
        <v>492000</v>
      </c>
      <c r="J33" s="267">
        <f t="shared" si="7"/>
        <v>434000</v>
      </c>
      <c r="K33" s="267">
        <f t="shared" si="7"/>
        <v>383000</v>
      </c>
      <c r="L33" s="267">
        <f t="shared" si="7"/>
        <v>356666.66666666669</v>
      </c>
      <c r="M33" s="267">
        <f t="shared" si="7"/>
        <v>324000</v>
      </c>
      <c r="O33" s="266">
        <v>20</v>
      </c>
      <c r="P33" s="267">
        <f t="shared" si="8"/>
        <v>306000</v>
      </c>
      <c r="Q33" s="267">
        <f t="shared" si="8"/>
        <v>268000</v>
      </c>
      <c r="R33" s="267">
        <f t="shared" si="8"/>
        <v>234500</v>
      </c>
      <c r="S33" s="267">
        <f t="shared" si="8"/>
        <v>216666.66666666666</v>
      </c>
      <c r="T33" s="267">
        <f t="shared" si="8"/>
        <v>196600</v>
      </c>
    </row>
    <row r="34" spans="1:20" x14ac:dyDescent="0.4">
      <c r="A34" s="266">
        <v>24</v>
      </c>
      <c r="B34" s="267">
        <f t="shared" si="6"/>
        <v>846000</v>
      </c>
      <c r="C34" s="267">
        <f t="shared" si="6"/>
        <v>843000</v>
      </c>
      <c r="D34" s="267">
        <f t="shared" si="6"/>
        <v>840000</v>
      </c>
      <c r="E34" s="267">
        <f t="shared" si="6"/>
        <v>840000</v>
      </c>
      <c r="F34" s="267">
        <f t="shared" si="6"/>
        <v>840000</v>
      </c>
      <c r="H34" s="266">
        <v>24</v>
      </c>
      <c r="I34" s="267">
        <f t="shared" si="7"/>
        <v>584000</v>
      </c>
      <c r="J34" s="267">
        <f t="shared" si="7"/>
        <v>515000</v>
      </c>
      <c r="K34" s="267">
        <f t="shared" si="7"/>
        <v>454500</v>
      </c>
      <c r="L34" s="267">
        <f t="shared" si="7"/>
        <v>423333.33333333331</v>
      </c>
      <c r="M34" s="267">
        <f t="shared" si="7"/>
        <v>386000</v>
      </c>
      <c r="O34" s="266">
        <v>24</v>
      </c>
      <c r="P34" s="267">
        <f t="shared" si="8"/>
        <v>362000</v>
      </c>
      <c r="Q34" s="267">
        <f t="shared" si="8"/>
        <v>316000</v>
      </c>
      <c r="R34" s="267">
        <f t="shared" si="8"/>
        <v>277000</v>
      </c>
      <c r="S34" s="267">
        <f t="shared" si="8"/>
        <v>256333.33333333334</v>
      </c>
      <c r="T34" s="267">
        <f t="shared" si="8"/>
        <v>232000</v>
      </c>
    </row>
    <row r="35" spans="1:20" x14ac:dyDescent="0.4">
      <c r="A35" s="266">
        <v>30</v>
      </c>
      <c r="B35" s="267">
        <f t="shared" si="6"/>
        <v>1096000</v>
      </c>
      <c r="C35" s="267">
        <f t="shared" si="6"/>
        <v>1090000</v>
      </c>
      <c r="D35" s="267">
        <f t="shared" si="6"/>
        <v>1090000</v>
      </c>
      <c r="E35" s="267">
        <f t="shared" si="6"/>
        <v>1090000</v>
      </c>
      <c r="F35" s="267">
        <f t="shared" si="6"/>
        <v>1088000</v>
      </c>
      <c r="H35" s="266">
        <v>30</v>
      </c>
      <c r="I35" s="267">
        <f t="shared" si="7"/>
        <v>720000</v>
      </c>
      <c r="J35" s="267">
        <f t="shared" si="7"/>
        <v>635000</v>
      </c>
      <c r="K35" s="267">
        <f t="shared" si="7"/>
        <v>560000</v>
      </c>
      <c r="L35" s="267">
        <f t="shared" si="7"/>
        <v>520000</v>
      </c>
      <c r="M35" s="267">
        <f t="shared" si="7"/>
        <v>476000</v>
      </c>
      <c r="O35" s="266">
        <v>30</v>
      </c>
      <c r="P35" s="267">
        <f t="shared" si="8"/>
        <v>444000</v>
      </c>
      <c r="Q35" s="267">
        <f t="shared" si="8"/>
        <v>388000</v>
      </c>
      <c r="R35" s="267">
        <f t="shared" si="8"/>
        <v>340000</v>
      </c>
      <c r="S35" s="267">
        <f t="shared" si="8"/>
        <v>314666.66666666669</v>
      </c>
      <c r="T35" s="267">
        <f t="shared" si="8"/>
        <v>286000</v>
      </c>
    </row>
    <row r="36" spans="1:20" x14ac:dyDescent="0.4">
      <c r="A36" s="268">
        <v>42</v>
      </c>
      <c r="B36" s="269">
        <f t="shared" si="6"/>
        <v>1742000</v>
      </c>
      <c r="C36" s="269">
        <f t="shared" si="6"/>
        <v>1740000</v>
      </c>
      <c r="D36" s="269">
        <f t="shared" si="6"/>
        <v>1735000</v>
      </c>
      <c r="E36" s="269">
        <f t="shared" si="6"/>
        <v>1736666.6666666667</v>
      </c>
      <c r="F36" s="269">
        <f t="shared" si="6"/>
        <v>1736000</v>
      </c>
      <c r="H36" s="268">
        <v>42</v>
      </c>
      <c r="I36" s="269">
        <f t="shared" si="7"/>
        <v>988000</v>
      </c>
      <c r="J36" s="269">
        <f t="shared" si="7"/>
        <v>872000</v>
      </c>
      <c r="K36" s="269">
        <f t="shared" si="7"/>
        <v>770000</v>
      </c>
      <c r="L36" s="269">
        <f t="shared" si="7"/>
        <v>716666.66666666663</v>
      </c>
      <c r="M36" s="269">
        <f t="shared" si="7"/>
        <v>652000</v>
      </c>
      <c r="O36" s="268">
        <v>42</v>
      </c>
      <c r="P36" s="269">
        <f t="shared" si="8"/>
        <v>604000</v>
      </c>
      <c r="Q36" s="269">
        <f t="shared" si="8"/>
        <v>529000</v>
      </c>
      <c r="R36" s="269">
        <f t="shared" si="8"/>
        <v>463000</v>
      </c>
      <c r="S36" s="269">
        <f t="shared" si="8"/>
        <v>430000</v>
      </c>
      <c r="T36" s="269">
        <f t="shared" si="8"/>
        <v>388000</v>
      </c>
    </row>
    <row r="38" spans="1:20" x14ac:dyDescent="0.4">
      <c r="A38" s="270" t="s">
        <v>335</v>
      </c>
      <c r="B38" s="271" t="s">
        <v>288</v>
      </c>
      <c r="C38" s="4" t="str">
        <f>IF(B$5=2011,"  Costs in 2011 dollars/mi","  Costs in 2000 dollars/mi")</f>
        <v xml:space="preserve">  Costs in 2011 dollars/mi</v>
      </c>
      <c r="H38" s="270" t="s">
        <v>335</v>
      </c>
      <c r="I38" s="271" t="str">
        <f>B38</f>
        <v>ROW</v>
      </c>
      <c r="J38" s="4" t="str">
        <f>IF(I$5=2011,"  Costs in 2011 dollars/mi","  Costs in 2004 dollars/mi")</f>
        <v xml:space="preserve">  Costs in 2011 dollars/mi</v>
      </c>
      <c r="O38" s="270" t="s">
        <v>335</v>
      </c>
      <c r="P38" s="271" t="str">
        <f>B38</f>
        <v>ROW</v>
      </c>
      <c r="Q38" s="4" t="str">
        <f>IF(P$5=2011,"  Costs in 2011 dollars/mi","  Costs in 2008 dollars/mi")</f>
        <v xml:space="preserve">  Costs in 2011 dollars/mi</v>
      </c>
    </row>
    <row r="39" spans="1:20" x14ac:dyDescent="0.4">
      <c r="A39" s="411" t="s">
        <v>337</v>
      </c>
      <c r="B39" s="412" t="s">
        <v>338</v>
      </c>
      <c r="C39" s="413"/>
      <c r="D39" s="413"/>
      <c r="E39" s="413"/>
      <c r="F39" s="414"/>
      <c r="H39" s="411" t="s">
        <v>337</v>
      </c>
      <c r="I39" s="412" t="s">
        <v>338</v>
      </c>
      <c r="J39" s="413"/>
      <c r="K39" s="413"/>
      <c r="L39" s="413"/>
      <c r="M39" s="414"/>
      <c r="O39" s="411" t="s">
        <v>337</v>
      </c>
      <c r="P39" s="412" t="s">
        <v>338</v>
      </c>
      <c r="Q39" s="413"/>
      <c r="R39" s="413"/>
      <c r="S39" s="413"/>
      <c r="T39" s="414"/>
    </row>
    <row r="40" spans="1:20" ht="15" thickBot="1" x14ac:dyDescent="0.45">
      <c r="A40" s="263"/>
      <c r="B40" s="263">
        <v>50</v>
      </c>
      <c r="C40" s="263">
        <v>100</v>
      </c>
      <c r="D40" s="263">
        <v>200</v>
      </c>
      <c r="E40" s="263">
        <v>300</v>
      </c>
      <c r="F40" s="263">
        <v>500</v>
      </c>
      <c r="H40" s="263"/>
      <c r="I40" s="263">
        <v>50</v>
      </c>
      <c r="J40" s="263">
        <v>100</v>
      </c>
      <c r="K40" s="263">
        <v>200</v>
      </c>
      <c r="L40" s="263">
        <v>300</v>
      </c>
      <c r="M40" s="263">
        <v>500</v>
      </c>
      <c r="O40" s="263"/>
      <c r="P40" s="263">
        <v>50</v>
      </c>
      <c r="Q40" s="263">
        <v>100</v>
      </c>
      <c r="R40" s="263">
        <v>200</v>
      </c>
      <c r="S40" s="263">
        <v>300</v>
      </c>
      <c r="T40" s="263">
        <v>500</v>
      </c>
    </row>
    <row r="41" spans="1:20" x14ac:dyDescent="0.4">
      <c r="A41" s="264">
        <v>12</v>
      </c>
      <c r="B41" s="265">
        <f t="shared" ref="B41:F46" si="9">sigfig(CpParker($A41,B$40,$B$38,$B$5),$B$3)/B$40</f>
        <v>48200</v>
      </c>
      <c r="C41" s="265">
        <f t="shared" si="9"/>
        <v>47600</v>
      </c>
      <c r="D41" s="265">
        <f t="shared" si="9"/>
        <v>47350</v>
      </c>
      <c r="E41" s="265">
        <f t="shared" si="9"/>
        <v>47333.333333333336</v>
      </c>
      <c r="F41" s="265">
        <f t="shared" si="9"/>
        <v>47200</v>
      </c>
      <c r="H41" s="264">
        <v>12</v>
      </c>
      <c r="I41" s="265">
        <f t="shared" ref="I41:M46" si="10">sigfig(Cpmccoy($H41,I$40,$I$4,$I$38,$I$5),$I$3)/I$40</f>
        <v>57000</v>
      </c>
      <c r="J41" s="265">
        <f t="shared" si="10"/>
        <v>58900</v>
      </c>
      <c r="K41" s="265">
        <f t="shared" si="10"/>
        <v>61000</v>
      </c>
      <c r="L41" s="265">
        <f t="shared" si="10"/>
        <v>62000</v>
      </c>
      <c r="M41" s="265">
        <f t="shared" si="10"/>
        <v>63800</v>
      </c>
      <c r="O41" s="264">
        <v>12</v>
      </c>
      <c r="P41" s="265">
        <f t="shared" ref="P41:T46" si="11">sigfig(CpRui($O41,P$40,$P$4,$P$38,$P$5),$P$3)/P$40</f>
        <v>75600</v>
      </c>
      <c r="Q41" s="265">
        <f t="shared" si="11"/>
        <v>77000</v>
      </c>
      <c r="R41" s="265">
        <f t="shared" si="11"/>
        <v>78500</v>
      </c>
      <c r="S41" s="265">
        <f t="shared" si="11"/>
        <v>79333.333333333328</v>
      </c>
      <c r="T41" s="265">
        <f t="shared" si="11"/>
        <v>80400</v>
      </c>
    </row>
    <row r="42" spans="1:20" x14ac:dyDescent="0.4">
      <c r="A42" s="266">
        <v>16</v>
      </c>
      <c r="B42" s="267">
        <f t="shared" si="9"/>
        <v>51000</v>
      </c>
      <c r="C42" s="267">
        <f t="shared" si="9"/>
        <v>50600</v>
      </c>
      <c r="D42" s="267">
        <f t="shared" si="9"/>
        <v>50500</v>
      </c>
      <c r="E42" s="267">
        <f t="shared" si="9"/>
        <v>50333.333333333336</v>
      </c>
      <c r="F42" s="267">
        <f t="shared" si="9"/>
        <v>50200</v>
      </c>
      <c r="H42" s="266">
        <v>16</v>
      </c>
      <c r="I42" s="267">
        <f t="shared" si="10"/>
        <v>64000</v>
      </c>
      <c r="J42" s="267">
        <f t="shared" si="10"/>
        <v>66100</v>
      </c>
      <c r="K42" s="267">
        <f t="shared" si="10"/>
        <v>68500</v>
      </c>
      <c r="L42" s="267">
        <f t="shared" si="10"/>
        <v>69666.666666666672</v>
      </c>
      <c r="M42" s="267">
        <f t="shared" si="10"/>
        <v>71600</v>
      </c>
      <c r="O42" s="266">
        <v>16</v>
      </c>
      <c r="P42" s="267">
        <f t="shared" si="11"/>
        <v>84400</v>
      </c>
      <c r="Q42" s="267">
        <f t="shared" si="11"/>
        <v>86000</v>
      </c>
      <c r="R42" s="267">
        <f t="shared" si="11"/>
        <v>87500</v>
      </c>
      <c r="S42" s="267">
        <f t="shared" si="11"/>
        <v>88666.666666666672</v>
      </c>
      <c r="T42" s="267">
        <f t="shared" si="11"/>
        <v>89800</v>
      </c>
    </row>
    <row r="43" spans="1:20" x14ac:dyDescent="0.4">
      <c r="A43" s="266">
        <v>20</v>
      </c>
      <c r="B43" s="267">
        <f t="shared" si="9"/>
        <v>54000</v>
      </c>
      <c r="C43" s="267">
        <f t="shared" si="9"/>
        <v>53500</v>
      </c>
      <c r="D43" s="267">
        <f t="shared" si="9"/>
        <v>53500</v>
      </c>
      <c r="E43" s="267">
        <f t="shared" si="9"/>
        <v>53333.333333333336</v>
      </c>
      <c r="F43" s="267">
        <f t="shared" si="9"/>
        <v>53200</v>
      </c>
      <c r="H43" s="266">
        <v>20</v>
      </c>
      <c r="I43" s="267">
        <f t="shared" si="10"/>
        <v>70000</v>
      </c>
      <c r="J43" s="267">
        <f t="shared" si="10"/>
        <v>72400</v>
      </c>
      <c r="K43" s="267">
        <f t="shared" si="10"/>
        <v>75000</v>
      </c>
      <c r="L43" s="267">
        <f t="shared" si="10"/>
        <v>76333.333333333328</v>
      </c>
      <c r="M43" s="267">
        <f t="shared" si="10"/>
        <v>78200</v>
      </c>
      <c r="O43" s="266">
        <v>20</v>
      </c>
      <c r="P43" s="267">
        <f t="shared" si="11"/>
        <v>91800</v>
      </c>
      <c r="Q43" s="267">
        <f t="shared" si="11"/>
        <v>93600</v>
      </c>
      <c r="R43" s="267">
        <f t="shared" si="11"/>
        <v>95500</v>
      </c>
      <c r="S43" s="267">
        <f t="shared" si="11"/>
        <v>96333.333333333328</v>
      </c>
      <c r="T43" s="267">
        <f t="shared" si="11"/>
        <v>97800</v>
      </c>
    </row>
    <row r="44" spans="1:20" x14ac:dyDescent="0.4">
      <c r="A44" s="266">
        <v>24</v>
      </c>
      <c r="B44" s="267">
        <f t="shared" si="9"/>
        <v>57000</v>
      </c>
      <c r="C44" s="267">
        <f t="shared" si="9"/>
        <v>56500</v>
      </c>
      <c r="D44" s="267">
        <f t="shared" si="9"/>
        <v>56000</v>
      </c>
      <c r="E44" s="267">
        <f t="shared" si="9"/>
        <v>56000</v>
      </c>
      <c r="F44" s="267">
        <f t="shared" si="9"/>
        <v>56000</v>
      </c>
      <c r="H44" s="266">
        <v>24</v>
      </c>
      <c r="I44" s="267">
        <f t="shared" si="10"/>
        <v>75200</v>
      </c>
      <c r="J44" s="267">
        <f t="shared" si="10"/>
        <v>77900</v>
      </c>
      <c r="K44" s="267">
        <f t="shared" si="10"/>
        <v>80500</v>
      </c>
      <c r="L44" s="267">
        <f t="shared" si="10"/>
        <v>82333.333333333328</v>
      </c>
      <c r="M44" s="267">
        <f t="shared" si="10"/>
        <v>84200</v>
      </c>
      <c r="O44" s="266">
        <v>24</v>
      </c>
      <c r="P44" s="267">
        <f t="shared" si="11"/>
        <v>98600</v>
      </c>
      <c r="Q44" s="267">
        <f t="shared" si="11"/>
        <v>100000</v>
      </c>
      <c r="R44" s="267">
        <f t="shared" si="11"/>
        <v>102500</v>
      </c>
      <c r="S44" s="267">
        <f t="shared" si="11"/>
        <v>103333.33333333333</v>
      </c>
      <c r="T44" s="267">
        <f t="shared" si="11"/>
        <v>104800</v>
      </c>
    </row>
    <row r="45" spans="1:20" x14ac:dyDescent="0.4">
      <c r="A45" s="266">
        <v>30</v>
      </c>
      <c r="B45" s="267">
        <f t="shared" si="9"/>
        <v>61400</v>
      </c>
      <c r="C45" s="267">
        <f t="shared" si="9"/>
        <v>60900</v>
      </c>
      <c r="D45" s="267">
        <f t="shared" si="9"/>
        <v>60500</v>
      </c>
      <c r="E45" s="267">
        <f t="shared" si="9"/>
        <v>60666.666666666664</v>
      </c>
      <c r="F45" s="267">
        <f t="shared" si="9"/>
        <v>60600</v>
      </c>
      <c r="H45" s="266">
        <v>30</v>
      </c>
      <c r="I45" s="267">
        <f t="shared" si="10"/>
        <v>82400</v>
      </c>
      <c r="J45" s="267">
        <f t="shared" si="10"/>
        <v>85200</v>
      </c>
      <c r="K45" s="267">
        <f t="shared" si="10"/>
        <v>88000</v>
      </c>
      <c r="L45" s="267">
        <f t="shared" si="10"/>
        <v>90000</v>
      </c>
      <c r="M45" s="267">
        <f t="shared" si="10"/>
        <v>92200</v>
      </c>
      <c r="O45" s="266">
        <v>30</v>
      </c>
      <c r="P45" s="267">
        <f t="shared" si="11"/>
        <v>107200</v>
      </c>
      <c r="Q45" s="267">
        <f t="shared" si="11"/>
        <v>109000</v>
      </c>
      <c r="R45" s="267">
        <f t="shared" si="11"/>
        <v>111500</v>
      </c>
      <c r="S45" s="267">
        <f t="shared" si="11"/>
        <v>112666.66666666667</v>
      </c>
      <c r="T45" s="267">
        <f t="shared" si="11"/>
        <v>114200</v>
      </c>
    </row>
    <row r="46" spans="1:20" x14ac:dyDescent="0.4">
      <c r="A46" s="268">
        <v>42</v>
      </c>
      <c r="B46" s="269">
        <f t="shared" si="9"/>
        <v>70400</v>
      </c>
      <c r="C46" s="269">
        <f t="shared" si="9"/>
        <v>69800</v>
      </c>
      <c r="D46" s="269">
        <f t="shared" si="9"/>
        <v>69500</v>
      </c>
      <c r="E46" s="269">
        <f t="shared" si="9"/>
        <v>69333.333333333328</v>
      </c>
      <c r="F46" s="269">
        <f t="shared" si="9"/>
        <v>69400</v>
      </c>
      <c r="H46" s="268">
        <v>42</v>
      </c>
      <c r="I46" s="269">
        <f t="shared" si="10"/>
        <v>94400</v>
      </c>
      <c r="J46" s="269">
        <f t="shared" si="10"/>
        <v>97600</v>
      </c>
      <c r="K46" s="269">
        <f t="shared" si="10"/>
        <v>101000</v>
      </c>
      <c r="L46" s="269">
        <f t="shared" si="10"/>
        <v>103000</v>
      </c>
      <c r="M46" s="269">
        <f t="shared" si="10"/>
        <v>105600</v>
      </c>
      <c r="O46" s="268">
        <v>42</v>
      </c>
      <c r="P46" s="269">
        <f t="shared" si="11"/>
        <v>122000</v>
      </c>
      <c r="Q46" s="269">
        <f t="shared" si="11"/>
        <v>124000</v>
      </c>
      <c r="R46" s="269">
        <f t="shared" si="11"/>
        <v>126500</v>
      </c>
      <c r="S46" s="269">
        <f t="shared" si="11"/>
        <v>128000</v>
      </c>
      <c r="T46" s="269">
        <f t="shared" si="11"/>
        <v>129800</v>
      </c>
    </row>
    <row r="48" spans="1:20" x14ac:dyDescent="0.4">
      <c r="A48" s="270" t="s">
        <v>335</v>
      </c>
      <c r="B48" s="271" t="s">
        <v>18</v>
      </c>
      <c r="C48" s="4" t="str">
        <f>IF(B$5=2011,"  Costs in 2011 dollars/mi","  Costs in 2000 dollars/mi")</f>
        <v xml:space="preserve">  Costs in 2011 dollars/mi</v>
      </c>
      <c r="H48" s="270" t="s">
        <v>335</v>
      </c>
      <c r="I48" s="271" t="str">
        <f>B48</f>
        <v>Misc</v>
      </c>
      <c r="J48" s="4" t="str">
        <f>IF(I$5=2011,"  Costs in 2011 dollars/mi","  Costs in 2004 dollars/mi")</f>
        <v xml:space="preserve">  Costs in 2011 dollars/mi</v>
      </c>
      <c r="O48" s="270" t="s">
        <v>335</v>
      </c>
      <c r="P48" s="271" t="str">
        <f>B48</f>
        <v>Misc</v>
      </c>
      <c r="Q48" s="4" t="str">
        <f>IF(P$5=2011,"  Costs in 2011 dollars/mi","  Costs in 2008 dollars/mi")</f>
        <v xml:space="preserve">  Costs in 2011 dollars/mi</v>
      </c>
    </row>
    <row r="49" spans="1:20" x14ac:dyDescent="0.4">
      <c r="A49" s="411" t="s">
        <v>337</v>
      </c>
      <c r="B49" s="412" t="s">
        <v>338</v>
      </c>
      <c r="C49" s="413"/>
      <c r="D49" s="413"/>
      <c r="E49" s="413"/>
      <c r="F49" s="414"/>
      <c r="H49" s="411" t="s">
        <v>337</v>
      </c>
      <c r="I49" s="412" t="s">
        <v>338</v>
      </c>
      <c r="J49" s="413"/>
      <c r="K49" s="413"/>
      <c r="L49" s="413"/>
      <c r="M49" s="414"/>
      <c r="O49" s="411" t="s">
        <v>337</v>
      </c>
      <c r="P49" s="412" t="s">
        <v>338</v>
      </c>
      <c r="Q49" s="413"/>
      <c r="R49" s="413"/>
      <c r="S49" s="413"/>
      <c r="T49" s="414"/>
    </row>
    <row r="50" spans="1:20" ht="15" thickBot="1" x14ac:dyDescent="0.45">
      <c r="A50" s="263"/>
      <c r="B50" s="263">
        <v>50</v>
      </c>
      <c r="C50" s="263">
        <v>100</v>
      </c>
      <c r="D50" s="263">
        <v>200</v>
      </c>
      <c r="E50" s="263">
        <v>300</v>
      </c>
      <c r="F50" s="263">
        <v>500</v>
      </c>
      <c r="H50" s="263"/>
      <c r="I50" s="263">
        <v>50</v>
      </c>
      <c r="J50" s="263">
        <v>100</v>
      </c>
      <c r="K50" s="263">
        <v>200</v>
      </c>
      <c r="L50" s="263">
        <v>300</v>
      </c>
      <c r="M50" s="263">
        <v>500</v>
      </c>
      <c r="O50" s="263"/>
      <c r="P50" s="263">
        <v>50</v>
      </c>
      <c r="Q50" s="263">
        <v>100</v>
      </c>
      <c r="R50" s="263">
        <v>200</v>
      </c>
      <c r="S50" s="263">
        <v>300</v>
      </c>
      <c r="T50" s="263">
        <v>500</v>
      </c>
    </row>
    <row r="51" spans="1:20" x14ac:dyDescent="0.4">
      <c r="A51" s="264">
        <v>12</v>
      </c>
      <c r="B51" s="265">
        <f t="shared" ref="B51:F56" si="12">sigfig(CpParker($A51,B$50,$B$48,$B$5),$B$3)/B$50</f>
        <v>172000</v>
      </c>
      <c r="C51" s="265">
        <f t="shared" si="12"/>
        <v>171000</v>
      </c>
      <c r="D51" s="265">
        <f t="shared" si="12"/>
        <v>170000</v>
      </c>
      <c r="E51" s="265">
        <f t="shared" si="12"/>
        <v>169666.66666666666</v>
      </c>
      <c r="F51" s="265">
        <f t="shared" si="12"/>
        <v>169400</v>
      </c>
      <c r="H51" s="264">
        <v>12</v>
      </c>
      <c r="I51" s="265">
        <f t="shared" ref="I51:M56" si="13">sigfig(Cpmccoy($H51,I$50,$I$4,$I$48,$I$5),$I$3)/I$50</f>
        <v>148800</v>
      </c>
      <c r="J51" s="265">
        <f t="shared" si="13"/>
        <v>128000</v>
      </c>
      <c r="K51" s="265">
        <f t="shared" si="13"/>
        <v>110000</v>
      </c>
      <c r="L51" s="265">
        <f t="shared" si="13"/>
        <v>101000</v>
      </c>
      <c r="M51" s="265">
        <f t="shared" si="13"/>
        <v>90200</v>
      </c>
      <c r="O51" s="264">
        <v>12</v>
      </c>
      <c r="P51" s="265">
        <f t="shared" ref="P51:T56" si="14">sigfig(CpRui($O51,P$50,$P$4,$P$48,$P$5),$P$3)/P$50</f>
        <v>112000</v>
      </c>
      <c r="Q51" s="265">
        <f t="shared" si="14"/>
        <v>95200</v>
      </c>
      <c r="R51" s="265">
        <f t="shared" si="14"/>
        <v>81000</v>
      </c>
      <c r="S51" s="265">
        <f t="shared" si="14"/>
        <v>73666.666666666672</v>
      </c>
      <c r="T51" s="265">
        <f t="shared" si="14"/>
        <v>65200</v>
      </c>
    </row>
    <row r="52" spans="1:20" x14ac:dyDescent="0.4">
      <c r="A52" s="266">
        <v>16</v>
      </c>
      <c r="B52" s="267">
        <f t="shared" si="12"/>
        <v>224000</v>
      </c>
      <c r="C52" s="267">
        <f t="shared" si="12"/>
        <v>223000</v>
      </c>
      <c r="D52" s="267">
        <f t="shared" si="12"/>
        <v>222500</v>
      </c>
      <c r="E52" s="267">
        <f t="shared" si="12"/>
        <v>222000</v>
      </c>
      <c r="F52" s="267">
        <f t="shared" si="12"/>
        <v>222000</v>
      </c>
      <c r="H52" s="266">
        <v>16</v>
      </c>
      <c r="I52" s="267">
        <f t="shared" si="13"/>
        <v>186800</v>
      </c>
      <c r="J52" s="267">
        <f t="shared" si="13"/>
        <v>161000</v>
      </c>
      <c r="K52" s="267">
        <f t="shared" si="13"/>
        <v>138500</v>
      </c>
      <c r="L52" s="267">
        <f t="shared" si="13"/>
        <v>126666.66666666667</v>
      </c>
      <c r="M52" s="267">
        <f t="shared" si="13"/>
        <v>113400</v>
      </c>
      <c r="O52" s="266">
        <v>16</v>
      </c>
      <c r="P52" s="267">
        <f t="shared" si="14"/>
        <v>145800</v>
      </c>
      <c r="Q52" s="267">
        <f t="shared" si="14"/>
        <v>124000</v>
      </c>
      <c r="R52" s="267">
        <f t="shared" si="14"/>
        <v>105500</v>
      </c>
      <c r="S52" s="267">
        <f t="shared" si="14"/>
        <v>95666.666666666672</v>
      </c>
      <c r="T52" s="267">
        <f t="shared" si="14"/>
        <v>84800</v>
      </c>
    </row>
    <row r="53" spans="1:20" x14ac:dyDescent="0.4">
      <c r="A53" s="266">
        <v>20</v>
      </c>
      <c r="B53" s="267">
        <f t="shared" si="12"/>
        <v>278000</v>
      </c>
      <c r="C53" s="267">
        <f t="shared" si="12"/>
        <v>276000</v>
      </c>
      <c r="D53" s="267">
        <f t="shared" si="12"/>
        <v>275000</v>
      </c>
      <c r="E53" s="267">
        <f t="shared" si="12"/>
        <v>274666.66666666669</v>
      </c>
      <c r="F53" s="267">
        <f t="shared" si="12"/>
        <v>274000</v>
      </c>
      <c r="H53" s="266">
        <v>20</v>
      </c>
      <c r="I53" s="267">
        <f t="shared" si="13"/>
        <v>222000</v>
      </c>
      <c r="J53" s="267">
        <f t="shared" si="13"/>
        <v>192000</v>
      </c>
      <c r="K53" s="267">
        <f t="shared" si="13"/>
        <v>165000</v>
      </c>
      <c r="L53" s="267">
        <f t="shared" si="13"/>
        <v>151000</v>
      </c>
      <c r="M53" s="267">
        <f t="shared" si="13"/>
        <v>135200</v>
      </c>
      <c r="O53" s="266">
        <v>20</v>
      </c>
      <c r="P53" s="267">
        <f t="shared" si="14"/>
        <v>178800</v>
      </c>
      <c r="Q53" s="267">
        <f t="shared" si="14"/>
        <v>152000</v>
      </c>
      <c r="R53" s="267">
        <f t="shared" si="14"/>
        <v>129000</v>
      </c>
      <c r="S53" s="267">
        <f t="shared" si="14"/>
        <v>117333.33333333333</v>
      </c>
      <c r="T53" s="267">
        <f t="shared" si="14"/>
        <v>104200</v>
      </c>
    </row>
    <row r="54" spans="1:20" x14ac:dyDescent="0.4">
      <c r="A54" s="266">
        <v>24</v>
      </c>
      <c r="B54" s="267">
        <f t="shared" si="12"/>
        <v>330000</v>
      </c>
      <c r="C54" s="267">
        <f t="shared" si="12"/>
        <v>328000</v>
      </c>
      <c r="D54" s="267">
        <f t="shared" si="12"/>
        <v>327500</v>
      </c>
      <c r="E54" s="267">
        <f t="shared" si="12"/>
        <v>327333.33333333331</v>
      </c>
      <c r="F54" s="267">
        <f t="shared" si="12"/>
        <v>328000</v>
      </c>
      <c r="H54" s="266">
        <v>24</v>
      </c>
      <c r="I54" s="267">
        <f t="shared" si="13"/>
        <v>258000</v>
      </c>
      <c r="J54" s="267">
        <f t="shared" si="13"/>
        <v>222000</v>
      </c>
      <c r="K54" s="267">
        <f t="shared" si="13"/>
        <v>190500</v>
      </c>
      <c r="L54" s="267">
        <f t="shared" si="13"/>
        <v>174666.66666666666</v>
      </c>
      <c r="M54" s="267">
        <f t="shared" si="13"/>
        <v>156200</v>
      </c>
      <c r="O54" s="266">
        <v>24</v>
      </c>
      <c r="P54" s="267">
        <f t="shared" si="14"/>
        <v>212000</v>
      </c>
      <c r="Q54" s="267">
        <f t="shared" si="14"/>
        <v>180000</v>
      </c>
      <c r="R54" s="267">
        <f t="shared" si="14"/>
        <v>152500</v>
      </c>
      <c r="S54" s="267">
        <f t="shared" si="14"/>
        <v>138666.66666666666</v>
      </c>
      <c r="T54" s="267">
        <f t="shared" si="14"/>
        <v>123000</v>
      </c>
    </row>
    <row r="55" spans="1:20" x14ac:dyDescent="0.4">
      <c r="A55" s="266">
        <v>30</v>
      </c>
      <c r="B55" s="267">
        <f t="shared" si="12"/>
        <v>408000</v>
      </c>
      <c r="C55" s="267">
        <f t="shared" si="12"/>
        <v>407000</v>
      </c>
      <c r="D55" s="267">
        <f t="shared" si="12"/>
        <v>406500</v>
      </c>
      <c r="E55" s="267">
        <f t="shared" si="12"/>
        <v>406666.66666666669</v>
      </c>
      <c r="F55" s="267">
        <f t="shared" si="12"/>
        <v>406000</v>
      </c>
      <c r="H55" s="266">
        <v>30</v>
      </c>
      <c r="I55" s="267">
        <f t="shared" si="13"/>
        <v>308000</v>
      </c>
      <c r="J55" s="267">
        <f t="shared" si="13"/>
        <v>264000</v>
      </c>
      <c r="K55" s="267">
        <f t="shared" si="13"/>
        <v>227500</v>
      </c>
      <c r="L55" s="267">
        <f t="shared" si="13"/>
        <v>208333.33333333334</v>
      </c>
      <c r="M55" s="267">
        <f t="shared" si="13"/>
        <v>186400</v>
      </c>
      <c r="O55" s="266">
        <v>30</v>
      </c>
      <c r="P55" s="267">
        <f t="shared" si="14"/>
        <v>260000</v>
      </c>
      <c r="Q55" s="267">
        <f t="shared" si="14"/>
        <v>220000</v>
      </c>
      <c r="R55" s="267">
        <f t="shared" si="14"/>
        <v>187000</v>
      </c>
      <c r="S55" s="267">
        <f t="shared" si="14"/>
        <v>170333.33333333334</v>
      </c>
      <c r="T55" s="267">
        <f t="shared" si="14"/>
        <v>151000</v>
      </c>
    </row>
    <row r="56" spans="1:20" x14ac:dyDescent="0.4">
      <c r="A56" s="268">
        <v>42</v>
      </c>
      <c r="B56" s="269">
        <f t="shared" si="12"/>
        <v>566000</v>
      </c>
      <c r="C56" s="269">
        <f t="shared" si="12"/>
        <v>565000</v>
      </c>
      <c r="D56" s="269">
        <f t="shared" si="12"/>
        <v>565000</v>
      </c>
      <c r="E56" s="269">
        <f t="shared" si="12"/>
        <v>563333.33333333337</v>
      </c>
      <c r="F56" s="269">
        <f t="shared" si="12"/>
        <v>564000</v>
      </c>
      <c r="H56" s="268">
        <v>42</v>
      </c>
      <c r="I56" s="269">
        <f t="shared" si="13"/>
        <v>400000</v>
      </c>
      <c r="J56" s="269">
        <f t="shared" si="13"/>
        <v>345000</v>
      </c>
      <c r="K56" s="269">
        <f t="shared" si="13"/>
        <v>297000</v>
      </c>
      <c r="L56" s="269">
        <f t="shared" si="13"/>
        <v>271666.66666666669</v>
      </c>
      <c r="M56" s="269">
        <f t="shared" si="13"/>
        <v>244000</v>
      </c>
      <c r="O56" s="268">
        <v>42</v>
      </c>
      <c r="P56" s="269">
        <f t="shared" si="14"/>
        <v>352000</v>
      </c>
      <c r="Q56" s="269">
        <f t="shared" si="14"/>
        <v>300000</v>
      </c>
      <c r="R56" s="269">
        <f t="shared" si="14"/>
        <v>255000</v>
      </c>
      <c r="S56" s="269">
        <f t="shared" si="14"/>
        <v>231666.66666666666</v>
      </c>
      <c r="T56" s="269">
        <f t="shared" si="14"/>
        <v>206000</v>
      </c>
    </row>
    <row r="58" spans="1:20" x14ac:dyDescent="0.4">
      <c r="A58" s="270" t="s">
        <v>335</v>
      </c>
      <c r="B58" s="271" t="s">
        <v>502</v>
      </c>
      <c r="C58" s="4" t="s">
        <v>503</v>
      </c>
      <c r="H58" s="270" t="s">
        <v>335</v>
      </c>
      <c r="I58" s="271" t="s">
        <v>502</v>
      </c>
      <c r="J58" s="4" t="s">
        <v>503</v>
      </c>
      <c r="O58" s="270" t="s">
        <v>335</v>
      </c>
      <c r="P58" s="271" t="s">
        <v>502</v>
      </c>
      <c r="Q58" s="4" t="s">
        <v>503</v>
      </c>
    </row>
    <row r="59" spans="1:20" x14ac:dyDescent="0.4">
      <c r="A59" s="411" t="s">
        <v>337</v>
      </c>
      <c r="B59" s="412" t="s">
        <v>338</v>
      </c>
      <c r="C59" s="413"/>
      <c r="D59" s="413"/>
      <c r="E59" s="413"/>
      <c r="F59" s="414"/>
      <c r="H59" s="411" t="s">
        <v>337</v>
      </c>
      <c r="I59" s="412" t="s">
        <v>338</v>
      </c>
      <c r="J59" s="413"/>
      <c r="K59" s="413"/>
      <c r="L59" s="413"/>
      <c r="M59" s="414"/>
      <c r="O59" s="411" t="s">
        <v>337</v>
      </c>
      <c r="P59" s="412" t="s">
        <v>338</v>
      </c>
      <c r="Q59" s="413"/>
      <c r="R59" s="413"/>
      <c r="S59" s="413"/>
      <c r="T59" s="414"/>
    </row>
    <row r="60" spans="1:20" ht="15" thickBot="1" x14ac:dyDescent="0.45">
      <c r="A60" s="263"/>
      <c r="B60" s="263">
        <v>50</v>
      </c>
      <c r="C60" s="263">
        <v>100</v>
      </c>
      <c r="D60" s="263">
        <v>200</v>
      </c>
      <c r="E60" s="263">
        <v>300</v>
      </c>
      <c r="F60" s="263">
        <v>500</v>
      </c>
      <c r="H60" s="263"/>
      <c r="I60" s="263">
        <v>50</v>
      </c>
      <c r="J60" s="263">
        <v>100</v>
      </c>
      <c r="K60" s="263">
        <v>200</v>
      </c>
      <c r="L60" s="263">
        <v>300</v>
      </c>
      <c r="M60" s="263">
        <v>500</v>
      </c>
      <c r="O60" s="263"/>
      <c r="P60" s="263">
        <v>50</v>
      </c>
      <c r="Q60" s="263">
        <v>100</v>
      </c>
      <c r="R60" s="263">
        <v>200</v>
      </c>
      <c r="S60" s="263">
        <v>300</v>
      </c>
      <c r="T60" s="263">
        <v>500</v>
      </c>
    </row>
    <row r="61" spans="1:20" x14ac:dyDescent="0.4">
      <c r="A61" s="264">
        <v>12</v>
      </c>
      <c r="B61" s="415">
        <f>((B21+B31+B41+B51)-B11)/B11</f>
        <v>2.257336343115124E-4</v>
      </c>
      <c r="C61" s="415">
        <f t="shared" ref="C61:F61" si="15">((C21+C31+C41+C51)-C11)/C11</f>
        <v>-4.540295119182747E-4</v>
      </c>
      <c r="D61" s="415">
        <f t="shared" si="15"/>
        <v>3.2571428571428573E-3</v>
      </c>
      <c r="E61" s="415">
        <f t="shared" si="15"/>
        <v>3.8022813688217354E-4</v>
      </c>
      <c r="F61" s="415">
        <f t="shared" si="15"/>
        <v>-9.1324200913242006E-4</v>
      </c>
      <c r="H61" s="264">
        <v>12</v>
      </c>
      <c r="I61" s="415">
        <f>((I21+I31+I41+I51)-I11)/I11</f>
        <v>-3.3222591362126248E-4</v>
      </c>
      <c r="J61" s="415">
        <f t="shared" ref="J61:M61" si="16">((J21+J31+J41+J51)-J11)/J11</f>
        <v>1.4787430683918669E-3</v>
      </c>
      <c r="K61" s="415">
        <f t="shared" si="16"/>
        <v>-1.0235414534288639E-3</v>
      </c>
      <c r="L61" s="415">
        <f t="shared" si="16"/>
        <v>7.2463768115950465E-4</v>
      </c>
      <c r="M61" s="415">
        <f t="shared" si="16"/>
        <v>-1.869158878504673E-3</v>
      </c>
      <c r="O61" s="264">
        <v>12</v>
      </c>
      <c r="P61" s="415">
        <f>((P21+P31+P41+P51)-P11)/P11</f>
        <v>2.1459227467811159E-3</v>
      </c>
      <c r="Q61" s="415">
        <f t="shared" ref="Q61:T61" si="17">((Q21+Q31+Q41+Q51)-Q11)/Q11</f>
        <v>-4.7619047619047619E-4</v>
      </c>
      <c r="R61" s="415">
        <f t="shared" si="17"/>
        <v>0</v>
      </c>
      <c r="S61" s="415">
        <f t="shared" si="17"/>
        <v>-3.7037037037036496E-3</v>
      </c>
      <c r="T61" s="415">
        <f t="shared" si="17"/>
        <v>5.9880239520958083E-4</v>
      </c>
    </row>
    <row r="62" spans="1:20" x14ac:dyDescent="0.4">
      <c r="A62" s="266">
        <v>16</v>
      </c>
      <c r="B62" s="416">
        <f t="shared" ref="B62:F62" si="18">((B22+B32+B42+B52)-B12)/B12</f>
        <v>-8.960573476702509E-4</v>
      </c>
      <c r="C62" s="416">
        <f t="shared" si="18"/>
        <v>-3.6036036036036037E-4</v>
      </c>
      <c r="D62" s="416">
        <f t="shared" si="18"/>
        <v>0</v>
      </c>
      <c r="E62" s="416">
        <f t="shared" si="18"/>
        <v>-9.0361445783153566E-4</v>
      </c>
      <c r="F62" s="416">
        <f t="shared" si="18"/>
        <v>1.8115942028985507E-4</v>
      </c>
      <c r="H62" s="266">
        <v>16</v>
      </c>
      <c r="I62" s="416">
        <f t="shared" ref="I62:M62" si="19">((I22+I32+I42+I52)-I12)/I12</f>
        <v>2.5188916876574307E-4</v>
      </c>
      <c r="J62" s="416">
        <f t="shared" si="19"/>
        <v>1.3986013986013986E-4</v>
      </c>
      <c r="K62" s="416">
        <f t="shared" si="19"/>
        <v>-7.7519379844961239E-4</v>
      </c>
      <c r="L62" s="416">
        <f t="shared" si="19"/>
        <v>1.9189338762681563E-16</v>
      </c>
      <c r="M62" s="416">
        <f t="shared" si="19"/>
        <v>1.4184397163120568E-3</v>
      </c>
      <c r="O62" s="266">
        <v>16</v>
      </c>
      <c r="P62" s="416">
        <f t="shared" ref="P62:T62" si="20">((P22+P32+P42+P52)-P12)/P12</f>
        <v>6.5146579804560263E-4</v>
      </c>
      <c r="Q62" s="416">
        <f t="shared" si="20"/>
        <v>0</v>
      </c>
      <c r="R62" s="416">
        <f t="shared" si="20"/>
        <v>0</v>
      </c>
      <c r="S62" s="416">
        <f t="shared" si="20"/>
        <v>2.8571428571428155E-3</v>
      </c>
      <c r="T62" s="416">
        <f t="shared" si="20"/>
        <v>2.304147465437788E-3</v>
      </c>
    </row>
    <row r="63" spans="1:20" x14ac:dyDescent="0.4">
      <c r="A63" s="266">
        <v>20</v>
      </c>
      <c r="B63" s="416">
        <f t="shared" ref="B63:F63" si="21">((B23+B33+B43+B53)-B13)/B13</f>
        <v>0</v>
      </c>
      <c r="C63" s="416">
        <f t="shared" si="21"/>
        <v>1.8115942028985507E-3</v>
      </c>
      <c r="D63" s="416">
        <f t="shared" si="21"/>
        <v>1.0869565217391304E-3</v>
      </c>
      <c r="E63" s="416">
        <f t="shared" si="21"/>
        <v>-1.4492753623188406E-3</v>
      </c>
      <c r="F63" s="416">
        <f t="shared" si="21"/>
        <v>-5.8055152394775032E-4</v>
      </c>
      <c r="H63" s="266">
        <v>20</v>
      </c>
      <c r="I63" s="416">
        <f t="shared" ref="I63:M63" si="22">((I23+I33+I43+I53)-I13)/I13</f>
        <v>0</v>
      </c>
      <c r="J63" s="416">
        <f t="shared" si="22"/>
        <v>4.4843049327354261E-4</v>
      </c>
      <c r="K63" s="416">
        <f t="shared" si="22"/>
        <v>-1.2422360248447205E-3</v>
      </c>
      <c r="L63" s="416">
        <f t="shared" si="22"/>
        <v>1.3215859030838543E-3</v>
      </c>
      <c r="M63" s="416">
        <f t="shared" si="22"/>
        <v>-2.2727272727272726E-3</v>
      </c>
      <c r="O63" s="266">
        <v>20</v>
      </c>
      <c r="P63" s="416">
        <f t="shared" ref="P63:T63" si="23">((P23+P33+P43+P53)-P13)/P13</f>
        <v>1.0498687664041995E-3</v>
      </c>
      <c r="Q63" s="416">
        <f t="shared" si="23"/>
        <v>8.7719298245614037E-4</v>
      </c>
      <c r="R63" s="416">
        <f t="shared" si="23"/>
        <v>0</v>
      </c>
      <c r="S63" s="416">
        <f t="shared" si="23"/>
        <v>-2.2988505747127104E-3</v>
      </c>
      <c r="T63" s="416">
        <f t="shared" si="23"/>
        <v>-7.4349442379182155E-4</v>
      </c>
    </row>
    <row r="64" spans="1:20" x14ac:dyDescent="0.4">
      <c r="A64" s="266">
        <v>24</v>
      </c>
      <c r="B64" s="416">
        <f t="shared" ref="B64:F64" si="24">((B24+B34+B44+B54)-B14)/B14</f>
        <v>-5.8616647127784287E-4</v>
      </c>
      <c r="C64" s="416">
        <f t="shared" si="24"/>
        <v>-8.8235294117647062E-4</v>
      </c>
      <c r="D64" s="416">
        <f t="shared" si="24"/>
        <v>-5.8997050147492625E-4</v>
      </c>
      <c r="E64" s="416">
        <f t="shared" si="24"/>
        <v>0</v>
      </c>
      <c r="F64" s="416">
        <f t="shared" si="24"/>
        <v>0</v>
      </c>
      <c r="H64" s="266">
        <v>24</v>
      </c>
      <c r="I64" s="416">
        <f t="shared" ref="I64:M64" si="25">((I24+I34+I44+I54)-I14)/I14</f>
        <v>1.0050251256281408E-3</v>
      </c>
      <c r="J64" s="416">
        <f t="shared" si="25"/>
        <v>3.6448598130841121E-3</v>
      </c>
      <c r="K64" s="416">
        <f t="shared" si="25"/>
        <v>2.0725388601036268E-3</v>
      </c>
      <c r="L64" s="416">
        <f t="shared" si="25"/>
        <v>2.5641025641024787E-3</v>
      </c>
      <c r="M64" s="416">
        <f t="shared" si="25"/>
        <v>4.7281323877068556E-4</v>
      </c>
      <c r="O64" s="266">
        <v>24</v>
      </c>
      <c r="P64" s="416">
        <f t="shared" ref="P64:T64" si="26">((P24+P34+P44+P54)-P14)/P14</f>
        <v>2.8446389496717722E-3</v>
      </c>
      <c r="Q64" s="416">
        <f t="shared" si="26"/>
        <v>0</v>
      </c>
      <c r="R64" s="416">
        <f t="shared" si="26"/>
        <v>1.3605442176870747E-3</v>
      </c>
      <c r="S64" s="416">
        <f t="shared" si="26"/>
        <v>-1.9230769230769789E-3</v>
      </c>
      <c r="T64" s="416">
        <f t="shared" si="26"/>
        <v>-9.3457943925233649E-4</v>
      </c>
    </row>
    <row r="65" spans="1:20" x14ac:dyDescent="0.4">
      <c r="A65" s="266">
        <v>30</v>
      </c>
      <c r="B65" s="416">
        <f t="shared" ref="B65:F65" si="27">((B25+B35+B45+B55)-B15)/B15</f>
        <v>6.1946902654867254E-4</v>
      </c>
      <c r="C65" s="416">
        <f t="shared" si="27"/>
        <v>1.2888888888888889E-3</v>
      </c>
      <c r="D65" s="416">
        <f t="shared" si="27"/>
        <v>8.8888888888888893E-4</v>
      </c>
      <c r="E65" s="416">
        <f t="shared" si="27"/>
        <v>2.9629629629643426E-4</v>
      </c>
      <c r="F65" s="416">
        <f t="shared" si="27"/>
        <v>3.8392857142857144E-3</v>
      </c>
      <c r="H65" s="266">
        <v>30</v>
      </c>
      <c r="I65" s="416">
        <f t="shared" ref="I65:M65" si="28">((I25+I35+I45+I55)-I15)/I15</f>
        <v>1.5957446808510637E-3</v>
      </c>
      <c r="J65" s="416">
        <f t="shared" si="28"/>
        <v>2.3703703703703703E-3</v>
      </c>
      <c r="K65" s="416">
        <f t="shared" si="28"/>
        <v>0</v>
      </c>
      <c r="L65" s="416">
        <f t="shared" si="28"/>
        <v>-5.7971014492760376E-4</v>
      </c>
      <c r="M65" s="416">
        <f t="shared" si="28"/>
        <v>5.6179775280898881E-4</v>
      </c>
      <c r="O65" s="266">
        <v>30</v>
      </c>
      <c r="P65" s="416">
        <f t="shared" ref="P65:T65" si="29">((P25+P35+P45+P55)-P15)/P15</f>
        <v>1.0452961672473868E-3</v>
      </c>
      <c r="Q65" s="416">
        <f t="shared" si="29"/>
        <v>-3.8834951456310678E-3</v>
      </c>
      <c r="R65" s="416">
        <f t="shared" si="29"/>
        <v>1.6304347826086956E-3</v>
      </c>
      <c r="S65" s="416">
        <f t="shared" si="29"/>
        <v>1.3432537133877094E-16</v>
      </c>
      <c r="T65" s="416">
        <f t="shared" si="29"/>
        <v>1.4962593516209476E-3</v>
      </c>
    </row>
    <row r="66" spans="1:20" x14ac:dyDescent="0.4">
      <c r="A66" s="268">
        <v>42</v>
      </c>
      <c r="B66" s="417">
        <f t="shared" ref="B66:F66" si="30">((B26+B36+B46+B56)-B16)/B16</f>
        <v>1.2021857923497268E-3</v>
      </c>
      <c r="C66" s="417">
        <f t="shared" si="30"/>
        <v>1.3114754098360656E-3</v>
      </c>
      <c r="D66" s="417">
        <f t="shared" si="30"/>
        <v>-1.3679890560875513E-4</v>
      </c>
      <c r="E66" s="417">
        <f t="shared" si="30"/>
        <v>-2.9090909090907398E-3</v>
      </c>
      <c r="F66" s="417">
        <f t="shared" si="30"/>
        <v>-1.2568306010928962E-3</v>
      </c>
      <c r="H66" s="268">
        <v>42</v>
      </c>
      <c r="I66" s="417">
        <f t="shared" ref="I66:M66" si="31">((I26+I36+I46+I56)-I16)/I16</f>
        <v>-1.6666666666666668E-3</v>
      </c>
      <c r="J66" s="417">
        <f t="shared" si="31"/>
        <v>2.3711340206185568E-3</v>
      </c>
      <c r="K66" s="417">
        <f t="shared" si="31"/>
        <v>1.7094017094017094E-3</v>
      </c>
      <c r="L66" s="417">
        <f t="shared" si="31"/>
        <v>-1.2072434607645875E-3</v>
      </c>
      <c r="M66" s="417">
        <f t="shared" si="31"/>
        <v>1.0403120936280884E-3</v>
      </c>
      <c r="O66" s="268">
        <v>42</v>
      </c>
      <c r="P66" s="417">
        <f t="shared" ref="P66:T66" si="32">((P26+P36+P46+P56)-P16)/P16</f>
        <v>0</v>
      </c>
      <c r="Q66" s="417">
        <f t="shared" si="32"/>
        <v>0</v>
      </c>
      <c r="R66" s="417">
        <f t="shared" si="32"/>
        <v>-1.1450381679389313E-3</v>
      </c>
      <c r="S66" s="417">
        <f t="shared" si="32"/>
        <v>-2.7100271002703717E-4</v>
      </c>
      <c r="T66" s="417">
        <f t="shared" si="32"/>
        <v>1.5845070422535212E-3</v>
      </c>
    </row>
    <row r="67" spans="1:20" x14ac:dyDescent="0.4">
      <c r="A67" s="418"/>
      <c r="B67" s="419"/>
      <c r="C67" s="419"/>
      <c r="D67" s="419"/>
      <c r="E67" s="419"/>
      <c r="F67" s="419"/>
      <c r="H67" s="418"/>
      <c r="I67" s="419"/>
      <c r="J67" s="419"/>
      <c r="K67" s="419"/>
      <c r="L67" s="419"/>
      <c r="M67" s="419"/>
      <c r="O67" s="418"/>
      <c r="P67" s="419"/>
      <c r="Q67" s="419"/>
      <c r="R67" s="419"/>
      <c r="S67" s="419"/>
      <c r="T67" s="419"/>
    </row>
    <row r="68" spans="1:20" x14ac:dyDescent="0.4">
      <c r="A68" s="270" t="s">
        <v>335</v>
      </c>
      <c r="B68" s="271"/>
      <c r="C68" s="4" t="s">
        <v>506</v>
      </c>
      <c r="H68" s="270" t="s">
        <v>335</v>
      </c>
      <c r="I68" s="271"/>
      <c r="J68" s="4" t="s">
        <v>506</v>
      </c>
      <c r="O68" s="270" t="s">
        <v>335</v>
      </c>
      <c r="P68" s="271"/>
      <c r="Q68" s="4" t="s">
        <v>506</v>
      </c>
    </row>
    <row r="69" spans="1:20" x14ac:dyDescent="0.4">
      <c r="A69" s="411" t="s">
        <v>337</v>
      </c>
      <c r="B69" s="412" t="s">
        <v>338</v>
      </c>
      <c r="C69" s="413"/>
      <c r="D69" s="413"/>
      <c r="E69" s="413"/>
      <c r="F69" s="414"/>
      <c r="H69" s="411" t="s">
        <v>337</v>
      </c>
      <c r="I69" s="412" t="s">
        <v>338</v>
      </c>
      <c r="J69" s="413"/>
      <c r="K69" s="413"/>
      <c r="L69" s="413"/>
      <c r="M69" s="414"/>
      <c r="O69" s="411" t="s">
        <v>337</v>
      </c>
      <c r="P69" s="412" t="s">
        <v>338</v>
      </c>
      <c r="Q69" s="413"/>
      <c r="R69" s="413"/>
      <c r="S69" s="413"/>
      <c r="T69" s="414"/>
    </row>
    <row r="70" spans="1:20" ht="15" thickBot="1" x14ac:dyDescent="0.45">
      <c r="A70" s="263"/>
      <c r="B70" s="263">
        <v>50</v>
      </c>
      <c r="C70" s="263">
        <v>100</v>
      </c>
      <c r="D70" s="263">
        <v>200</v>
      </c>
      <c r="E70" s="263">
        <v>300</v>
      </c>
      <c r="F70" s="263">
        <v>500</v>
      </c>
      <c r="H70" s="263"/>
      <c r="I70" s="263">
        <v>50</v>
      </c>
      <c r="J70" s="263">
        <v>100</v>
      </c>
      <c r="K70" s="263">
        <v>200</v>
      </c>
      <c r="L70" s="263">
        <v>300</v>
      </c>
      <c r="M70" s="263">
        <v>500</v>
      </c>
      <c r="O70" s="263"/>
      <c r="P70" s="263">
        <v>50</v>
      </c>
      <c r="Q70" s="263">
        <v>100</v>
      </c>
      <c r="R70" s="263">
        <v>200</v>
      </c>
      <c r="S70" s="263">
        <v>300</v>
      </c>
      <c r="T70" s="263">
        <v>500</v>
      </c>
    </row>
    <row r="71" spans="1:20" x14ac:dyDescent="0.4">
      <c r="A71" s="264">
        <v>12</v>
      </c>
      <c r="B71" s="415">
        <f>(B21+B31)/B11</f>
        <v>0.75169300225733637</v>
      </c>
      <c r="C71" s="415">
        <f t="shared" ref="C71:F71" si="33">(C21+C31)/C11</f>
        <v>0.75141884222474464</v>
      </c>
      <c r="D71" s="415">
        <f t="shared" si="33"/>
        <v>0.75485714285714289</v>
      </c>
      <c r="E71" s="415">
        <f t="shared" si="33"/>
        <v>0.75285171102661597</v>
      </c>
      <c r="F71" s="415">
        <f t="shared" si="33"/>
        <v>0.7518264840182648</v>
      </c>
      <c r="H71" s="264">
        <v>12</v>
      </c>
      <c r="I71" s="415">
        <f>(I21+I31)/I11</f>
        <v>0.65780730897009965</v>
      </c>
      <c r="J71" s="415">
        <f t="shared" ref="J71:M71" si="34">(J21+J31)/J11</f>
        <v>0.656007393715342</v>
      </c>
      <c r="K71" s="415">
        <f t="shared" si="34"/>
        <v>0.64892528147389972</v>
      </c>
      <c r="L71" s="415">
        <f t="shared" si="34"/>
        <v>0.64637681159420302</v>
      </c>
      <c r="M71" s="415">
        <f t="shared" si="34"/>
        <v>0.63831775700934579</v>
      </c>
      <c r="O71" s="264">
        <v>12</v>
      </c>
      <c r="P71" s="415">
        <f>(P21+P31)/P11</f>
        <v>0.59957081545064372</v>
      </c>
      <c r="Q71" s="415">
        <f t="shared" ref="Q71:T71" si="35">(Q21+Q31)/Q11</f>
        <v>0.58952380952380956</v>
      </c>
      <c r="R71" s="415">
        <f t="shared" si="35"/>
        <v>0.58026315789473681</v>
      </c>
      <c r="S71" s="415">
        <f t="shared" si="35"/>
        <v>0.5712962962962963</v>
      </c>
      <c r="T71" s="415">
        <f t="shared" si="35"/>
        <v>0.56467065868263477</v>
      </c>
    </row>
    <row r="72" spans="1:20" x14ac:dyDescent="0.4">
      <c r="A72" s="266">
        <v>16</v>
      </c>
      <c r="B72" s="416">
        <f t="shared" ref="B72:F72" si="36">(B22+B32)/B12</f>
        <v>0.75268817204301075</v>
      </c>
      <c r="C72" s="416">
        <f t="shared" si="36"/>
        <v>0.75315315315315312</v>
      </c>
      <c r="D72" s="416">
        <f t="shared" si="36"/>
        <v>0.75294117647058822</v>
      </c>
      <c r="E72" s="416">
        <f t="shared" si="36"/>
        <v>0.75301204819277101</v>
      </c>
      <c r="F72" s="416">
        <f t="shared" si="36"/>
        <v>0.75362318840579712</v>
      </c>
      <c r="H72" s="266">
        <v>16</v>
      </c>
      <c r="I72" s="416">
        <f t="shared" ref="I72:M72" si="37">(I22+I32)/I12</f>
        <v>0.68438287153652388</v>
      </c>
      <c r="J72" s="416">
        <f t="shared" si="37"/>
        <v>0.68251748251748257</v>
      </c>
      <c r="K72" s="416">
        <f t="shared" si="37"/>
        <v>0.67829457364341084</v>
      </c>
      <c r="L72" s="416">
        <f t="shared" si="37"/>
        <v>0.67637362637362652</v>
      </c>
      <c r="M72" s="416">
        <f t="shared" si="37"/>
        <v>0.67340425531914894</v>
      </c>
      <c r="O72" s="266">
        <v>16</v>
      </c>
      <c r="P72" s="416">
        <f t="shared" ref="P72:T72" si="38">(P22+P32)/P12</f>
        <v>0.62573289902280127</v>
      </c>
      <c r="Q72" s="416">
        <f t="shared" si="38"/>
        <v>0.61887477313974593</v>
      </c>
      <c r="R72" s="416">
        <f t="shared" si="38"/>
        <v>0.61127895266868082</v>
      </c>
      <c r="S72" s="416">
        <f t="shared" si="38"/>
        <v>0.60785714285714276</v>
      </c>
      <c r="T72" s="416">
        <f t="shared" si="38"/>
        <v>0.6</v>
      </c>
    </row>
    <row r="73" spans="1:20" x14ac:dyDescent="0.4">
      <c r="A73" s="266">
        <v>20</v>
      </c>
      <c r="B73" s="416">
        <f t="shared" ref="B73:F73" si="39">(B23+B33)/B13</f>
        <v>0.76115107913669067</v>
      </c>
      <c r="C73" s="416">
        <f t="shared" si="39"/>
        <v>0.7630434782608696</v>
      </c>
      <c r="D73" s="416">
        <f t="shared" si="39"/>
        <v>0.7630434782608696</v>
      </c>
      <c r="E73" s="416">
        <f t="shared" si="39"/>
        <v>0.76086956521739135</v>
      </c>
      <c r="F73" s="416">
        <f t="shared" si="39"/>
        <v>0.76197387518142234</v>
      </c>
      <c r="H73" s="266">
        <v>20</v>
      </c>
      <c r="I73" s="416">
        <f t="shared" ref="I73:M73" si="40">(I23+I33)/I13</f>
        <v>0.70564516129032262</v>
      </c>
      <c r="J73" s="416">
        <f t="shared" si="40"/>
        <v>0.70403587443946192</v>
      </c>
      <c r="K73" s="416">
        <f t="shared" si="40"/>
        <v>0.70062111801242233</v>
      </c>
      <c r="L73" s="416">
        <f t="shared" si="40"/>
        <v>0.70088105726872252</v>
      </c>
      <c r="M73" s="416">
        <f t="shared" si="40"/>
        <v>0.69460227272727271</v>
      </c>
      <c r="O73" s="266">
        <v>20</v>
      </c>
      <c r="P73" s="416">
        <f t="shared" ref="P73:T73" si="41">(P23+P33)/P13</f>
        <v>0.6459317585301837</v>
      </c>
      <c r="Q73" s="416">
        <f t="shared" si="41"/>
        <v>0.64181286549707606</v>
      </c>
      <c r="R73" s="416">
        <f t="shared" si="41"/>
        <v>0.63495934959349598</v>
      </c>
      <c r="S73" s="416">
        <f t="shared" si="41"/>
        <v>0.62931034482758619</v>
      </c>
      <c r="T73" s="416">
        <f t="shared" si="41"/>
        <v>0.62379182156133828</v>
      </c>
    </row>
    <row r="74" spans="1:20" x14ac:dyDescent="0.4">
      <c r="A74" s="266">
        <v>24</v>
      </c>
      <c r="B74" s="416">
        <f t="shared" ref="B74:F74" si="42">(B24+B34)/B14</f>
        <v>0.77256740914419697</v>
      </c>
      <c r="C74" s="416">
        <f t="shared" si="42"/>
        <v>0.77294117647058824</v>
      </c>
      <c r="D74" s="416">
        <f t="shared" si="42"/>
        <v>0.77315634218289087</v>
      </c>
      <c r="E74" s="416">
        <f t="shared" si="42"/>
        <v>0.77362204724409456</v>
      </c>
      <c r="F74" s="416">
        <f t="shared" si="42"/>
        <v>0.77331759149940971</v>
      </c>
      <c r="H74" s="266">
        <v>24</v>
      </c>
      <c r="I74" s="416">
        <f t="shared" ref="I74:M74" si="43">(I24+I34)/I14</f>
        <v>0.72194304857621439</v>
      </c>
      <c r="J74" s="416">
        <f t="shared" si="43"/>
        <v>0.72336448598130842</v>
      </c>
      <c r="K74" s="416">
        <f t="shared" si="43"/>
        <v>0.72124352331606223</v>
      </c>
      <c r="L74" s="416">
        <f t="shared" si="43"/>
        <v>0.72014652014652003</v>
      </c>
      <c r="M74" s="416">
        <f t="shared" si="43"/>
        <v>0.71631205673758869</v>
      </c>
      <c r="O74" s="266">
        <v>24</v>
      </c>
      <c r="P74" s="416">
        <f t="shared" ref="P74:T74" si="44">(P24+P34)/P14</f>
        <v>0.66301969365426694</v>
      </c>
      <c r="Q74" s="416">
        <f t="shared" si="44"/>
        <v>0.65811965811965811</v>
      </c>
      <c r="R74" s="416">
        <f t="shared" si="44"/>
        <v>0.65442176870748303</v>
      </c>
      <c r="S74" s="416">
        <f t="shared" si="44"/>
        <v>0.64903846153846145</v>
      </c>
      <c r="T74" s="416">
        <f t="shared" si="44"/>
        <v>0.64423676012461062</v>
      </c>
    </row>
    <row r="75" spans="1:20" x14ac:dyDescent="0.4">
      <c r="A75" s="266">
        <v>30</v>
      </c>
      <c r="B75" s="416">
        <f t="shared" ref="B75:F75" si="45">(B25+B35)/B15</f>
        <v>0.79292035398230087</v>
      </c>
      <c r="C75" s="416">
        <f t="shared" si="45"/>
        <v>0.79333333333333333</v>
      </c>
      <c r="D75" s="416">
        <f t="shared" si="45"/>
        <v>0.79333333333333333</v>
      </c>
      <c r="E75" s="416">
        <f t="shared" si="45"/>
        <v>0.79259259259259263</v>
      </c>
      <c r="F75" s="416">
        <f t="shared" si="45"/>
        <v>0.79553571428571423</v>
      </c>
      <c r="H75" s="266">
        <v>30</v>
      </c>
      <c r="I75" s="416">
        <f t="shared" ref="I75:M75" si="46">(I25+I35)/I15</f>
        <v>0.74202127659574468</v>
      </c>
      <c r="J75" s="416">
        <f t="shared" si="46"/>
        <v>0.74370370370370376</v>
      </c>
      <c r="K75" s="416">
        <f t="shared" si="46"/>
        <v>0.74139344262295082</v>
      </c>
      <c r="L75" s="416">
        <f t="shared" si="46"/>
        <v>0.74</v>
      </c>
      <c r="M75" s="416">
        <f t="shared" si="46"/>
        <v>0.73970037453183524</v>
      </c>
      <c r="O75" s="266">
        <v>30</v>
      </c>
      <c r="P75" s="416">
        <f t="shared" ref="P75:T75" si="47">(P25+P35)/P15</f>
        <v>0.68118466898954699</v>
      </c>
      <c r="Q75" s="416">
        <f t="shared" si="47"/>
        <v>0.6766990291262136</v>
      </c>
      <c r="R75" s="416">
        <f t="shared" si="47"/>
        <v>0.67717391304347829</v>
      </c>
      <c r="S75" s="416">
        <f t="shared" si="47"/>
        <v>0.67346153846153856</v>
      </c>
      <c r="T75" s="416">
        <f t="shared" si="47"/>
        <v>0.67082294264339148</v>
      </c>
    </row>
    <row r="76" spans="1:20" x14ac:dyDescent="0.4">
      <c r="A76" s="268">
        <v>42</v>
      </c>
      <c r="B76" s="417">
        <f t="shared" ref="B76:F76" si="48">(B26+B36)/B16</f>
        <v>0.82732240437158466</v>
      </c>
      <c r="C76" s="417">
        <f t="shared" si="48"/>
        <v>0.82786885245901642</v>
      </c>
      <c r="D76" s="417">
        <f t="shared" si="48"/>
        <v>0.82626538987688103</v>
      </c>
      <c r="E76" s="417">
        <f t="shared" si="48"/>
        <v>0.82454545454545458</v>
      </c>
      <c r="F76" s="417">
        <f t="shared" si="48"/>
        <v>0.8256830601092896</v>
      </c>
      <c r="H76" s="268">
        <v>42</v>
      </c>
      <c r="I76" s="417">
        <f t="shared" ref="I76:M76" si="49">(I26+I36)/I16</f>
        <v>0.76944444444444449</v>
      </c>
      <c r="J76" s="417">
        <f t="shared" si="49"/>
        <v>0.77422680412371137</v>
      </c>
      <c r="K76" s="417">
        <f t="shared" si="49"/>
        <v>0.77492877492877488</v>
      </c>
      <c r="L76" s="417">
        <f t="shared" si="49"/>
        <v>0.77263581488933597</v>
      </c>
      <c r="M76" s="417">
        <f t="shared" si="49"/>
        <v>0.77373211963589072</v>
      </c>
      <c r="O76" s="268">
        <v>42</v>
      </c>
      <c r="P76" s="417">
        <f t="shared" ref="P76:T76" si="50">(P26+P36)/P16</f>
        <v>0.7095588235294118</v>
      </c>
      <c r="Q76" s="417">
        <f t="shared" si="50"/>
        <v>0.70958904109589038</v>
      </c>
      <c r="R76" s="417">
        <f t="shared" si="50"/>
        <v>0.70763358778625951</v>
      </c>
      <c r="S76" s="417">
        <f t="shared" si="50"/>
        <v>0.70731707317073167</v>
      </c>
      <c r="T76" s="417">
        <f t="shared" si="50"/>
        <v>0.70598591549295775</v>
      </c>
    </row>
    <row r="77" spans="1:20" x14ac:dyDescent="0.4">
      <c r="A77" s="418"/>
      <c r="B77" s="419"/>
      <c r="C77" s="419"/>
      <c r="D77" s="419"/>
      <c r="E77" s="419"/>
      <c r="F77" s="419"/>
      <c r="H77" s="418"/>
      <c r="I77" s="419"/>
      <c r="J77" s="419"/>
      <c r="K77" s="419"/>
      <c r="L77" s="419"/>
      <c r="M77" s="419"/>
      <c r="O77" s="418"/>
      <c r="P77" s="419"/>
      <c r="Q77" s="419"/>
      <c r="R77" s="419"/>
      <c r="S77" s="419"/>
      <c r="T77" s="419"/>
    </row>
    <row r="78" spans="1:20" x14ac:dyDescent="0.4">
      <c r="A78" s="418"/>
      <c r="B78" s="419"/>
      <c r="C78" s="419"/>
      <c r="D78" s="419"/>
      <c r="E78" s="419"/>
      <c r="F78" s="419"/>
      <c r="H78" s="418"/>
      <c r="I78" s="419"/>
      <c r="J78" s="419"/>
      <c r="K78" s="419"/>
      <c r="L78" s="419"/>
      <c r="M78" s="419"/>
      <c r="O78" s="418"/>
      <c r="P78" s="419"/>
      <c r="Q78" s="419"/>
      <c r="R78" s="419"/>
      <c r="S78" s="419"/>
      <c r="T78" s="419"/>
    </row>
    <row r="118" spans="1:20" x14ac:dyDescent="0.4">
      <c r="A118" s="418" t="s">
        <v>542</v>
      </c>
      <c r="B118" s="419"/>
      <c r="C118" s="419"/>
      <c r="D118" s="419"/>
      <c r="E118" s="419"/>
      <c r="F118" s="419"/>
      <c r="H118" s="418" t="s">
        <v>543</v>
      </c>
      <c r="I118" s="419"/>
      <c r="J118" s="419"/>
      <c r="K118" s="419"/>
      <c r="L118" s="419"/>
      <c r="M118" s="419"/>
      <c r="O118" s="418" t="s">
        <v>544</v>
      </c>
      <c r="P118" s="419"/>
      <c r="Q118" s="419"/>
      <c r="R118" s="419"/>
      <c r="S118" s="419"/>
      <c r="T118" s="419"/>
    </row>
    <row r="119" spans="1:20" x14ac:dyDescent="0.4">
      <c r="A119" s="418" t="s">
        <v>9</v>
      </c>
      <c r="B119" s="446" t="s">
        <v>539</v>
      </c>
      <c r="C119" s="419"/>
      <c r="D119" s="419"/>
      <c r="E119" s="419"/>
      <c r="F119" s="419"/>
      <c r="H119" s="418" t="s">
        <v>9</v>
      </c>
      <c r="I119" s="446" t="s">
        <v>539</v>
      </c>
      <c r="J119" s="419"/>
      <c r="K119" s="419"/>
      <c r="L119" s="419"/>
      <c r="M119" s="419"/>
      <c r="O119" s="418" t="s">
        <v>9</v>
      </c>
      <c r="P119" s="446" t="s">
        <v>539</v>
      </c>
      <c r="Q119" s="419"/>
      <c r="R119" s="419"/>
      <c r="S119" s="419"/>
      <c r="T119" s="419"/>
    </row>
    <row r="120" spans="1:20" x14ac:dyDescent="0.4">
      <c r="A120" s="411" t="s">
        <v>337</v>
      </c>
      <c r="B120" s="412" t="s">
        <v>338</v>
      </c>
      <c r="C120" s="413"/>
      <c r="D120" s="413"/>
      <c r="E120" s="413"/>
      <c r="F120" s="414"/>
      <c r="H120" s="411" t="s">
        <v>337</v>
      </c>
      <c r="I120" s="412" t="s">
        <v>338</v>
      </c>
      <c r="J120" s="413"/>
      <c r="K120" s="413"/>
      <c r="L120" s="413"/>
      <c r="M120" s="414"/>
      <c r="O120" s="411" t="s">
        <v>337</v>
      </c>
      <c r="P120" s="412" t="s">
        <v>338</v>
      </c>
      <c r="Q120" s="413"/>
      <c r="R120" s="413"/>
      <c r="S120" s="413"/>
      <c r="T120" s="414"/>
    </row>
    <row r="121" spans="1:20" ht="15" thickBot="1" x14ac:dyDescent="0.45">
      <c r="A121" s="263"/>
      <c r="B121" s="263">
        <v>50</v>
      </c>
      <c r="C121" s="263">
        <v>100</v>
      </c>
      <c r="D121" s="263">
        <v>200</v>
      </c>
      <c r="E121" s="263">
        <v>300</v>
      </c>
      <c r="F121" s="263">
        <v>500</v>
      </c>
      <c r="H121" s="263"/>
      <c r="I121" s="263">
        <v>50</v>
      </c>
      <c r="J121" s="263">
        <v>100</v>
      </c>
      <c r="K121" s="263">
        <v>200</v>
      </c>
      <c r="L121" s="263">
        <v>300</v>
      </c>
      <c r="M121" s="263">
        <v>500</v>
      </c>
      <c r="O121" s="263"/>
      <c r="P121" s="263">
        <v>50</v>
      </c>
      <c r="Q121" s="263">
        <v>100</v>
      </c>
      <c r="R121" s="263">
        <v>200</v>
      </c>
      <c r="S121" s="263">
        <v>300</v>
      </c>
      <c r="T121" s="263">
        <v>500</v>
      </c>
    </row>
    <row r="122" spans="1:20" x14ac:dyDescent="0.4">
      <c r="A122" s="447" t="s">
        <v>540</v>
      </c>
      <c r="B122" s="448">
        <f>B21</f>
        <v>168000</v>
      </c>
      <c r="C122" s="448">
        <f t="shared" ref="C122:F122" si="51">C21</f>
        <v>167000</v>
      </c>
      <c r="D122" s="448">
        <f t="shared" si="51"/>
        <v>167000</v>
      </c>
      <c r="E122" s="448">
        <f t="shared" si="51"/>
        <v>166666.66666666666</v>
      </c>
      <c r="F122" s="448">
        <f t="shared" si="51"/>
        <v>166600</v>
      </c>
      <c r="H122" s="447" t="s">
        <v>540</v>
      </c>
      <c r="I122" s="448">
        <f>I21</f>
        <v>92000</v>
      </c>
      <c r="J122" s="448">
        <f>J21</f>
        <v>85900</v>
      </c>
      <c r="K122" s="448">
        <f>K21</f>
        <v>80000</v>
      </c>
      <c r="L122" s="448">
        <f>L21</f>
        <v>77000</v>
      </c>
      <c r="M122" s="448">
        <f>M21</f>
        <v>73200</v>
      </c>
      <c r="O122" s="447" t="s">
        <v>540</v>
      </c>
      <c r="P122" s="448">
        <f>P21</f>
        <v>88000</v>
      </c>
      <c r="Q122" s="448">
        <f>Q21</f>
        <v>80600</v>
      </c>
      <c r="R122" s="448">
        <f>R21</f>
        <v>74000</v>
      </c>
      <c r="S122" s="448">
        <f>S21</f>
        <v>70000</v>
      </c>
      <c r="T122" s="448">
        <f>T21</f>
        <v>65600</v>
      </c>
    </row>
    <row r="123" spans="1:20" x14ac:dyDescent="0.4">
      <c r="A123" s="266" t="s">
        <v>17</v>
      </c>
      <c r="B123" s="449">
        <f>B31</f>
        <v>498000</v>
      </c>
      <c r="C123" s="449">
        <f t="shared" ref="C123:F123" si="52">C31</f>
        <v>495000</v>
      </c>
      <c r="D123" s="449">
        <f t="shared" si="52"/>
        <v>493500</v>
      </c>
      <c r="E123" s="449">
        <f t="shared" si="52"/>
        <v>493333.33333333331</v>
      </c>
      <c r="F123" s="449">
        <f t="shared" si="52"/>
        <v>492000</v>
      </c>
      <c r="H123" s="266" t="s">
        <v>17</v>
      </c>
      <c r="I123" s="449">
        <f>I31</f>
        <v>304000</v>
      </c>
      <c r="J123" s="449">
        <f>J31</f>
        <v>269000</v>
      </c>
      <c r="K123" s="449">
        <f>K31</f>
        <v>237000</v>
      </c>
      <c r="L123" s="449">
        <f>L31</f>
        <v>220333.33333333334</v>
      </c>
      <c r="M123" s="449">
        <f>M31</f>
        <v>200000</v>
      </c>
      <c r="O123" s="266" t="s">
        <v>17</v>
      </c>
      <c r="P123" s="449">
        <f>P31</f>
        <v>191400</v>
      </c>
      <c r="Q123" s="449">
        <f>Q31</f>
        <v>167000</v>
      </c>
      <c r="R123" s="449">
        <f>R31</f>
        <v>146500</v>
      </c>
      <c r="S123" s="449">
        <f>S31</f>
        <v>135666.66666666666</v>
      </c>
      <c r="T123" s="449">
        <f>T31</f>
        <v>123000</v>
      </c>
    </row>
    <row r="124" spans="1:20" x14ac:dyDescent="0.4">
      <c r="A124" s="266" t="s">
        <v>288</v>
      </c>
      <c r="B124" s="449">
        <f>B41</f>
        <v>48200</v>
      </c>
      <c r="C124" s="449">
        <f t="shared" ref="C124:F124" si="53">C41</f>
        <v>47600</v>
      </c>
      <c r="D124" s="449">
        <f t="shared" si="53"/>
        <v>47350</v>
      </c>
      <c r="E124" s="449">
        <f t="shared" si="53"/>
        <v>47333.333333333336</v>
      </c>
      <c r="F124" s="449">
        <f t="shared" si="53"/>
        <v>47200</v>
      </c>
      <c r="H124" s="266" t="s">
        <v>288</v>
      </c>
      <c r="I124" s="449">
        <f>I41</f>
        <v>57000</v>
      </c>
      <c r="J124" s="449">
        <f>J41</f>
        <v>58900</v>
      </c>
      <c r="K124" s="449">
        <f>K41</f>
        <v>61000</v>
      </c>
      <c r="L124" s="449">
        <f>L41</f>
        <v>62000</v>
      </c>
      <c r="M124" s="449">
        <f>M41</f>
        <v>63800</v>
      </c>
      <c r="O124" s="266" t="s">
        <v>288</v>
      </c>
      <c r="P124" s="449">
        <f>P41</f>
        <v>75600</v>
      </c>
      <c r="Q124" s="449">
        <f>Q41</f>
        <v>77000</v>
      </c>
      <c r="R124" s="449">
        <f>R41</f>
        <v>78500</v>
      </c>
      <c r="S124" s="449">
        <f>S41</f>
        <v>79333.333333333328</v>
      </c>
      <c r="T124" s="449">
        <f>T41</f>
        <v>80400</v>
      </c>
    </row>
    <row r="125" spans="1:20" x14ac:dyDescent="0.4">
      <c r="A125" s="266" t="s">
        <v>18</v>
      </c>
      <c r="B125" s="449">
        <f>B51</f>
        <v>172000</v>
      </c>
      <c r="C125" s="449">
        <f t="shared" ref="C125:F125" si="54">C51</f>
        <v>171000</v>
      </c>
      <c r="D125" s="449">
        <f t="shared" si="54"/>
        <v>170000</v>
      </c>
      <c r="E125" s="449">
        <f t="shared" si="54"/>
        <v>169666.66666666666</v>
      </c>
      <c r="F125" s="449">
        <f t="shared" si="54"/>
        <v>169400</v>
      </c>
      <c r="H125" s="266" t="s">
        <v>18</v>
      </c>
      <c r="I125" s="449">
        <f>I51</f>
        <v>148800</v>
      </c>
      <c r="J125" s="449">
        <f>J51</f>
        <v>128000</v>
      </c>
      <c r="K125" s="449">
        <f>K51</f>
        <v>110000</v>
      </c>
      <c r="L125" s="449">
        <f>L51</f>
        <v>101000</v>
      </c>
      <c r="M125" s="449">
        <f>M51</f>
        <v>90200</v>
      </c>
      <c r="O125" s="266" t="s">
        <v>18</v>
      </c>
      <c r="P125" s="449">
        <f>P51</f>
        <v>112000</v>
      </c>
      <c r="Q125" s="449">
        <f>Q51</f>
        <v>95200</v>
      </c>
      <c r="R125" s="449">
        <f>R51</f>
        <v>81000</v>
      </c>
      <c r="S125" s="449">
        <f>S51</f>
        <v>73666.666666666672</v>
      </c>
      <c r="T125" s="449">
        <f>T51</f>
        <v>65200</v>
      </c>
    </row>
    <row r="126" spans="1:20" x14ac:dyDescent="0.4">
      <c r="A126" s="268" t="s">
        <v>541</v>
      </c>
      <c r="B126" s="450">
        <f>SUM(B122:B125)</f>
        <v>886200</v>
      </c>
      <c r="C126" s="450">
        <f t="shared" ref="C126:F126" si="55">SUM(C122:C125)</f>
        <v>880600</v>
      </c>
      <c r="D126" s="450">
        <f t="shared" si="55"/>
        <v>877850</v>
      </c>
      <c r="E126" s="450">
        <f t="shared" si="55"/>
        <v>877000</v>
      </c>
      <c r="F126" s="450">
        <f t="shared" si="55"/>
        <v>875200</v>
      </c>
      <c r="H126" s="268" t="s">
        <v>541</v>
      </c>
      <c r="I126" s="450">
        <f>SUM(I122:I125)</f>
        <v>601800</v>
      </c>
      <c r="J126" s="450">
        <f>SUM(J122:J125)</f>
        <v>541800</v>
      </c>
      <c r="K126" s="450">
        <f>SUM(K122:K125)</f>
        <v>488000</v>
      </c>
      <c r="L126" s="450">
        <f>SUM(L122:L125)</f>
        <v>460333.33333333337</v>
      </c>
      <c r="M126" s="450">
        <f>SUM(M122:M125)</f>
        <v>427200</v>
      </c>
      <c r="O126" s="268" t="s">
        <v>541</v>
      </c>
      <c r="P126" s="450">
        <f>SUM(P122:P125)</f>
        <v>467000</v>
      </c>
      <c r="Q126" s="450">
        <f>SUM(Q122:Q125)</f>
        <v>419800</v>
      </c>
      <c r="R126" s="450">
        <f>SUM(R122:R125)</f>
        <v>380000</v>
      </c>
      <c r="S126" s="450">
        <f>SUM(S122:S125)</f>
        <v>358666.66666666669</v>
      </c>
      <c r="T126" s="450">
        <f>SUM(T122:T125)</f>
        <v>334200</v>
      </c>
    </row>
    <row r="127" spans="1:20" x14ac:dyDescent="0.4">
      <c r="A127" s="418"/>
      <c r="B127" s="419"/>
      <c r="C127" s="419"/>
      <c r="D127" s="419"/>
      <c r="E127" s="419"/>
      <c r="F127" s="419"/>
      <c r="H127" s="418"/>
      <c r="I127" s="419"/>
      <c r="J127" s="419"/>
      <c r="K127" s="419"/>
      <c r="L127" s="419"/>
      <c r="M127" s="419"/>
      <c r="O127" s="418"/>
      <c r="P127" s="419"/>
      <c r="Q127" s="419"/>
      <c r="R127" s="419"/>
      <c r="S127" s="419"/>
      <c r="T127" s="419"/>
    </row>
    <row r="128" spans="1:20" x14ac:dyDescent="0.4">
      <c r="A128" s="411" t="s">
        <v>337</v>
      </c>
      <c r="B128" s="412" t="s">
        <v>338</v>
      </c>
      <c r="C128" s="413"/>
      <c r="D128" s="413"/>
      <c r="E128" s="413"/>
      <c r="F128" s="414"/>
      <c r="H128" s="411" t="s">
        <v>337</v>
      </c>
      <c r="I128" s="412" t="s">
        <v>338</v>
      </c>
      <c r="J128" s="413"/>
      <c r="K128" s="413"/>
      <c r="L128" s="413"/>
      <c r="M128" s="414"/>
      <c r="O128" s="411" t="s">
        <v>337</v>
      </c>
      <c r="P128" s="412" t="s">
        <v>338</v>
      </c>
      <c r="Q128" s="413"/>
      <c r="R128" s="413"/>
      <c r="S128" s="413"/>
      <c r="T128" s="414"/>
    </row>
    <row r="129" spans="1:20" ht="15" thickBot="1" x14ac:dyDescent="0.45">
      <c r="A129" s="263"/>
      <c r="B129" s="263">
        <v>50</v>
      </c>
      <c r="C129" s="263">
        <v>100</v>
      </c>
      <c r="D129" s="263">
        <v>200</v>
      </c>
      <c r="E129" s="263">
        <v>300</v>
      </c>
      <c r="F129" s="263">
        <v>500</v>
      </c>
      <c r="H129" s="263"/>
      <c r="I129" s="263">
        <v>50</v>
      </c>
      <c r="J129" s="263">
        <v>100</v>
      </c>
      <c r="K129" s="263">
        <v>200</v>
      </c>
      <c r="L129" s="263">
        <v>300</v>
      </c>
      <c r="M129" s="263">
        <v>500</v>
      </c>
      <c r="O129" s="263"/>
      <c r="P129" s="263">
        <v>50</v>
      </c>
      <c r="Q129" s="263">
        <v>100</v>
      </c>
      <c r="R129" s="263">
        <v>200</v>
      </c>
      <c r="S129" s="263">
        <v>300</v>
      </c>
      <c r="T129" s="263">
        <v>500</v>
      </c>
    </row>
    <row r="130" spans="1:20" x14ac:dyDescent="0.4">
      <c r="A130" s="447" t="s">
        <v>540</v>
      </c>
      <c r="B130" s="451">
        <f>B122/B$126</f>
        <v>0.1895734597156398</v>
      </c>
      <c r="C130" s="451">
        <f>C122/C$126</f>
        <v>0.18964342493754258</v>
      </c>
      <c r="D130" s="451">
        <f>D122/D$126</f>
        <v>0.19023751210343454</v>
      </c>
      <c r="E130" s="451">
        <f>E122/E$126</f>
        <v>0.19004180919802355</v>
      </c>
      <c r="F130" s="451">
        <f>F122/F$126</f>
        <v>0.19035648994515539</v>
      </c>
      <c r="H130" s="447" t="s">
        <v>540</v>
      </c>
      <c r="I130" s="451">
        <f>I122/I$126</f>
        <v>0.15287470920571619</v>
      </c>
      <c r="J130" s="451">
        <f>J122/J$126</f>
        <v>0.15854558877814692</v>
      </c>
      <c r="K130" s="451">
        <f>K122/K$126</f>
        <v>0.16393442622950818</v>
      </c>
      <c r="L130" s="451">
        <f>L122/L$126</f>
        <v>0.16727009413468499</v>
      </c>
      <c r="M130" s="451">
        <f>M122/M$126</f>
        <v>0.17134831460674158</v>
      </c>
      <c r="O130" s="447" t="s">
        <v>540</v>
      </c>
      <c r="P130" s="451">
        <f>P122/P$126</f>
        <v>0.18843683083511778</v>
      </c>
      <c r="Q130" s="451">
        <f>Q122/Q$126</f>
        <v>0.19199618866126728</v>
      </c>
      <c r="R130" s="451">
        <f>R122/R$126</f>
        <v>0.19473684210526315</v>
      </c>
      <c r="S130" s="451">
        <f>S122/S$126</f>
        <v>0.19516728624535315</v>
      </c>
      <c r="T130" s="451">
        <f>T122/T$126</f>
        <v>0.19628964691801318</v>
      </c>
    </row>
    <row r="131" spans="1:20" x14ac:dyDescent="0.4">
      <c r="A131" s="266" t="s">
        <v>17</v>
      </c>
      <c r="B131" s="452">
        <f t="shared" ref="B131:C133" si="56">B123/B$126</f>
        <v>0.56194989844278942</v>
      </c>
      <c r="C131" s="452">
        <f t="shared" si="56"/>
        <v>0.5621167385873268</v>
      </c>
      <c r="D131" s="452">
        <f t="shared" ref="D131:F131" si="57">D123/D$126</f>
        <v>0.56216893546733493</v>
      </c>
      <c r="E131" s="452">
        <f t="shared" si="57"/>
        <v>0.56252375522614972</v>
      </c>
      <c r="F131" s="452">
        <f t="shared" si="57"/>
        <v>0.5621572212065814</v>
      </c>
      <c r="H131" s="266" t="s">
        <v>17</v>
      </c>
      <c r="I131" s="452">
        <f t="shared" ref="I131:M131" si="58">I123/I$126</f>
        <v>0.50515121302758392</v>
      </c>
      <c r="J131" s="452">
        <f t="shared" si="58"/>
        <v>0.49649317091177558</v>
      </c>
      <c r="K131" s="452">
        <f t="shared" si="58"/>
        <v>0.48565573770491804</v>
      </c>
      <c r="L131" s="452">
        <f t="shared" si="58"/>
        <v>0.47863866763215057</v>
      </c>
      <c r="M131" s="452">
        <f t="shared" si="58"/>
        <v>0.46816479400749061</v>
      </c>
      <c r="O131" s="266" t="s">
        <v>17</v>
      </c>
      <c r="P131" s="452">
        <f t="shared" ref="P131:T131" si="59">P123/P$126</f>
        <v>0.40985010706638114</v>
      </c>
      <c r="Q131" s="452">
        <f t="shared" si="59"/>
        <v>0.39780848022868032</v>
      </c>
      <c r="R131" s="452">
        <f t="shared" si="59"/>
        <v>0.38552631578947366</v>
      </c>
      <c r="S131" s="452">
        <f t="shared" si="59"/>
        <v>0.37825278810408919</v>
      </c>
      <c r="T131" s="452">
        <f t="shared" si="59"/>
        <v>0.36804308797127466</v>
      </c>
    </row>
    <row r="132" spans="1:20" x14ac:dyDescent="0.4">
      <c r="A132" s="266" t="s">
        <v>288</v>
      </c>
      <c r="B132" s="452">
        <f t="shared" si="56"/>
        <v>5.4389528323177609E-2</v>
      </c>
      <c r="C132" s="452">
        <f t="shared" si="56"/>
        <v>5.4054054054054057E-2</v>
      </c>
      <c r="D132" s="452">
        <f t="shared" ref="D132:F132" si="60">D124/D$126</f>
        <v>5.3938599988608532E-2</v>
      </c>
      <c r="E132" s="452">
        <f t="shared" si="60"/>
        <v>5.3971873812238697E-2</v>
      </c>
      <c r="F132" s="452">
        <f t="shared" si="60"/>
        <v>5.3930530164533821E-2</v>
      </c>
      <c r="H132" s="266" t="s">
        <v>288</v>
      </c>
      <c r="I132" s="452">
        <f t="shared" ref="I132:M132" si="61">I124/I$126</f>
        <v>9.4715852442671986E-2</v>
      </c>
      <c r="J132" s="452">
        <f t="shared" si="61"/>
        <v>0.10871170173495755</v>
      </c>
      <c r="K132" s="452">
        <f t="shared" si="61"/>
        <v>0.125</v>
      </c>
      <c r="L132" s="452">
        <f t="shared" si="61"/>
        <v>0.1346850108616944</v>
      </c>
      <c r="M132" s="452">
        <f t="shared" si="61"/>
        <v>0.14934456928838952</v>
      </c>
      <c r="O132" s="266" t="s">
        <v>288</v>
      </c>
      <c r="P132" s="452">
        <f t="shared" ref="P132:T132" si="62">P124/P$126</f>
        <v>0.16188436830835118</v>
      </c>
      <c r="Q132" s="452">
        <f t="shared" si="62"/>
        <v>0.18342067651262506</v>
      </c>
      <c r="R132" s="452">
        <f t="shared" si="62"/>
        <v>0.20657894736842106</v>
      </c>
      <c r="S132" s="452">
        <f t="shared" si="62"/>
        <v>0.22118959107806688</v>
      </c>
      <c r="T132" s="452">
        <f t="shared" si="62"/>
        <v>0.24057450628366248</v>
      </c>
    </row>
    <row r="133" spans="1:20" x14ac:dyDescent="0.4">
      <c r="A133" s="266" t="s">
        <v>18</v>
      </c>
      <c r="B133" s="452">
        <f t="shared" si="56"/>
        <v>0.19408711351839314</v>
      </c>
      <c r="C133" s="452">
        <f t="shared" si="56"/>
        <v>0.19418578242107654</v>
      </c>
      <c r="D133" s="452">
        <f t="shared" ref="D133:F133" si="63">D125/D$126</f>
        <v>0.19365495244062197</v>
      </c>
      <c r="E133" s="452">
        <f t="shared" si="63"/>
        <v>0.19346256176358798</v>
      </c>
      <c r="F133" s="452">
        <f t="shared" si="63"/>
        <v>0.19355575868372943</v>
      </c>
      <c r="H133" s="266" t="s">
        <v>18</v>
      </c>
      <c r="I133" s="452">
        <f t="shared" ref="I133:M133" si="64">I125/I$126</f>
        <v>0.24725822532402791</v>
      </c>
      <c r="J133" s="452">
        <f t="shared" si="64"/>
        <v>0.23624953857511996</v>
      </c>
      <c r="K133" s="452">
        <f t="shared" si="64"/>
        <v>0.22540983606557377</v>
      </c>
      <c r="L133" s="452">
        <f t="shared" si="64"/>
        <v>0.21940622737146992</v>
      </c>
      <c r="M133" s="452">
        <f t="shared" si="64"/>
        <v>0.21114232209737827</v>
      </c>
      <c r="O133" s="266" t="s">
        <v>18</v>
      </c>
      <c r="P133" s="452">
        <f t="shared" ref="P133:T133" si="65">P125/P$126</f>
        <v>0.2398286937901499</v>
      </c>
      <c r="Q133" s="452">
        <f t="shared" si="65"/>
        <v>0.22677465459742735</v>
      </c>
      <c r="R133" s="452">
        <f t="shared" si="65"/>
        <v>0.2131578947368421</v>
      </c>
      <c r="S133" s="452">
        <f t="shared" si="65"/>
        <v>0.2053903345724907</v>
      </c>
      <c r="T133" s="452">
        <f t="shared" si="65"/>
        <v>0.19509275882704968</v>
      </c>
    </row>
    <row r="134" spans="1:20" x14ac:dyDescent="0.4">
      <c r="A134" s="268" t="s">
        <v>541</v>
      </c>
      <c r="B134" s="453">
        <f>SUM(B130:B133)</f>
        <v>0.99999999999999989</v>
      </c>
      <c r="C134" s="453">
        <f>SUM(C130:C133)</f>
        <v>1</v>
      </c>
      <c r="D134" s="453">
        <f>SUM(D130:D133)</f>
        <v>1</v>
      </c>
      <c r="E134" s="453">
        <f>SUM(E130:E133)</f>
        <v>1</v>
      </c>
      <c r="F134" s="453">
        <f>SUM(F130:F133)</f>
        <v>1</v>
      </c>
      <c r="H134" s="268" t="s">
        <v>541</v>
      </c>
      <c r="I134" s="453">
        <f>SUM(I130:I133)</f>
        <v>1</v>
      </c>
      <c r="J134" s="453">
        <f>SUM(J130:J133)</f>
        <v>1</v>
      </c>
      <c r="K134" s="453">
        <f>SUM(K130:K133)</f>
        <v>1</v>
      </c>
      <c r="L134" s="453">
        <f>SUM(L130:L133)</f>
        <v>0.99999999999999978</v>
      </c>
      <c r="M134" s="453">
        <f>SUM(M130:M133)</f>
        <v>1</v>
      </c>
      <c r="O134" s="268" t="s">
        <v>541</v>
      </c>
      <c r="P134" s="453">
        <f>SUM(P130:P133)</f>
        <v>1</v>
      </c>
      <c r="Q134" s="453">
        <f>SUM(Q130:Q133)</f>
        <v>1</v>
      </c>
      <c r="R134" s="453">
        <f>SUM(R130:R133)</f>
        <v>1</v>
      </c>
      <c r="S134" s="453">
        <f>SUM(S130:S133)</f>
        <v>0.99999999999999989</v>
      </c>
      <c r="T134" s="453">
        <f>SUM(T130:T133)</f>
        <v>1</v>
      </c>
    </row>
    <row r="135" spans="1:20" x14ac:dyDescent="0.4">
      <c r="A135" s="418"/>
      <c r="B135" s="419"/>
      <c r="C135" s="419"/>
      <c r="D135" s="419"/>
      <c r="E135" s="419"/>
      <c r="F135" s="419"/>
      <c r="H135" s="418"/>
      <c r="I135" s="419"/>
      <c r="J135" s="419"/>
      <c r="K135" s="419"/>
      <c r="L135" s="419"/>
      <c r="M135" s="419"/>
      <c r="O135" s="418"/>
      <c r="P135" s="419"/>
      <c r="Q135" s="419"/>
      <c r="R135" s="419"/>
      <c r="S135" s="419"/>
      <c r="T135" s="419"/>
    </row>
    <row r="136" spans="1:20" x14ac:dyDescent="0.4">
      <c r="A136" s="418" t="s">
        <v>545</v>
      </c>
      <c r="B136" s="419"/>
      <c r="C136" s="419"/>
      <c r="D136" s="419"/>
      <c r="E136" s="419"/>
      <c r="F136" s="419"/>
      <c r="H136" s="418"/>
      <c r="I136" s="419"/>
      <c r="J136" s="419"/>
      <c r="K136" s="419"/>
      <c r="L136" s="419"/>
      <c r="M136" s="419"/>
      <c r="O136" s="418"/>
      <c r="P136" s="419"/>
      <c r="Q136" s="419"/>
      <c r="R136" s="419"/>
      <c r="S136" s="419"/>
      <c r="T136" s="419"/>
    </row>
    <row r="137" spans="1:20" x14ac:dyDescent="0.4">
      <c r="A137" s="418"/>
      <c r="B137" s="419"/>
      <c r="C137" s="419"/>
      <c r="D137" s="419"/>
      <c r="E137" s="419"/>
      <c r="F137" s="419"/>
      <c r="H137" s="418"/>
      <c r="I137" s="419"/>
      <c r="J137" s="419"/>
      <c r="K137" s="419"/>
      <c r="L137" s="419"/>
      <c r="M137" s="419"/>
      <c r="O137" s="418"/>
      <c r="P137" s="419"/>
      <c r="Q137" s="419"/>
      <c r="R137" s="419"/>
      <c r="S137" s="419"/>
      <c r="T137" s="419"/>
    </row>
    <row r="138" spans="1:20" x14ac:dyDescent="0.4">
      <c r="A138" s="418"/>
      <c r="B138" s="419"/>
      <c r="C138" s="419"/>
      <c r="D138" s="419"/>
      <c r="E138" s="419"/>
      <c r="F138" s="419"/>
      <c r="H138" s="418"/>
      <c r="I138" s="419"/>
      <c r="J138" s="419"/>
      <c r="K138" s="419"/>
      <c r="L138" s="419"/>
      <c r="M138" s="419"/>
      <c r="O138" s="418"/>
      <c r="P138" s="419"/>
      <c r="Q138" s="419"/>
      <c r="R138" s="419"/>
      <c r="S138" s="419"/>
      <c r="T138" s="419"/>
    </row>
    <row r="139" spans="1:20" x14ac:dyDescent="0.4">
      <c r="A139" s="418"/>
      <c r="B139" s="419"/>
      <c r="C139" s="419"/>
      <c r="D139" s="419"/>
      <c r="E139" s="419"/>
      <c r="F139" s="419"/>
      <c r="H139" s="418"/>
      <c r="I139" s="419"/>
      <c r="J139" s="419"/>
      <c r="K139" s="419"/>
      <c r="L139" s="419"/>
      <c r="M139" s="419"/>
      <c r="O139" s="418"/>
      <c r="P139" s="419"/>
      <c r="Q139" s="419"/>
      <c r="R139" s="419"/>
      <c r="S139" s="419"/>
      <c r="T139" s="419"/>
    </row>
    <row r="140" spans="1:20" x14ac:dyDescent="0.4">
      <c r="A140" s="418"/>
      <c r="B140" s="419"/>
      <c r="C140" s="419"/>
      <c r="D140" s="419"/>
      <c r="E140" s="419"/>
      <c r="F140" s="419"/>
      <c r="H140" s="418"/>
      <c r="I140" s="419"/>
      <c r="J140" s="419"/>
      <c r="K140" s="419"/>
      <c r="L140" s="419"/>
      <c r="M140" s="419"/>
      <c r="O140" s="418"/>
      <c r="P140" s="419"/>
      <c r="Q140" s="419"/>
      <c r="R140" s="419"/>
      <c r="S140" s="419"/>
      <c r="T140" s="419"/>
    </row>
    <row r="141" spans="1:20" x14ac:dyDescent="0.4">
      <c r="A141" s="418"/>
      <c r="B141" s="419"/>
      <c r="C141" s="419"/>
      <c r="D141" s="419"/>
      <c r="E141" s="419"/>
      <c r="F141" s="419"/>
      <c r="H141" s="418"/>
      <c r="I141" s="419"/>
      <c r="J141" s="419"/>
      <c r="K141" s="419"/>
      <c r="L141" s="419"/>
      <c r="M141" s="419"/>
      <c r="O141" s="418"/>
      <c r="P141" s="419"/>
      <c r="Q141" s="419"/>
      <c r="R141" s="419"/>
      <c r="S141" s="419"/>
      <c r="T141" s="419"/>
    </row>
    <row r="142" spans="1:20" x14ac:dyDescent="0.4">
      <c r="A142" s="418"/>
      <c r="B142" s="419"/>
      <c r="C142" s="419"/>
      <c r="D142" s="419"/>
      <c r="E142" s="419"/>
      <c r="F142" s="419"/>
      <c r="H142" s="418"/>
      <c r="I142" s="419"/>
      <c r="J142" s="419"/>
      <c r="K142" s="419"/>
      <c r="L142" s="419"/>
      <c r="M142" s="419"/>
      <c r="O142" s="418"/>
      <c r="P142" s="419"/>
      <c r="Q142" s="419"/>
      <c r="R142" s="419"/>
      <c r="S142" s="419"/>
      <c r="T142" s="419"/>
    </row>
    <row r="143" spans="1:20" x14ac:dyDescent="0.4">
      <c r="A143" s="418"/>
      <c r="B143" s="419"/>
      <c r="C143" s="419"/>
      <c r="D143" s="419"/>
      <c r="E143" s="419"/>
      <c r="F143" s="419"/>
      <c r="H143" s="418"/>
      <c r="I143" s="419"/>
      <c r="J143" s="419"/>
      <c r="K143" s="419"/>
      <c r="L143" s="419"/>
      <c r="M143" s="419"/>
      <c r="O143" s="418"/>
      <c r="P143" s="419"/>
      <c r="Q143" s="419"/>
      <c r="R143" s="419"/>
      <c r="S143" s="419"/>
      <c r="T143" s="419"/>
    </row>
    <row r="144" spans="1:20" x14ac:dyDescent="0.4">
      <c r="A144" s="418"/>
      <c r="B144" s="419"/>
      <c r="C144" s="419"/>
      <c r="D144" s="419"/>
      <c r="E144" s="419"/>
      <c r="F144" s="419"/>
      <c r="H144" s="418"/>
      <c r="I144" s="419"/>
      <c r="J144" s="419"/>
      <c r="K144" s="419"/>
      <c r="L144" s="419"/>
      <c r="M144" s="419"/>
      <c r="O144" s="418"/>
      <c r="P144" s="419"/>
      <c r="Q144" s="419"/>
      <c r="R144" s="419"/>
      <c r="S144" s="419"/>
      <c r="T144" s="419"/>
    </row>
    <row r="145" spans="1:20" x14ac:dyDescent="0.4">
      <c r="A145" s="418"/>
      <c r="B145" s="419"/>
      <c r="C145" s="419"/>
      <c r="D145" s="419"/>
      <c r="E145" s="419"/>
      <c r="F145" s="419"/>
      <c r="H145" s="418"/>
      <c r="I145" s="419"/>
      <c r="J145" s="419"/>
      <c r="K145" s="419"/>
      <c r="L145" s="419"/>
      <c r="M145" s="419"/>
      <c r="O145" s="418"/>
      <c r="P145" s="419"/>
      <c r="Q145" s="419"/>
      <c r="R145" s="419"/>
      <c r="S145" s="419"/>
      <c r="T145" s="419"/>
    </row>
    <row r="146" spans="1:20" x14ac:dyDescent="0.4">
      <c r="A146" s="418"/>
      <c r="B146" s="419"/>
      <c r="C146" s="419"/>
      <c r="D146" s="419"/>
      <c r="E146" s="419"/>
      <c r="F146" s="419"/>
      <c r="H146" s="418"/>
      <c r="I146" s="419"/>
      <c r="J146" s="419"/>
      <c r="K146" s="419"/>
      <c r="L146" s="419"/>
      <c r="M146" s="419"/>
      <c r="O146" s="418"/>
      <c r="P146" s="419"/>
      <c r="Q146" s="419"/>
      <c r="R146" s="419"/>
      <c r="S146" s="419"/>
      <c r="T146" s="419"/>
    </row>
    <row r="147" spans="1:20" x14ac:dyDescent="0.4">
      <c r="A147" s="418"/>
      <c r="B147" s="419"/>
      <c r="C147" s="419"/>
      <c r="D147" s="419"/>
      <c r="E147" s="419"/>
      <c r="F147" s="419"/>
      <c r="H147" s="418"/>
      <c r="I147" s="419"/>
      <c r="J147" s="419"/>
      <c r="K147" s="419"/>
      <c r="L147" s="419"/>
      <c r="M147" s="419"/>
      <c r="O147" s="418"/>
      <c r="P147" s="419"/>
      <c r="Q147" s="419"/>
      <c r="R147" s="419"/>
      <c r="S147" s="419"/>
      <c r="T147" s="419"/>
    </row>
    <row r="148" spans="1:20" x14ac:dyDescent="0.4">
      <c r="A148" s="418"/>
      <c r="B148" s="419"/>
      <c r="C148" s="419"/>
      <c r="D148" s="419"/>
      <c r="E148" s="419"/>
      <c r="F148" s="419"/>
      <c r="H148" s="418"/>
      <c r="I148" s="419"/>
      <c r="J148" s="419"/>
      <c r="K148" s="419"/>
      <c r="L148" s="419"/>
      <c r="M148" s="419"/>
      <c r="O148" s="418"/>
      <c r="P148" s="419"/>
      <c r="Q148" s="419"/>
      <c r="R148" s="419"/>
      <c r="S148" s="419"/>
      <c r="T148" s="419"/>
    </row>
    <row r="149" spans="1:20" x14ac:dyDescent="0.4">
      <c r="A149" s="418"/>
      <c r="B149" s="419"/>
      <c r="C149" s="419"/>
      <c r="D149" s="419"/>
      <c r="E149" s="419"/>
      <c r="F149" s="419"/>
      <c r="H149" s="418"/>
      <c r="I149" s="419"/>
      <c r="J149" s="419"/>
      <c r="K149" s="419"/>
      <c r="L149" s="419"/>
      <c r="M149" s="419"/>
      <c r="O149" s="418"/>
      <c r="P149" s="419"/>
      <c r="Q149" s="419"/>
      <c r="R149" s="419"/>
      <c r="S149" s="419"/>
      <c r="T149" s="419"/>
    </row>
    <row r="150" spans="1:20" x14ac:dyDescent="0.4">
      <c r="A150" s="418"/>
      <c r="B150" s="419"/>
      <c r="C150" s="419"/>
      <c r="D150" s="419"/>
      <c r="E150" s="419"/>
      <c r="F150" s="419"/>
      <c r="H150" s="418"/>
      <c r="I150" s="419"/>
      <c r="J150" s="419"/>
      <c r="K150" s="419"/>
      <c r="L150" s="419"/>
      <c r="M150" s="419"/>
      <c r="O150" s="418"/>
      <c r="P150" s="419"/>
      <c r="Q150" s="419"/>
      <c r="R150" s="419"/>
      <c r="S150" s="419"/>
      <c r="T150" s="419"/>
    </row>
    <row r="151" spans="1:20" x14ac:dyDescent="0.4">
      <c r="A151" s="418"/>
      <c r="B151" s="419"/>
      <c r="C151" s="419"/>
      <c r="D151" s="419"/>
      <c r="E151" s="419"/>
      <c r="F151" s="419"/>
      <c r="H151" s="418"/>
      <c r="I151" s="419"/>
      <c r="J151" s="419"/>
      <c r="K151" s="419"/>
      <c r="L151" s="419"/>
      <c r="M151" s="419"/>
      <c r="O151" s="418"/>
      <c r="P151" s="419"/>
      <c r="Q151" s="419"/>
      <c r="R151" s="419"/>
      <c r="S151" s="419"/>
      <c r="T151" s="419"/>
    </row>
    <row r="152" spans="1:20" x14ac:dyDescent="0.4">
      <c r="A152" s="418"/>
      <c r="B152" s="419"/>
      <c r="C152" s="419"/>
      <c r="D152" s="419"/>
      <c r="E152" s="419"/>
      <c r="F152" s="419"/>
      <c r="H152" s="418"/>
      <c r="I152" s="419"/>
      <c r="J152" s="419"/>
      <c r="K152" s="419"/>
      <c r="L152" s="419"/>
      <c r="M152" s="419"/>
      <c r="O152" s="418"/>
      <c r="P152" s="419"/>
      <c r="Q152" s="419"/>
      <c r="R152" s="419"/>
      <c r="S152" s="419"/>
      <c r="T152" s="419"/>
    </row>
    <row r="153" spans="1:20" x14ac:dyDescent="0.4">
      <c r="A153" s="418"/>
      <c r="B153" s="419"/>
      <c r="C153" s="419"/>
      <c r="D153" s="419"/>
      <c r="E153" s="419"/>
      <c r="F153" s="419"/>
      <c r="H153" s="418"/>
      <c r="I153" s="419"/>
      <c r="J153" s="419"/>
      <c r="K153" s="419"/>
      <c r="L153" s="419"/>
      <c r="M153" s="419"/>
      <c r="O153" s="418"/>
      <c r="P153" s="419"/>
      <c r="Q153" s="419"/>
      <c r="R153" s="419"/>
      <c r="S153" s="419"/>
      <c r="T153" s="419"/>
    </row>
    <row r="154" spans="1:20" x14ac:dyDescent="0.4">
      <c r="A154" s="418" t="s">
        <v>542</v>
      </c>
      <c r="B154" s="419"/>
      <c r="C154" s="419"/>
      <c r="D154" s="419"/>
      <c r="E154" s="419"/>
      <c r="F154" s="419"/>
      <c r="H154" s="418" t="s">
        <v>543</v>
      </c>
      <c r="I154" s="419"/>
      <c r="J154" s="419"/>
      <c r="K154" s="419"/>
      <c r="L154" s="419"/>
      <c r="M154" s="419"/>
      <c r="O154" s="418" t="s">
        <v>544</v>
      </c>
      <c r="P154" s="419"/>
      <c r="Q154" s="419"/>
      <c r="R154" s="419"/>
      <c r="S154" s="419"/>
      <c r="T154" s="419"/>
    </row>
    <row r="155" spans="1:20" x14ac:dyDescent="0.4">
      <c r="A155" s="418" t="s">
        <v>9</v>
      </c>
      <c r="B155" s="446" t="s">
        <v>546</v>
      </c>
      <c r="C155" s="419"/>
      <c r="D155" s="419"/>
      <c r="E155" s="419"/>
      <c r="F155" s="419"/>
      <c r="H155" s="418" t="s">
        <v>9</v>
      </c>
      <c r="I155" s="446" t="s">
        <v>546</v>
      </c>
      <c r="J155" s="419"/>
      <c r="K155" s="419"/>
      <c r="L155" s="419"/>
      <c r="M155" s="419"/>
      <c r="O155" s="418" t="s">
        <v>9</v>
      </c>
      <c r="P155" s="446" t="s">
        <v>546</v>
      </c>
      <c r="Q155" s="419"/>
      <c r="R155" s="419"/>
      <c r="S155" s="419"/>
      <c r="T155" s="419"/>
    </row>
    <row r="156" spans="1:20" x14ac:dyDescent="0.4">
      <c r="A156" s="411" t="s">
        <v>337</v>
      </c>
      <c r="B156" s="412" t="s">
        <v>338</v>
      </c>
      <c r="C156" s="413"/>
      <c r="D156" s="413"/>
      <c r="E156" s="413"/>
      <c r="F156" s="414"/>
      <c r="H156" s="411" t="s">
        <v>337</v>
      </c>
      <c r="I156" s="412" t="s">
        <v>338</v>
      </c>
      <c r="J156" s="413"/>
      <c r="K156" s="413"/>
      <c r="L156" s="413"/>
      <c r="M156" s="414"/>
      <c r="O156" s="411" t="s">
        <v>337</v>
      </c>
      <c r="P156" s="412" t="s">
        <v>338</v>
      </c>
      <c r="Q156" s="413"/>
      <c r="R156" s="413"/>
      <c r="S156" s="413"/>
      <c r="T156" s="414"/>
    </row>
    <row r="157" spans="1:20" ht="15" thickBot="1" x14ac:dyDescent="0.45">
      <c r="A157" s="263"/>
      <c r="B157" s="263">
        <v>50</v>
      </c>
      <c r="C157" s="263">
        <v>100</v>
      </c>
      <c r="D157" s="263">
        <v>200</v>
      </c>
      <c r="E157" s="263">
        <v>300</v>
      </c>
      <c r="F157" s="263">
        <v>500</v>
      </c>
      <c r="H157" s="263"/>
      <c r="I157" s="263">
        <v>50</v>
      </c>
      <c r="J157" s="263">
        <v>100</v>
      </c>
      <c r="K157" s="263">
        <v>200</v>
      </c>
      <c r="L157" s="263">
        <v>300</v>
      </c>
      <c r="M157" s="263">
        <v>500</v>
      </c>
      <c r="O157" s="263"/>
      <c r="P157" s="263">
        <v>50</v>
      </c>
      <c r="Q157" s="263">
        <v>100</v>
      </c>
      <c r="R157" s="263">
        <v>200</v>
      </c>
      <c r="S157" s="263">
        <v>300</v>
      </c>
      <c r="T157" s="263">
        <v>500</v>
      </c>
    </row>
    <row r="158" spans="1:20" x14ac:dyDescent="0.4">
      <c r="A158" s="447" t="s">
        <v>540</v>
      </c>
      <c r="B158" s="448">
        <f>B23</f>
        <v>350000</v>
      </c>
      <c r="C158" s="448">
        <f t="shared" ref="C158:F158" si="66">C23</f>
        <v>348000</v>
      </c>
      <c r="D158" s="448">
        <f t="shared" si="66"/>
        <v>348000</v>
      </c>
      <c r="E158" s="448">
        <f t="shared" si="66"/>
        <v>346666.66666666669</v>
      </c>
      <c r="F158" s="448">
        <f t="shared" si="66"/>
        <v>348000</v>
      </c>
      <c r="H158" s="447" t="s">
        <v>540</v>
      </c>
      <c r="I158" s="448">
        <f t="shared" ref="I158:M158" si="67">I23</f>
        <v>208000</v>
      </c>
      <c r="J158" s="448">
        <f t="shared" si="67"/>
        <v>194000</v>
      </c>
      <c r="K158" s="448">
        <f t="shared" si="67"/>
        <v>181000</v>
      </c>
      <c r="L158" s="448">
        <f t="shared" si="67"/>
        <v>173666.66666666666</v>
      </c>
      <c r="M158" s="448">
        <f t="shared" si="67"/>
        <v>165000</v>
      </c>
      <c r="O158" s="447" t="s">
        <v>540</v>
      </c>
      <c r="P158" s="448">
        <f t="shared" ref="P158:T158" si="68">P23</f>
        <v>186200</v>
      </c>
      <c r="Q158" s="448">
        <f t="shared" si="68"/>
        <v>171000</v>
      </c>
      <c r="R158" s="448">
        <f t="shared" si="68"/>
        <v>156000</v>
      </c>
      <c r="S158" s="448">
        <f t="shared" si="68"/>
        <v>148333.33333333334</v>
      </c>
      <c r="T158" s="448">
        <f t="shared" si="68"/>
        <v>139000</v>
      </c>
    </row>
    <row r="159" spans="1:20" x14ac:dyDescent="0.4">
      <c r="A159" s="266" t="s">
        <v>17</v>
      </c>
      <c r="B159" s="449">
        <f>B33</f>
        <v>708000</v>
      </c>
      <c r="C159" s="449">
        <f t="shared" ref="C159:F159" si="69">C33</f>
        <v>705000</v>
      </c>
      <c r="D159" s="449">
        <f t="shared" si="69"/>
        <v>705000</v>
      </c>
      <c r="E159" s="449">
        <f t="shared" si="69"/>
        <v>703333.33333333337</v>
      </c>
      <c r="F159" s="449">
        <f t="shared" si="69"/>
        <v>702000</v>
      </c>
      <c r="H159" s="266" t="s">
        <v>17</v>
      </c>
      <c r="I159" s="449">
        <f t="shared" ref="I159:M159" si="70">I33</f>
        <v>492000</v>
      </c>
      <c r="J159" s="449">
        <f t="shared" si="70"/>
        <v>434000</v>
      </c>
      <c r="K159" s="449">
        <f t="shared" si="70"/>
        <v>383000</v>
      </c>
      <c r="L159" s="449">
        <f t="shared" si="70"/>
        <v>356666.66666666669</v>
      </c>
      <c r="M159" s="449">
        <f t="shared" si="70"/>
        <v>324000</v>
      </c>
      <c r="O159" s="266" t="s">
        <v>17</v>
      </c>
      <c r="P159" s="449">
        <f t="shared" ref="P159:T159" si="71">P33</f>
        <v>306000</v>
      </c>
      <c r="Q159" s="449">
        <f t="shared" si="71"/>
        <v>268000</v>
      </c>
      <c r="R159" s="449">
        <f t="shared" si="71"/>
        <v>234500</v>
      </c>
      <c r="S159" s="449">
        <f t="shared" si="71"/>
        <v>216666.66666666666</v>
      </c>
      <c r="T159" s="449">
        <f t="shared" si="71"/>
        <v>196600</v>
      </c>
    </row>
    <row r="160" spans="1:20" x14ac:dyDescent="0.4">
      <c r="A160" s="266" t="s">
        <v>288</v>
      </c>
      <c r="B160" s="449">
        <f>B43</f>
        <v>54000</v>
      </c>
      <c r="C160" s="449">
        <f t="shared" ref="C160:F160" si="72">C43</f>
        <v>53500</v>
      </c>
      <c r="D160" s="449">
        <f t="shared" si="72"/>
        <v>53500</v>
      </c>
      <c r="E160" s="449">
        <f t="shared" si="72"/>
        <v>53333.333333333336</v>
      </c>
      <c r="F160" s="449">
        <f t="shared" si="72"/>
        <v>53200</v>
      </c>
      <c r="H160" s="266" t="s">
        <v>288</v>
      </c>
      <c r="I160" s="449">
        <f t="shared" ref="I160:M160" si="73">I43</f>
        <v>70000</v>
      </c>
      <c r="J160" s="449">
        <f t="shared" si="73"/>
        <v>72400</v>
      </c>
      <c r="K160" s="449">
        <f t="shared" si="73"/>
        <v>75000</v>
      </c>
      <c r="L160" s="449">
        <f t="shared" si="73"/>
        <v>76333.333333333328</v>
      </c>
      <c r="M160" s="449">
        <f t="shared" si="73"/>
        <v>78200</v>
      </c>
      <c r="O160" s="266" t="s">
        <v>288</v>
      </c>
      <c r="P160" s="449">
        <f t="shared" ref="P160:T160" si="74">P43</f>
        <v>91800</v>
      </c>
      <c r="Q160" s="449">
        <f t="shared" si="74"/>
        <v>93600</v>
      </c>
      <c r="R160" s="449">
        <f t="shared" si="74"/>
        <v>95500</v>
      </c>
      <c r="S160" s="449">
        <f t="shared" si="74"/>
        <v>96333.333333333328</v>
      </c>
      <c r="T160" s="449">
        <f t="shared" si="74"/>
        <v>97800</v>
      </c>
    </row>
    <row r="161" spans="1:20" x14ac:dyDescent="0.4">
      <c r="A161" s="266" t="s">
        <v>18</v>
      </c>
      <c r="B161" s="449">
        <f>B53</f>
        <v>278000</v>
      </c>
      <c r="C161" s="449">
        <f t="shared" ref="C161:F161" si="75">C53</f>
        <v>276000</v>
      </c>
      <c r="D161" s="449">
        <f t="shared" si="75"/>
        <v>275000</v>
      </c>
      <c r="E161" s="449">
        <f t="shared" si="75"/>
        <v>274666.66666666669</v>
      </c>
      <c r="F161" s="449">
        <f t="shared" si="75"/>
        <v>274000</v>
      </c>
      <c r="H161" s="266" t="s">
        <v>18</v>
      </c>
      <c r="I161" s="449">
        <f t="shared" ref="I161:M161" si="76">I53</f>
        <v>222000</v>
      </c>
      <c r="J161" s="449">
        <f t="shared" si="76"/>
        <v>192000</v>
      </c>
      <c r="K161" s="449">
        <f t="shared" si="76"/>
        <v>165000</v>
      </c>
      <c r="L161" s="449">
        <f t="shared" si="76"/>
        <v>151000</v>
      </c>
      <c r="M161" s="449">
        <f t="shared" si="76"/>
        <v>135200</v>
      </c>
      <c r="O161" s="266" t="s">
        <v>18</v>
      </c>
      <c r="P161" s="449">
        <f t="shared" ref="P161:T161" si="77">P53</f>
        <v>178800</v>
      </c>
      <c r="Q161" s="449">
        <f t="shared" si="77"/>
        <v>152000</v>
      </c>
      <c r="R161" s="449">
        <f t="shared" si="77"/>
        <v>129000</v>
      </c>
      <c r="S161" s="449">
        <f t="shared" si="77"/>
        <v>117333.33333333333</v>
      </c>
      <c r="T161" s="449">
        <f t="shared" si="77"/>
        <v>104200</v>
      </c>
    </row>
    <row r="162" spans="1:20" x14ac:dyDescent="0.4">
      <c r="A162" s="268" t="s">
        <v>541</v>
      </c>
      <c r="B162" s="450">
        <f>SUM(B158:B161)</f>
        <v>1390000</v>
      </c>
      <c r="C162" s="450">
        <f t="shared" ref="C162:F162" si="78">SUM(C158:C161)</f>
        <v>1382500</v>
      </c>
      <c r="D162" s="450">
        <f t="shared" si="78"/>
        <v>1381500</v>
      </c>
      <c r="E162" s="450">
        <f t="shared" si="78"/>
        <v>1378000</v>
      </c>
      <c r="F162" s="450">
        <f t="shared" si="78"/>
        <v>1377200</v>
      </c>
      <c r="H162" s="268" t="s">
        <v>541</v>
      </c>
      <c r="I162" s="450">
        <f t="shared" ref="I162:M162" si="79">SUM(I158:I161)</f>
        <v>992000</v>
      </c>
      <c r="J162" s="450">
        <f t="shared" si="79"/>
        <v>892400</v>
      </c>
      <c r="K162" s="450">
        <f t="shared" si="79"/>
        <v>804000</v>
      </c>
      <c r="L162" s="450">
        <f t="shared" si="79"/>
        <v>757666.66666666674</v>
      </c>
      <c r="M162" s="450">
        <f t="shared" si="79"/>
        <v>702400</v>
      </c>
      <c r="O162" s="268" t="s">
        <v>541</v>
      </c>
      <c r="P162" s="450">
        <f t="shared" ref="P162:T162" si="80">SUM(P158:P161)</f>
        <v>762800</v>
      </c>
      <c r="Q162" s="450">
        <f t="shared" si="80"/>
        <v>684600</v>
      </c>
      <c r="R162" s="450">
        <f t="shared" si="80"/>
        <v>615000</v>
      </c>
      <c r="S162" s="450">
        <f t="shared" si="80"/>
        <v>578666.66666666663</v>
      </c>
      <c r="T162" s="450">
        <f t="shared" si="80"/>
        <v>537600</v>
      </c>
    </row>
    <row r="163" spans="1:20" x14ac:dyDescent="0.4">
      <c r="A163" s="418"/>
      <c r="B163" s="419"/>
      <c r="C163" s="419"/>
      <c r="D163" s="419"/>
      <c r="E163" s="419"/>
      <c r="F163" s="419"/>
      <c r="H163" s="418"/>
      <c r="I163" s="419"/>
      <c r="J163" s="419"/>
      <c r="K163" s="419"/>
      <c r="L163" s="419"/>
      <c r="M163" s="419"/>
      <c r="O163" s="418"/>
      <c r="P163" s="419"/>
      <c r="Q163" s="419"/>
      <c r="R163" s="419"/>
      <c r="S163" s="419"/>
      <c r="T163" s="419"/>
    </row>
    <row r="164" spans="1:20" x14ac:dyDescent="0.4">
      <c r="A164" s="411" t="s">
        <v>337</v>
      </c>
      <c r="B164" s="412" t="s">
        <v>338</v>
      </c>
      <c r="C164" s="413"/>
      <c r="D164" s="413"/>
      <c r="E164" s="413"/>
      <c r="F164" s="414"/>
      <c r="H164" s="411" t="s">
        <v>337</v>
      </c>
      <c r="I164" s="412" t="s">
        <v>338</v>
      </c>
      <c r="J164" s="413"/>
      <c r="K164" s="413"/>
      <c r="L164" s="413"/>
      <c r="M164" s="414"/>
      <c r="O164" s="411" t="s">
        <v>337</v>
      </c>
      <c r="P164" s="412" t="s">
        <v>338</v>
      </c>
      <c r="Q164" s="413"/>
      <c r="R164" s="413"/>
      <c r="S164" s="413"/>
      <c r="T164" s="414"/>
    </row>
    <row r="165" spans="1:20" ht="15" thickBot="1" x14ac:dyDescent="0.45">
      <c r="A165" s="263"/>
      <c r="B165" s="263">
        <v>50</v>
      </c>
      <c r="C165" s="263">
        <v>100</v>
      </c>
      <c r="D165" s="263">
        <v>200</v>
      </c>
      <c r="E165" s="263">
        <v>300</v>
      </c>
      <c r="F165" s="263">
        <v>500</v>
      </c>
      <c r="H165" s="263"/>
      <c r="I165" s="263">
        <v>50</v>
      </c>
      <c r="J165" s="263">
        <v>100</v>
      </c>
      <c r="K165" s="263">
        <v>200</v>
      </c>
      <c r="L165" s="263">
        <v>300</v>
      </c>
      <c r="M165" s="263">
        <v>500</v>
      </c>
      <c r="O165" s="263"/>
      <c r="P165" s="263">
        <v>50</v>
      </c>
      <c r="Q165" s="263">
        <v>100</v>
      </c>
      <c r="R165" s="263">
        <v>200</v>
      </c>
      <c r="S165" s="263">
        <v>300</v>
      </c>
      <c r="T165" s="263">
        <v>500</v>
      </c>
    </row>
    <row r="166" spans="1:20" x14ac:dyDescent="0.4">
      <c r="A166" s="447" t="s">
        <v>540</v>
      </c>
      <c r="B166" s="451">
        <f t="shared" ref="B166:F169" si="81">B158/B$162</f>
        <v>0.25179856115107913</v>
      </c>
      <c r="C166" s="451">
        <f t="shared" si="81"/>
        <v>0.25171790235081376</v>
      </c>
      <c r="D166" s="451">
        <f t="shared" si="81"/>
        <v>0.25190010857763301</v>
      </c>
      <c r="E166" s="451">
        <f t="shared" si="81"/>
        <v>0.25157232704402516</v>
      </c>
      <c r="F166" s="451">
        <f t="shared" si="81"/>
        <v>0.25268661051408653</v>
      </c>
      <c r="H166" s="447" t="s">
        <v>540</v>
      </c>
      <c r="I166" s="451">
        <f t="shared" ref="I166:M169" si="82">I158/I$162</f>
        <v>0.20967741935483872</v>
      </c>
      <c r="J166" s="451">
        <f t="shared" si="82"/>
        <v>0.21739130434782608</v>
      </c>
      <c r="K166" s="451">
        <f t="shared" si="82"/>
        <v>0.22512437810945274</v>
      </c>
      <c r="L166" s="451">
        <f t="shared" si="82"/>
        <v>0.22921249450065989</v>
      </c>
      <c r="M166" s="451">
        <f t="shared" si="82"/>
        <v>0.23490888382687927</v>
      </c>
      <c r="O166" s="447" t="s">
        <v>540</v>
      </c>
      <c r="P166" s="451">
        <f t="shared" ref="P166:T169" si="83">P158/P$162</f>
        <v>0.24410068169900367</v>
      </c>
      <c r="Q166" s="451">
        <f t="shared" si="83"/>
        <v>0.24978089395267308</v>
      </c>
      <c r="R166" s="451">
        <f t="shared" si="83"/>
        <v>0.25365853658536586</v>
      </c>
      <c r="S166" s="451">
        <f t="shared" si="83"/>
        <v>0.25633640552995396</v>
      </c>
      <c r="T166" s="451">
        <f t="shared" si="83"/>
        <v>0.25855654761904762</v>
      </c>
    </row>
    <row r="167" spans="1:20" x14ac:dyDescent="0.4">
      <c r="A167" s="266" t="s">
        <v>17</v>
      </c>
      <c r="B167" s="452">
        <f t="shared" si="81"/>
        <v>0.50935251798561154</v>
      </c>
      <c r="C167" s="452">
        <f t="shared" si="81"/>
        <v>0.50994575045207957</v>
      </c>
      <c r="D167" s="452">
        <f t="shared" si="81"/>
        <v>0.51031487513572205</v>
      </c>
      <c r="E167" s="452">
        <f t="shared" si="81"/>
        <v>0.51040154813739724</v>
      </c>
      <c r="F167" s="452">
        <f t="shared" si="81"/>
        <v>0.50972988672669184</v>
      </c>
      <c r="H167" s="266" t="s">
        <v>17</v>
      </c>
      <c r="I167" s="452">
        <f t="shared" si="82"/>
        <v>0.49596774193548387</v>
      </c>
      <c r="J167" s="452">
        <f t="shared" si="82"/>
        <v>0.48632900044822952</v>
      </c>
      <c r="K167" s="452">
        <f t="shared" si="82"/>
        <v>0.47636815920398012</v>
      </c>
      <c r="L167" s="452">
        <f t="shared" si="82"/>
        <v>0.47074351077870652</v>
      </c>
      <c r="M167" s="452">
        <f t="shared" si="82"/>
        <v>0.46127562642369019</v>
      </c>
      <c r="O167" s="266" t="s">
        <v>17</v>
      </c>
      <c r="P167" s="452">
        <f t="shared" si="83"/>
        <v>0.40115364446775037</v>
      </c>
      <c r="Q167" s="452">
        <f t="shared" si="83"/>
        <v>0.39146947122407244</v>
      </c>
      <c r="R167" s="452">
        <f t="shared" si="83"/>
        <v>0.38130081300813007</v>
      </c>
      <c r="S167" s="452">
        <f t="shared" si="83"/>
        <v>0.37442396313364057</v>
      </c>
      <c r="T167" s="452">
        <f t="shared" si="83"/>
        <v>0.36569940476190477</v>
      </c>
    </row>
    <row r="168" spans="1:20" x14ac:dyDescent="0.4">
      <c r="A168" s="266" t="s">
        <v>288</v>
      </c>
      <c r="B168" s="452">
        <f t="shared" si="81"/>
        <v>3.884892086330935E-2</v>
      </c>
      <c r="C168" s="452">
        <f t="shared" si="81"/>
        <v>3.8698010849909585E-2</v>
      </c>
      <c r="D168" s="452">
        <f t="shared" si="81"/>
        <v>3.8726022439377492E-2</v>
      </c>
      <c r="E168" s="452">
        <f t="shared" si="81"/>
        <v>3.8703434929850025E-2</v>
      </c>
      <c r="F168" s="452">
        <f t="shared" si="81"/>
        <v>3.8629102526866105E-2</v>
      </c>
      <c r="H168" s="266" t="s">
        <v>288</v>
      </c>
      <c r="I168" s="452">
        <f t="shared" si="82"/>
        <v>7.0564516129032265E-2</v>
      </c>
      <c r="J168" s="452">
        <f t="shared" si="82"/>
        <v>8.11295383236217E-2</v>
      </c>
      <c r="K168" s="452">
        <f t="shared" si="82"/>
        <v>9.3283582089552244E-2</v>
      </c>
      <c r="L168" s="452">
        <f t="shared" si="82"/>
        <v>0.10074791025076989</v>
      </c>
      <c r="M168" s="452">
        <f t="shared" si="82"/>
        <v>0.11133257403189066</v>
      </c>
      <c r="O168" s="266" t="s">
        <v>288</v>
      </c>
      <c r="P168" s="452">
        <f t="shared" si="83"/>
        <v>0.12034609334032512</v>
      </c>
      <c r="Q168" s="452">
        <f t="shared" si="83"/>
        <v>0.13672217353198948</v>
      </c>
      <c r="R168" s="452">
        <f t="shared" si="83"/>
        <v>0.15528455284552845</v>
      </c>
      <c r="S168" s="452">
        <f t="shared" si="83"/>
        <v>0.1664746543778802</v>
      </c>
      <c r="T168" s="452">
        <f t="shared" si="83"/>
        <v>0.18191964285714285</v>
      </c>
    </row>
    <row r="169" spans="1:20" x14ac:dyDescent="0.4">
      <c r="A169" s="266" t="s">
        <v>18</v>
      </c>
      <c r="B169" s="452">
        <f t="shared" si="81"/>
        <v>0.2</v>
      </c>
      <c r="C169" s="452">
        <f t="shared" si="81"/>
        <v>0.1996383363471971</v>
      </c>
      <c r="D169" s="452">
        <f t="shared" si="81"/>
        <v>0.19905899384726747</v>
      </c>
      <c r="E169" s="452">
        <f t="shared" si="81"/>
        <v>0.19932268988872764</v>
      </c>
      <c r="F169" s="452">
        <f t="shared" si="81"/>
        <v>0.1989544002323555</v>
      </c>
      <c r="H169" s="266" t="s">
        <v>18</v>
      </c>
      <c r="I169" s="452">
        <f t="shared" si="82"/>
        <v>0.22379032258064516</v>
      </c>
      <c r="J169" s="452">
        <f t="shared" si="82"/>
        <v>0.21515015688032271</v>
      </c>
      <c r="K169" s="452">
        <f t="shared" si="82"/>
        <v>0.20522388059701493</v>
      </c>
      <c r="L169" s="452">
        <f t="shared" si="82"/>
        <v>0.1992960844698636</v>
      </c>
      <c r="M169" s="452">
        <f t="shared" si="82"/>
        <v>0.19248291571753987</v>
      </c>
      <c r="O169" s="266" t="s">
        <v>18</v>
      </c>
      <c r="P169" s="452">
        <f t="shared" si="83"/>
        <v>0.23439958049292081</v>
      </c>
      <c r="Q169" s="452">
        <f t="shared" si="83"/>
        <v>0.22202746129126497</v>
      </c>
      <c r="R169" s="452">
        <f t="shared" si="83"/>
        <v>0.2097560975609756</v>
      </c>
      <c r="S169" s="452">
        <f t="shared" si="83"/>
        <v>0.20276497695852536</v>
      </c>
      <c r="T169" s="452">
        <f t="shared" si="83"/>
        <v>0.19382440476190477</v>
      </c>
    </row>
    <row r="170" spans="1:20" x14ac:dyDescent="0.4">
      <c r="A170" s="268" t="s">
        <v>541</v>
      </c>
      <c r="B170" s="453">
        <f>SUM(B166:B169)</f>
        <v>1</v>
      </c>
      <c r="C170" s="453">
        <f>SUM(C166:C169)</f>
        <v>0.99999999999999989</v>
      </c>
      <c r="D170" s="453">
        <f>SUM(D166:D169)</f>
        <v>1</v>
      </c>
      <c r="E170" s="453">
        <f>SUM(E166:E169)</f>
        <v>1.0000000000000002</v>
      </c>
      <c r="F170" s="453">
        <f>SUM(F166:F169)</f>
        <v>1</v>
      </c>
      <c r="H170" s="268" t="s">
        <v>541</v>
      </c>
      <c r="I170" s="453">
        <f>SUM(I166:I169)</f>
        <v>1</v>
      </c>
      <c r="J170" s="453">
        <f>SUM(J166:J169)</f>
        <v>1</v>
      </c>
      <c r="K170" s="453">
        <f>SUM(K166:K169)</f>
        <v>1</v>
      </c>
      <c r="L170" s="453">
        <f>SUM(L166:L169)</f>
        <v>0.99999999999999989</v>
      </c>
      <c r="M170" s="453">
        <f>SUM(M166:M169)</f>
        <v>1</v>
      </c>
      <c r="O170" s="268" t="s">
        <v>541</v>
      </c>
      <c r="P170" s="453">
        <f>SUM(P166:P169)</f>
        <v>1</v>
      </c>
      <c r="Q170" s="453">
        <f>SUM(Q166:Q169)</f>
        <v>0.99999999999999989</v>
      </c>
      <c r="R170" s="453">
        <f>SUM(R166:R169)</f>
        <v>1</v>
      </c>
      <c r="S170" s="453">
        <f>SUM(S166:S169)</f>
        <v>1</v>
      </c>
      <c r="T170" s="453">
        <f>SUM(T166:T169)</f>
        <v>0.99999999999999989</v>
      </c>
    </row>
    <row r="171" spans="1:20" x14ac:dyDescent="0.4">
      <c r="A171" s="418"/>
      <c r="B171" s="419"/>
      <c r="C171" s="419"/>
      <c r="D171" s="419"/>
      <c r="E171" s="419"/>
      <c r="F171" s="419"/>
      <c r="H171" s="418"/>
      <c r="I171" s="419"/>
      <c r="J171" s="419"/>
      <c r="K171" s="419"/>
      <c r="L171" s="419"/>
      <c r="M171" s="419"/>
      <c r="O171" s="418"/>
      <c r="P171" s="419"/>
      <c r="Q171" s="419"/>
      <c r="R171" s="419"/>
      <c r="S171" s="419"/>
      <c r="T171" s="419"/>
    </row>
    <row r="172" spans="1:20" x14ac:dyDescent="0.4">
      <c r="A172" s="418" t="s">
        <v>548</v>
      </c>
      <c r="B172" s="419"/>
      <c r="C172" s="419"/>
      <c r="D172" s="419"/>
      <c r="E172" s="419"/>
      <c r="F172" s="419"/>
      <c r="H172" s="418"/>
      <c r="I172" s="419"/>
      <c r="J172" s="419"/>
      <c r="K172" s="419"/>
      <c r="L172" s="419"/>
      <c r="M172" s="419"/>
      <c r="O172" s="418"/>
      <c r="P172" s="419"/>
      <c r="Q172" s="419"/>
      <c r="R172" s="419"/>
      <c r="S172" s="419"/>
      <c r="T172" s="419"/>
    </row>
    <row r="173" spans="1:20" x14ac:dyDescent="0.4">
      <c r="A173" s="418"/>
      <c r="B173" s="419"/>
      <c r="C173" s="419"/>
      <c r="D173" s="419"/>
      <c r="E173" s="419"/>
      <c r="F173" s="419"/>
      <c r="H173" s="418"/>
      <c r="I173" s="419"/>
      <c r="J173" s="419"/>
      <c r="K173" s="419"/>
      <c r="L173" s="419"/>
      <c r="M173" s="419"/>
      <c r="O173" s="418"/>
      <c r="P173" s="419"/>
      <c r="Q173" s="419"/>
      <c r="R173" s="419"/>
      <c r="S173" s="419"/>
      <c r="T173" s="419"/>
    </row>
    <row r="174" spans="1:20" x14ac:dyDescent="0.4">
      <c r="A174" s="418"/>
      <c r="B174" s="419"/>
      <c r="C174" s="419"/>
      <c r="D174" s="419"/>
      <c r="E174" s="419"/>
      <c r="F174" s="419"/>
      <c r="H174" s="418"/>
      <c r="I174" s="419"/>
      <c r="J174" s="419"/>
      <c r="K174" s="419"/>
      <c r="L174" s="419"/>
      <c r="M174" s="419"/>
      <c r="O174" s="418"/>
      <c r="P174" s="419"/>
      <c r="Q174" s="419"/>
      <c r="R174" s="419"/>
      <c r="S174" s="419"/>
      <c r="T174" s="419"/>
    </row>
    <row r="175" spans="1:20" x14ac:dyDescent="0.4">
      <c r="A175" s="418"/>
      <c r="B175" s="419"/>
      <c r="C175" s="419"/>
      <c r="D175" s="419"/>
      <c r="E175" s="419"/>
      <c r="F175" s="419"/>
      <c r="H175" s="418"/>
      <c r="I175" s="419"/>
      <c r="J175" s="419"/>
      <c r="K175" s="419"/>
      <c r="L175" s="419"/>
      <c r="M175" s="419"/>
      <c r="O175" s="418"/>
      <c r="P175" s="419"/>
      <c r="Q175" s="419"/>
      <c r="R175" s="419"/>
      <c r="S175" s="419"/>
      <c r="T175" s="419"/>
    </row>
    <row r="176" spans="1:20" x14ac:dyDescent="0.4">
      <c r="A176" s="418"/>
      <c r="B176" s="419"/>
      <c r="C176" s="419"/>
      <c r="D176" s="419"/>
      <c r="E176" s="419"/>
      <c r="F176" s="419"/>
      <c r="H176" s="418"/>
      <c r="I176" s="419"/>
      <c r="J176" s="419"/>
      <c r="K176" s="419"/>
      <c r="L176" s="419"/>
      <c r="M176" s="419"/>
      <c r="O176" s="418"/>
      <c r="P176" s="419"/>
      <c r="Q176" s="419"/>
      <c r="R176" s="419"/>
      <c r="S176" s="419"/>
      <c r="T176" s="419"/>
    </row>
    <row r="177" spans="1:20" x14ac:dyDescent="0.4">
      <c r="A177" s="418"/>
      <c r="B177" s="419"/>
      <c r="C177" s="419"/>
      <c r="D177" s="419"/>
      <c r="E177" s="419"/>
      <c r="F177" s="419"/>
      <c r="H177" s="418"/>
      <c r="I177" s="419"/>
      <c r="J177" s="419"/>
      <c r="K177" s="419"/>
      <c r="L177" s="419"/>
      <c r="M177" s="419"/>
      <c r="O177" s="418"/>
      <c r="P177" s="419"/>
      <c r="Q177" s="419"/>
      <c r="R177" s="419"/>
      <c r="S177" s="419"/>
      <c r="T177" s="419"/>
    </row>
    <row r="178" spans="1:20" x14ac:dyDescent="0.4">
      <c r="A178" s="418"/>
      <c r="B178" s="419"/>
      <c r="C178" s="419"/>
      <c r="D178" s="419"/>
      <c r="E178" s="419"/>
      <c r="F178" s="419"/>
      <c r="H178" s="418"/>
      <c r="I178" s="419"/>
      <c r="J178" s="419"/>
      <c r="K178" s="419"/>
      <c r="L178" s="419"/>
      <c r="M178" s="419"/>
      <c r="O178" s="418"/>
      <c r="P178" s="419"/>
      <c r="Q178" s="419"/>
      <c r="R178" s="419"/>
      <c r="S178" s="419"/>
      <c r="T178" s="419"/>
    </row>
    <row r="179" spans="1:20" x14ac:dyDescent="0.4">
      <c r="A179" s="418"/>
      <c r="B179" s="419"/>
      <c r="C179" s="419"/>
      <c r="D179" s="419"/>
      <c r="E179" s="419"/>
      <c r="F179" s="419"/>
      <c r="H179" s="418"/>
      <c r="I179" s="419"/>
      <c r="J179" s="419"/>
      <c r="K179" s="419"/>
      <c r="L179" s="419"/>
      <c r="M179" s="419"/>
      <c r="O179" s="418"/>
      <c r="P179" s="419"/>
      <c r="Q179" s="419"/>
      <c r="R179" s="419"/>
      <c r="S179" s="419"/>
      <c r="T179" s="419"/>
    </row>
    <row r="180" spans="1:20" x14ac:dyDescent="0.4">
      <c r="A180" s="418"/>
      <c r="B180" s="419"/>
      <c r="C180" s="419"/>
      <c r="D180" s="419"/>
      <c r="E180" s="419"/>
      <c r="F180" s="419"/>
      <c r="H180" s="418"/>
      <c r="I180" s="419"/>
      <c r="J180" s="419"/>
      <c r="K180" s="419"/>
      <c r="L180" s="419"/>
      <c r="M180" s="419"/>
      <c r="O180" s="418"/>
      <c r="P180" s="419"/>
      <c r="Q180" s="419"/>
      <c r="R180" s="419"/>
      <c r="S180" s="419"/>
      <c r="T180" s="419"/>
    </row>
    <row r="181" spans="1:20" x14ac:dyDescent="0.4">
      <c r="A181" s="418"/>
      <c r="B181" s="419"/>
      <c r="C181" s="419"/>
      <c r="D181" s="419"/>
      <c r="E181" s="419"/>
      <c r="F181" s="419"/>
      <c r="H181" s="418"/>
      <c r="I181" s="419"/>
      <c r="J181" s="419"/>
      <c r="K181" s="419"/>
      <c r="L181" s="419"/>
      <c r="M181" s="419"/>
      <c r="O181" s="418"/>
      <c r="P181" s="419"/>
      <c r="Q181" s="419"/>
      <c r="R181" s="419"/>
      <c r="S181" s="419"/>
      <c r="T181" s="419"/>
    </row>
    <row r="182" spans="1:20" x14ac:dyDescent="0.4">
      <c r="A182" s="418"/>
      <c r="B182" s="419"/>
      <c r="C182" s="419"/>
      <c r="D182" s="419"/>
      <c r="E182" s="419"/>
      <c r="F182" s="419"/>
      <c r="H182" s="418"/>
      <c r="I182" s="419"/>
      <c r="J182" s="419"/>
      <c r="K182" s="419"/>
      <c r="L182" s="419"/>
      <c r="M182" s="419"/>
      <c r="O182" s="418"/>
      <c r="P182" s="419"/>
      <c r="Q182" s="419"/>
      <c r="R182" s="419"/>
      <c r="S182" s="419"/>
      <c r="T182" s="419"/>
    </row>
    <row r="183" spans="1:20" x14ac:dyDescent="0.4">
      <c r="A183" s="418"/>
      <c r="B183" s="419"/>
      <c r="C183" s="419"/>
      <c r="D183" s="419"/>
      <c r="E183" s="419"/>
      <c r="F183" s="419"/>
      <c r="H183" s="418"/>
      <c r="I183" s="419"/>
      <c r="J183" s="419"/>
      <c r="K183" s="419"/>
      <c r="L183" s="419"/>
      <c r="M183" s="419"/>
      <c r="O183" s="418"/>
      <c r="P183" s="419"/>
      <c r="Q183" s="419"/>
      <c r="R183" s="419"/>
      <c r="S183" s="419"/>
      <c r="T183" s="419"/>
    </row>
    <row r="184" spans="1:20" x14ac:dyDescent="0.4">
      <c r="A184" s="418"/>
      <c r="B184" s="419"/>
      <c r="C184" s="419"/>
      <c r="D184" s="419"/>
      <c r="E184" s="419"/>
      <c r="F184" s="419"/>
      <c r="H184" s="418"/>
      <c r="I184" s="419"/>
      <c r="J184" s="419"/>
      <c r="K184" s="419"/>
      <c r="L184" s="419"/>
      <c r="M184" s="419"/>
      <c r="O184" s="418"/>
      <c r="P184" s="419"/>
      <c r="Q184" s="419"/>
      <c r="R184" s="419"/>
      <c r="S184" s="419"/>
      <c r="T184" s="419"/>
    </row>
    <row r="185" spans="1:20" x14ac:dyDescent="0.4">
      <c r="A185" s="418"/>
      <c r="B185" s="419"/>
      <c r="C185" s="419"/>
      <c r="D185" s="419"/>
      <c r="E185" s="419"/>
      <c r="F185" s="419"/>
      <c r="H185" s="418"/>
      <c r="I185" s="419"/>
      <c r="J185" s="419"/>
      <c r="K185" s="419"/>
      <c r="L185" s="419"/>
      <c r="M185" s="419"/>
      <c r="O185" s="418"/>
      <c r="P185" s="419"/>
      <c r="Q185" s="419"/>
      <c r="R185" s="419"/>
      <c r="S185" s="419"/>
      <c r="T185" s="419"/>
    </row>
    <row r="186" spans="1:20" x14ac:dyDescent="0.4">
      <c r="A186" s="418"/>
      <c r="B186" s="419"/>
      <c r="C186" s="419"/>
      <c r="D186" s="419"/>
      <c r="E186" s="419"/>
      <c r="F186" s="419"/>
      <c r="H186" s="418"/>
      <c r="I186" s="419"/>
      <c r="J186" s="419"/>
      <c r="K186" s="419"/>
      <c r="L186" s="419"/>
      <c r="M186" s="419"/>
      <c r="O186" s="418"/>
      <c r="P186" s="419"/>
      <c r="Q186" s="419"/>
      <c r="R186" s="419"/>
      <c r="S186" s="419"/>
      <c r="T186" s="419"/>
    </row>
    <row r="187" spans="1:20" x14ac:dyDescent="0.4">
      <c r="A187" s="418"/>
      <c r="B187" s="419"/>
      <c r="C187" s="419"/>
      <c r="D187" s="419"/>
      <c r="E187" s="419"/>
      <c r="F187" s="419"/>
      <c r="H187" s="418"/>
      <c r="I187" s="419"/>
      <c r="J187" s="419"/>
      <c r="K187" s="419"/>
      <c r="L187" s="419"/>
      <c r="M187" s="419"/>
      <c r="O187" s="418"/>
      <c r="P187" s="419"/>
      <c r="Q187" s="419"/>
      <c r="R187" s="419"/>
      <c r="S187" s="419"/>
      <c r="T187" s="419"/>
    </row>
    <row r="188" spans="1:20" x14ac:dyDescent="0.4">
      <c r="A188" s="418"/>
      <c r="B188" s="419"/>
      <c r="C188" s="419"/>
      <c r="D188" s="419"/>
      <c r="E188" s="419"/>
      <c r="F188" s="419"/>
      <c r="H188" s="418"/>
      <c r="I188" s="419"/>
      <c r="J188" s="419"/>
      <c r="K188" s="419"/>
      <c r="L188" s="419"/>
      <c r="M188" s="419"/>
      <c r="O188" s="418"/>
      <c r="P188" s="419"/>
      <c r="Q188" s="419"/>
      <c r="R188" s="419"/>
      <c r="S188" s="419"/>
      <c r="T188" s="419"/>
    </row>
    <row r="189" spans="1:20" x14ac:dyDescent="0.4">
      <c r="A189" s="418" t="s">
        <v>542</v>
      </c>
      <c r="B189" s="419"/>
      <c r="C189" s="419"/>
      <c r="D189" s="419"/>
      <c r="E189" s="419"/>
      <c r="F189" s="419"/>
      <c r="H189" s="418" t="s">
        <v>543</v>
      </c>
      <c r="I189" s="419"/>
      <c r="J189" s="419"/>
      <c r="K189" s="419"/>
      <c r="L189" s="419"/>
      <c r="M189" s="419"/>
      <c r="O189" s="418" t="s">
        <v>544</v>
      </c>
      <c r="P189" s="419"/>
      <c r="Q189" s="419"/>
      <c r="R189" s="419"/>
      <c r="S189" s="419"/>
      <c r="T189" s="419"/>
    </row>
    <row r="190" spans="1:20" x14ac:dyDescent="0.4">
      <c r="A190" s="418" t="s">
        <v>9</v>
      </c>
      <c r="B190" s="446" t="s">
        <v>547</v>
      </c>
      <c r="C190" s="419"/>
      <c r="D190" s="419"/>
      <c r="E190" s="419"/>
      <c r="F190" s="419"/>
      <c r="H190" s="418" t="s">
        <v>9</v>
      </c>
      <c r="I190" s="446" t="s">
        <v>547</v>
      </c>
      <c r="J190" s="419"/>
      <c r="K190" s="419"/>
      <c r="L190" s="419"/>
      <c r="M190" s="419"/>
      <c r="O190" s="418" t="s">
        <v>9</v>
      </c>
      <c r="P190" s="446" t="s">
        <v>547</v>
      </c>
      <c r="Q190" s="419"/>
      <c r="R190" s="419"/>
      <c r="S190" s="419"/>
      <c r="T190" s="419"/>
    </row>
    <row r="191" spans="1:20" x14ac:dyDescent="0.4">
      <c r="A191" s="411" t="s">
        <v>337</v>
      </c>
      <c r="B191" s="412" t="s">
        <v>338</v>
      </c>
      <c r="C191" s="413"/>
      <c r="D191" s="413"/>
      <c r="E191" s="413"/>
      <c r="F191" s="414"/>
      <c r="H191" s="411" t="s">
        <v>337</v>
      </c>
      <c r="I191" s="412" t="s">
        <v>338</v>
      </c>
      <c r="J191" s="413"/>
      <c r="K191" s="413"/>
      <c r="L191" s="413"/>
      <c r="M191" s="414"/>
      <c r="O191" s="411" t="s">
        <v>337</v>
      </c>
      <c r="P191" s="412" t="s">
        <v>338</v>
      </c>
      <c r="Q191" s="413"/>
      <c r="R191" s="413"/>
      <c r="S191" s="413"/>
      <c r="T191" s="414"/>
    </row>
    <row r="192" spans="1:20" ht="15" thickBot="1" x14ac:dyDescent="0.45">
      <c r="A192" s="263"/>
      <c r="B192" s="263">
        <v>50</v>
      </c>
      <c r="C192" s="263">
        <v>100</v>
      </c>
      <c r="D192" s="263">
        <v>200</v>
      </c>
      <c r="E192" s="263">
        <v>300</v>
      </c>
      <c r="F192" s="263">
        <v>500</v>
      </c>
      <c r="H192" s="263"/>
      <c r="I192" s="263">
        <v>50</v>
      </c>
      <c r="J192" s="263">
        <v>100</v>
      </c>
      <c r="K192" s="263">
        <v>200</v>
      </c>
      <c r="L192" s="263">
        <v>300</v>
      </c>
      <c r="M192" s="263">
        <v>500</v>
      </c>
      <c r="O192" s="263"/>
      <c r="P192" s="263">
        <v>50</v>
      </c>
      <c r="Q192" s="263">
        <v>100</v>
      </c>
      <c r="R192" s="263">
        <v>200</v>
      </c>
      <c r="S192" s="263">
        <v>300</v>
      </c>
      <c r="T192" s="263">
        <v>500</v>
      </c>
    </row>
    <row r="193" spans="1:20" x14ac:dyDescent="0.4">
      <c r="A193" s="447" t="s">
        <v>540</v>
      </c>
      <c r="B193" s="448">
        <f>B25</f>
        <v>696000</v>
      </c>
      <c r="C193" s="448">
        <f t="shared" ref="C193:F193" si="84">C25</f>
        <v>695000</v>
      </c>
      <c r="D193" s="448">
        <f t="shared" si="84"/>
        <v>695000</v>
      </c>
      <c r="E193" s="448">
        <f t="shared" si="84"/>
        <v>693333.33333333337</v>
      </c>
      <c r="F193" s="448">
        <f t="shared" si="84"/>
        <v>694000</v>
      </c>
      <c r="H193" s="447" t="s">
        <v>540</v>
      </c>
      <c r="I193" s="448">
        <f t="shared" ref="I193:M193" si="85">I25</f>
        <v>396000</v>
      </c>
      <c r="J193" s="448">
        <f t="shared" si="85"/>
        <v>369000</v>
      </c>
      <c r="K193" s="448">
        <f t="shared" si="85"/>
        <v>344500</v>
      </c>
      <c r="L193" s="448">
        <f t="shared" si="85"/>
        <v>331000</v>
      </c>
      <c r="M193" s="448">
        <f t="shared" si="85"/>
        <v>314000</v>
      </c>
      <c r="O193" s="447" t="s">
        <v>540</v>
      </c>
      <c r="P193" s="448">
        <f t="shared" ref="P193:T193" si="86">P25</f>
        <v>338000</v>
      </c>
      <c r="Q193" s="448">
        <f t="shared" si="86"/>
        <v>309000</v>
      </c>
      <c r="R193" s="448">
        <f t="shared" si="86"/>
        <v>283000</v>
      </c>
      <c r="S193" s="448">
        <f t="shared" si="86"/>
        <v>269000</v>
      </c>
      <c r="T193" s="448">
        <f t="shared" si="86"/>
        <v>252000</v>
      </c>
    </row>
    <row r="194" spans="1:20" x14ac:dyDescent="0.4">
      <c r="A194" s="266" t="s">
        <v>17</v>
      </c>
      <c r="B194" s="449">
        <f>B35</f>
        <v>1096000</v>
      </c>
      <c r="C194" s="449">
        <f t="shared" ref="C194:F194" si="87">C35</f>
        <v>1090000</v>
      </c>
      <c r="D194" s="449">
        <f t="shared" si="87"/>
        <v>1090000</v>
      </c>
      <c r="E194" s="449">
        <f t="shared" si="87"/>
        <v>1090000</v>
      </c>
      <c r="F194" s="449">
        <f t="shared" si="87"/>
        <v>1088000</v>
      </c>
      <c r="H194" s="266" t="s">
        <v>17</v>
      </c>
      <c r="I194" s="449">
        <f t="shared" ref="I194:M194" si="88">I35</f>
        <v>720000</v>
      </c>
      <c r="J194" s="449">
        <f t="shared" si="88"/>
        <v>635000</v>
      </c>
      <c r="K194" s="449">
        <f t="shared" si="88"/>
        <v>560000</v>
      </c>
      <c r="L194" s="449">
        <f t="shared" si="88"/>
        <v>520000</v>
      </c>
      <c r="M194" s="449">
        <f t="shared" si="88"/>
        <v>476000</v>
      </c>
      <c r="O194" s="266" t="s">
        <v>17</v>
      </c>
      <c r="P194" s="449">
        <f t="shared" ref="P194:T194" si="89">P35</f>
        <v>444000</v>
      </c>
      <c r="Q194" s="449">
        <f t="shared" si="89"/>
        <v>388000</v>
      </c>
      <c r="R194" s="449">
        <f t="shared" si="89"/>
        <v>340000</v>
      </c>
      <c r="S194" s="449">
        <f t="shared" si="89"/>
        <v>314666.66666666669</v>
      </c>
      <c r="T194" s="449">
        <f t="shared" si="89"/>
        <v>286000</v>
      </c>
    </row>
    <row r="195" spans="1:20" x14ac:dyDescent="0.4">
      <c r="A195" s="266" t="s">
        <v>288</v>
      </c>
      <c r="B195" s="449">
        <f>B45</f>
        <v>61400</v>
      </c>
      <c r="C195" s="449">
        <f t="shared" ref="C195:F195" si="90">C45</f>
        <v>60900</v>
      </c>
      <c r="D195" s="449">
        <f t="shared" si="90"/>
        <v>60500</v>
      </c>
      <c r="E195" s="449">
        <f t="shared" si="90"/>
        <v>60666.666666666664</v>
      </c>
      <c r="F195" s="449">
        <f t="shared" si="90"/>
        <v>60600</v>
      </c>
      <c r="H195" s="266" t="s">
        <v>288</v>
      </c>
      <c r="I195" s="449">
        <f t="shared" ref="I195:M195" si="91">I45</f>
        <v>82400</v>
      </c>
      <c r="J195" s="449">
        <f t="shared" si="91"/>
        <v>85200</v>
      </c>
      <c r="K195" s="449">
        <f t="shared" si="91"/>
        <v>88000</v>
      </c>
      <c r="L195" s="449">
        <f t="shared" si="91"/>
        <v>90000</v>
      </c>
      <c r="M195" s="449">
        <f t="shared" si="91"/>
        <v>92200</v>
      </c>
      <c r="O195" s="266" t="s">
        <v>288</v>
      </c>
      <c r="P195" s="449">
        <f t="shared" ref="P195:T195" si="92">P45</f>
        <v>107200</v>
      </c>
      <c r="Q195" s="449">
        <f t="shared" si="92"/>
        <v>109000</v>
      </c>
      <c r="R195" s="449">
        <f t="shared" si="92"/>
        <v>111500</v>
      </c>
      <c r="S195" s="449">
        <f t="shared" si="92"/>
        <v>112666.66666666667</v>
      </c>
      <c r="T195" s="449">
        <f t="shared" si="92"/>
        <v>114200</v>
      </c>
    </row>
    <row r="196" spans="1:20" x14ac:dyDescent="0.4">
      <c r="A196" s="266" t="s">
        <v>18</v>
      </c>
      <c r="B196" s="449">
        <f>B55</f>
        <v>408000</v>
      </c>
      <c r="C196" s="449">
        <f t="shared" ref="C196:F196" si="93">C55</f>
        <v>407000</v>
      </c>
      <c r="D196" s="449">
        <f t="shared" si="93"/>
        <v>406500</v>
      </c>
      <c r="E196" s="449">
        <f t="shared" si="93"/>
        <v>406666.66666666669</v>
      </c>
      <c r="F196" s="449">
        <f t="shared" si="93"/>
        <v>406000</v>
      </c>
      <c r="H196" s="266" t="s">
        <v>18</v>
      </c>
      <c r="I196" s="449">
        <f t="shared" ref="I196:M196" si="94">I55</f>
        <v>308000</v>
      </c>
      <c r="J196" s="449">
        <f t="shared" si="94"/>
        <v>264000</v>
      </c>
      <c r="K196" s="449">
        <f t="shared" si="94"/>
        <v>227500</v>
      </c>
      <c r="L196" s="449">
        <f t="shared" si="94"/>
        <v>208333.33333333334</v>
      </c>
      <c r="M196" s="449">
        <f t="shared" si="94"/>
        <v>186400</v>
      </c>
      <c r="O196" s="266" t="s">
        <v>18</v>
      </c>
      <c r="P196" s="449">
        <f t="shared" ref="P196:T196" si="95">P55</f>
        <v>260000</v>
      </c>
      <c r="Q196" s="449">
        <f t="shared" si="95"/>
        <v>220000</v>
      </c>
      <c r="R196" s="449">
        <f t="shared" si="95"/>
        <v>187000</v>
      </c>
      <c r="S196" s="449">
        <f t="shared" si="95"/>
        <v>170333.33333333334</v>
      </c>
      <c r="T196" s="449">
        <f t="shared" si="95"/>
        <v>151000</v>
      </c>
    </row>
    <row r="197" spans="1:20" x14ac:dyDescent="0.4">
      <c r="A197" s="268" t="s">
        <v>541</v>
      </c>
      <c r="B197" s="450">
        <f>SUM(B193:B196)</f>
        <v>2261400</v>
      </c>
      <c r="C197" s="450">
        <f t="shared" ref="C197:F197" si="96">SUM(C193:C196)</f>
        <v>2252900</v>
      </c>
      <c r="D197" s="450">
        <f t="shared" si="96"/>
        <v>2252000</v>
      </c>
      <c r="E197" s="450">
        <f t="shared" si="96"/>
        <v>2250666.666666667</v>
      </c>
      <c r="F197" s="450">
        <f t="shared" si="96"/>
        <v>2248600</v>
      </c>
      <c r="H197" s="268" t="s">
        <v>541</v>
      </c>
      <c r="I197" s="450">
        <f t="shared" ref="I197:M197" si="97">SUM(I193:I196)</f>
        <v>1506400</v>
      </c>
      <c r="J197" s="450">
        <f t="shared" si="97"/>
        <v>1353200</v>
      </c>
      <c r="K197" s="450">
        <f t="shared" si="97"/>
        <v>1220000</v>
      </c>
      <c r="L197" s="450">
        <f t="shared" si="97"/>
        <v>1149333.3333333333</v>
      </c>
      <c r="M197" s="450">
        <f t="shared" si="97"/>
        <v>1068600</v>
      </c>
      <c r="O197" s="268" t="s">
        <v>541</v>
      </c>
      <c r="P197" s="450">
        <f t="shared" ref="P197:T197" si="98">SUM(P193:P196)</f>
        <v>1149200</v>
      </c>
      <c r="Q197" s="450">
        <f t="shared" si="98"/>
        <v>1026000</v>
      </c>
      <c r="R197" s="450">
        <f t="shared" si="98"/>
        <v>921500</v>
      </c>
      <c r="S197" s="450">
        <f t="shared" si="98"/>
        <v>866666.66666666674</v>
      </c>
      <c r="T197" s="450">
        <f t="shared" si="98"/>
        <v>803200</v>
      </c>
    </row>
    <row r="198" spans="1:20" x14ac:dyDescent="0.4">
      <c r="A198" s="418"/>
      <c r="B198" s="419"/>
      <c r="C198" s="419"/>
      <c r="D198" s="419"/>
      <c r="E198" s="419"/>
      <c r="F198" s="419"/>
      <c r="H198" s="418"/>
      <c r="I198" s="419"/>
      <c r="J198" s="419"/>
      <c r="K198" s="419"/>
      <c r="L198" s="419"/>
      <c r="M198" s="419"/>
      <c r="O198" s="418"/>
      <c r="P198" s="419"/>
      <c r="Q198" s="419"/>
      <c r="R198" s="419"/>
      <c r="S198" s="419"/>
      <c r="T198" s="419"/>
    </row>
    <row r="199" spans="1:20" x14ac:dyDescent="0.4">
      <c r="A199" s="411" t="s">
        <v>337</v>
      </c>
      <c r="B199" s="412" t="s">
        <v>338</v>
      </c>
      <c r="C199" s="413"/>
      <c r="D199" s="413"/>
      <c r="E199" s="413"/>
      <c r="F199" s="414"/>
      <c r="H199" s="411" t="s">
        <v>337</v>
      </c>
      <c r="I199" s="412" t="s">
        <v>338</v>
      </c>
      <c r="J199" s="413"/>
      <c r="K199" s="413"/>
      <c r="L199" s="413"/>
      <c r="M199" s="414"/>
      <c r="O199" s="411" t="s">
        <v>337</v>
      </c>
      <c r="P199" s="412" t="s">
        <v>338</v>
      </c>
      <c r="Q199" s="413"/>
      <c r="R199" s="413"/>
      <c r="S199" s="413"/>
      <c r="T199" s="414"/>
    </row>
    <row r="200" spans="1:20" ht="15" thickBot="1" x14ac:dyDescent="0.45">
      <c r="A200" s="263"/>
      <c r="B200" s="263">
        <v>50</v>
      </c>
      <c r="C200" s="263">
        <v>100</v>
      </c>
      <c r="D200" s="263">
        <v>200</v>
      </c>
      <c r="E200" s="263">
        <v>300</v>
      </c>
      <c r="F200" s="263">
        <v>500</v>
      </c>
      <c r="H200" s="263"/>
      <c r="I200" s="263">
        <v>50</v>
      </c>
      <c r="J200" s="263">
        <v>100</v>
      </c>
      <c r="K200" s="263">
        <v>200</v>
      </c>
      <c r="L200" s="263">
        <v>300</v>
      </c>
      <c r="M200" s="263">
        <v>500</v>
      </c>
      <c r="O200" s="263"/>
      <c r="P200" s="263">
        <v>50</v>
      </c>
      <c r="Q200" s="263">
        <v>100</v>
      </c>
      <c r="R200" s="263">
        <v>200</v>
      </c>
      <c r="S200" s="263">
        <v>300</v>
      </c>
      <c r="T200" s="263">
        <v>500</v>
      </c>
    </row>
    <row r="201" spans="1:20" x14ac:dyDescent="0.4">
      <c r="A201" s="447" t="s">
        <v>540</v>
      </c>
      <c r="B201" s="451">
        <f t="shared" ref="B201:F204" si="99">B193/B$197</f>
        <v>0.30777394534359248</v>
      </c>
      <c r="C201" s="451">
        <f t="shared" si="99"/>
        <v>0.30849127790847353</v>
      </c>
      <c r="D201" s="451">
        <f t="shared" si="99"/>
        <v>0.3086145648312611</v>
      </c>
      <c r="E201" s="451">
        <f t="shared" si="99"/>
        <v>0.30805687203791465</v>
      </c>
      <c r="F201" s="451">
        <f t="shared" si="99"/>
        <v>0.30863648492395268</v>
      </c>
      <c r="H201" s="447" t="s">
        <v>540</v>
      </c>
      <c r="I201" s="451">
        <f t="shared" ref="I201:M204" si="100">I193/I$197</f>
        <v>0.26287838555496545</v>
      </c>
      <c r="J201" s="451">
        <f t="shared" si="100"/>
        <v>0.27268696423292937</v>
      </c>
      <c r="K201" s="451">
        <f t="shared" si="100"/>
        <v>0.28237704918032785</v>
      </c>
      <c r="L201" s="451">
        <f t="shared" si="100"/>
        <v>0.28799303944315546</v>
      </c>
      <c r="M201" s="451">
        <f t="shared" si="100"/>
        <v>0.2938424106307318</v>
      </c>
      <c r="O201" s="447" t="s">
        <v>540</v>
      </c>
      <c r="P201" s="451">
        <f t="shared" ref="P201:T204" si="101">P193/P$197</f>
        <v>0.29411764705882354</v>
      </c>
      <c r="Q201" s="451">
        <f t="shared" si="101"/>
        <v>0.30116959064327486</v>
      </c>
      <c r="R201" s="451">
        <f t="shared" si="101"/>
        <v>0.3071079761258817</v>
      </c>
      <c r="S201" s="451">
        <f t="shared" si="101"/>
        <v>0.31038461538461537</v>
      </c>
      <c r="T201" s="451">
        <f t="shared" si="101"/>
        <v>0.31374501992031872</v>
      </c>
    </row>
    <row r="202" spans="1:20" x14ac:dyDescent="0.4">
      <c r="A202" s="266" t="s">
        <v>17</v>
      </c>
      <c r="B202" s="452">
        <f t="shared" si="99"/>
        <v>0.48465552312726629</v>
      </c>
      <c r="C202" s="452">
        <f t="shared" si="99"/>
        <v>0.48382085312264195</v>
      </c>
      <c r="D202" s="452">
        <f t="shared" si="99"/>
        <v>0.48401420959147423</v>
      </c>
      <c r="E202" s="452">
        <f t="shared" si="99"/>
        <v>0.48430094786729849</v>
      </c>
      <c r="F202" s="452">
        <f t="shared" si="99"/>
        <v>0.48385662189806988</v>
      </c>
      <c r="H202" s="266" t="s">
        <v>17</v>
      </c>
      <c r="I202" s="452">
        <f t="shared" si="100"/>
        <v>0.47796070100902815</v>
      </c>
      <c r="J202" s="452">
        <f t="shared" si="100"/>
        <v>0.46925805498078627</v>
      </c>
      <c r="K202" s="452">
        <f t="shared" si="100"/>
        <v>0.45901639344262296</v>
      </c>
      <c r="L202" s="452">
        <f t="shared" si="100"/>
        <v>0.45243619489559167</v>
      </c>
      <c r="M202" s="452">
        <f t="shared" si="100"/>
        <v>0.44544263522365712</v>
      </c>
      <c r="O202" s="266" t="s">
        <v>17</v>
      </c>
      <c r="P202" s="452">
        <f t="shared" si="101"/>
        <v>0.38635572572224158</v>
      </c>
      <c r="Q202" s="452">
        <f t="shared" si="101"/>
        <v>0.37816764132553604</v>
      </c>
      <c r="R202" s="452">
        <f t="shared" si="101"/>
        <v>0.36896364622897448</v>
      </c>
      <c r="S202" s="452">
        <f t="shared" si="101"/>
        <v>0.36307692307692307</v>
      </c>
      <c r="T202" s="452">
        <f t="shared" si="101"/>
        <v>0.3560756972111554</v>
      </c>
    </row>
    <row r="203" spans="1:20" x14ac:dyDescent="0.4">
      <c r="A203" s="266" t="s">
        <v>288</v>
      </c>
      <c r="B203" s="452">
        <f t="shared" si="99"/>
        <v>2.7151322189793933E-2</v>
      </c>
      <c r="C203" s="452">
        <f t="shared" si="99"/>
        <v>2.7031825646943938E-2</v>
      </c>
      <c r="D203" s="452">
        <f t="shared" si="99"/>
        <v>2.6865008880994672E-2</v>
      </c>
      <c r="E203" s="452">
        <f t="shared" si="99"/>
        <v>2.6954976303317529E-2</v>
      </c>
      <c r="F203" s="452">
        <f t="shared" si="99"/>
        <v>2.6950102285866761E-2</v>
      </c>
      <c r="H203" s="266" t="s">
        <v>288</v>
      </c>
      <c r="I203" s="452">
        <f t="shared" si="100"/>
        <v>5.4699946893255441E-2</v>
      </c>
      <c r="J203" s="452">
        <f t="shared" si="100"/>
        <v>6.2961868164351162E-2</v>
      </c>
      <c r="K203" s="452">
        <f t="shared" si="100"/>
        <v>7.2131147540983612E-2</v>
      </c>
      <c r="L203" s="452">
        <f t="shared" si="100"/>
        <v>7.83062645011601E-2</v>
      </c>
      <c r="M203" s="452">
        <f t="shared" si="100"/>
        <v>8.6281115478195766E-2</v>
      </c>
      <c r="O203" s="266" t="s">
        <v>288</v>
      </c>
      <c r="P203" s="452">
        <f t="shared" si="101"/>
        <v>9.3282283327532189E-2</v>
      </c>
      <c r="Q203" s="452">
        <f t="shared" si="101"/>
        <v>0.10623781676413255</v>
      </c>
      <c r="R203" s="452">
        <f t="shared" si="101"/>
        <v>0.12099837221920781</v>
      </c>
      <c r="S203" s="452">
        <f t="shared" si="101"/>
        <v>0.13</v>
      </c>
      <c r="T203" s="452">
        <f t="shared" si="101"/>
        <v>0.14218127490039842</v>
      </c>
    </row>
    <row r="204" spans="1:20" x14ac:dyDescent="0.4">
      <c r="A204" s="266" t="s">
        <v>18</v>
      </c>
      <c r="B204" s="452">
        <f t="shared" si="99"/>
        <v>0.1804192093393473</v>
      </c>
      <c r="C204" s="452">
        <f t="shared" si="99"/>
        <v>0.1806560433219406</v>
      </c>
      <c r="D204" s="452">
        <f t="shared" si="99"/>
        <v>0.18050621669626998</v>
      </c>
      <c r="E204" s="452">
        <f t="shared" si="99"/>
        <v>0.18068720379146919</v>
      </c>
      <c r="F204" s="452">
        <f t="shared" si="99"/>
        <v>0.18055679089211066</v>
      </c>
      <c r="H204" s="266" t="s">
        <v>18</v>
      </c>
      <c r="I204" s="452">
        <f t="shared" si="100"/>
        <v>0.20446096654275092</v>
      </c>
      <c r="J204" s="452">
        <f t="shared" si="100"/>
        <v>0.19509311262193318</v>
      </c>
      <c r="K204" s="452">
        <f t="shared" si="100"/>
        <v>0.18647540983606559</v>
      </c>
      <c r="L204" s="452">
        <f t="shared" si="100"/>
        <v>0.18126450116009282</v>
      </c>
      <c r="M204" s="452">
        <f t="shared" si="100"/>
        <v>0.1744338386674153</v>
      </c>
      <c r="O204" s="266" t="s">
        <v>18</v>
      </c>
      <c r="P204" s="452">
        <f t="shared" si="101"/>
        <v>0.22624434389140272</v>
      </c>
      <c r="Q204" s="452">
        <f t="shared" si="101"/>
        <v>0.21442495126705652</v>
      </c>
      <c r="R204" s="452">
        <f t="shared" si="101"/>
        <v>0.20293000542593598</v>
      </c>
      <c r="S204" s="452">
        <f t="shared" si="101"/>
        <v>0.19653846153846152</v>
      </c>
      <c r="T204" s="452">
        <f t="shared" si="101"/>
        <v>0.18799800796812749</v>
      </c>
    </row>
    <row r="205" spans="1:20" x14ac:dyDescent="0.4">
      <c r="A205" s="268" t="s">
        <v>541</v>
      </c>
      <c r="B205" s="453">
        <f>SUM(B201:B204)</f>
        <v>1</v>
      </c>
      <c r="C205" s="453">
        <f>SUM(C201:C204)</f>
        <v>1</v>
      </c>
      <c r="D205" s="453">
        <f>SUM(D201:D204)</f>
        <v>1</v>
      </c>
      <c r="E205" s="453">
        <f>SUM(E201:E204)</f>
        <v>0.99999999999999989</v>
      </c>
      <c r="F205" s="453">
        <f>SUM(F201:F204)</f>
        <v>1</v>
      </c>
      <c r="H205" s="268" t="s">
        <v>541</v>
      </c>
      <c r="I205" s="453">
        <f>SUM(I201:I204)</f>
        <v>0.99999999999999989</v>
      </c>
      <c r="J205" s="453">
        <f>SUM(J201:J204)</f>
        <v>0.99999999999999989</v>
      </c>
      <c r="K205" s="453">
        <f>SUM(K201:K204)</f>
        <v>1</v>
      </c>
      <c r="L205" s="453">
        <f>SUM(L201:L204)</f>
        <v>1</v>
      </c>
      <c r="M205" s="453">
        <f>SUM(M201:M204)</f>
        <v>1</v>
      </c>
      <c r="O205" s="268" t="s">
        <v>541</v>
      </c>
      <c r="P205" s="453">
        <f>SUM(P201:P204)</f>
        <v>1</v>
      </c>
      <c r="Q205" s="453">
        <f>SUM(Q201:Q204)</f>
        <v>1</v>
      </c>
      <c r="R205" s="453">
        <f>SUM(R201:R204)</f>
        <v>1</v>
      </c>
      <c r="S205" s="453">
        <f>SUM(S201:S204)</f>
        <v>1</v>
      </c>
      <c r="T205" s="453">
        <f>SUM(T201:T204)</f>
        <v>1</v>
      </c>
    </row>
    <row r="206" spans="1:20" x14ac:dyDescent="0.4">
      <c r="A206" s="418"/>
      <c r="B206" s="419"/>
      <c r="C206" s="419"/>
      <c r="D206" s="419"/>
      <c r="E206" s="419"/>
      <c r="F206" s="419"/>
      <c r="H206" s="418"/>
      <c r="I206" s="419"/>
      <c r="J206" s="419"/>
      <c r="K206" s="419"/>
      <c r="L206" s="419"/>
      <c r="M206" s="419"/>
      <c r="O206" s="418"/>
      <c r="P206" s="419"/>
      <c r="Q206" s="419"/>
      <c r="R206" s="419"/>
      <c r="S206" s="419"/>
      <c r="T206" s="419"/>
    </row>
    <row r="207" spans="1:20" x14ac:dyDescent="0.4">
      <c r="A207" s="418" t="s">
        <v>549</v>
      </c>
      <c r="B207" s="419"/>
      <c r="C207" s="419"/>
      <c r="D207" s="419"/>
      <c r="E207" s="419"/>
      <c r="F207" s="419"/>
      <c r="H207" s="418"/>
      <c r="I207" s="419"/>
      <c r="J207" s="419"/>
      <c r="K207" s="419"/>
      <c r="L207" s="419"/>
      <c r="M207" s="419"/>
      <c r="O207" s="418"/>
      <c r="P207" s="419"/>
      <c r="Q207" s="419"/>
      <c r="R207" s="419"/>
      <c r="S207" s="419"/>
      <c r="T207" s="419"/>
    </row>
    <row r="208" spans="1:20" x14ac:dyDescent="0.4">
      <c r="A208" s="418"/>
      <c r="B208" s="419"/>
      <c r="C208" s="419"/>
      <c r="D208" s="419"/>
      <c r="E208" s="419"/>
      <c r="F208" s="419"/>
      <c r="H208" s="418"/>
      <c r="I208" s="419"/>
      <c r="J208" s="419"/>
      <c r="K208" s="419"/>
      <c r="L208" s="419"/>
      <c r="M208" s="419"/>
      <c r="O208" s="418"/>
      <c r="P208" s="419"/>
      <c r="Q208" s="419"/>
      <c r="R208" s="419"/>
      <c r="S208" s="419"/>
      <c r="T208" s="419"/>
    </row>
    <row r="209" spans="1:20" x14ac:dyDescent="0.4">
      <c r="A209" s="418"/>
      <c r="B209" s="419"/>
      <c r="C209" s="419"/>
      <c r="D209" s="419"/>
      <c r="E209" s="419"/>
      <c r="F209" s="419"/>
      <c r="H209" s="418"/>
      <c r="I209" s="419"/>
      <c r="J209" s="419"/>
      <c r="K209" s="419"/>
      <c r="L209" s="419"/>
      <c r="M209" s="419"/>
      <c r="O209" s="418"/>
      <c r="P209" s="419"/>
      <c r="Q209" s="419"/>
      <c r="R209" s="419"/>
      <c r="S209" s="419"/>
      <c r="T209" s="419"/>
    </row>
    <row r="210" spans="1:20" x14ac:dyDescent="0.4">
      <c r="A210" s="418"/>
      <c r="B210" s="419"/>
      <c r="C210" s="419"/>
      <c r="D210" s="419"/>
      <c r="E210" s="419"/>
      <c r="F210" s="419"/>
      <c r="H210" s="418"/>
      <c r="I210" s="419"/>
      <c r="J210" s="419"/>
      <c r="K210" s="419"/>
      <c r="L210" s="419"/>
      <c r="M210" s="419"/>
      <c r="O210" s="418"/>
      <c r="P210" s="419"/>
      <c r="Q210" s="419"/>
      <c r="R210" s="419"/>
      <c r="S210" s="419"/>
      <c r="T210" s="419"/>
    </row>
    <row r="211" spans="1:20" x14ac:dyDescent="0.4">
      <c r="A211" s="418"/>
      <c r="B211" s="419"/>
      <c r="C211" s="419"/>
      <c r="D211" s="419"/>
      <c r="E211" s="419"/>
      <c r="F211" s="419"/>
      <c r="H211" s="418"/>
      <c r="I211" s="419"/>
      <c r="J211" s="419"/>
      <c r="K211" s="419"/>
      <c r="L211" s="419"/>
      <c r="M211" s="419"/>
      <c r="O211" s="418"/>
      <c r="P211" s="419"/>
      <c r="Q211" s="419"/>
      <c r="R211" s="419"/>
      <c r="S211" s="419"/>
      <c r="T211" s="419"/>
    </row>
    <row r="212" spans="1:20" x14ac:dyDescent="0.4">
      <c r="A212" s="418"/>
      <c r="B212" s="419"/>
      <c r="C212" s="419"/>
      <c r="D212" s="419"/>
      <c r="E212" s="419"/>
      <c r="F212" s="419"/>
      <c r="H212" s="418"/>
      <c r="I212" s="419"/>
      <c r="J212" s="419"/>
      <c r="K212" s="419"/>
      <c r="L212" s="419"/>
      <c r="M212" s="419"/>
      <c r="O212" s="418"/>
      <c r="P212" s="419"/>
      <c r="Q212" s="419"/>
      <c r="R212" s="419"/>
      <c r="S212" s="419"/>
      <c r="T212" s="419"/>
    </row>
    <row r="213" spans="1:20" x14ac:dyDescent="0.4">
      <c r="A213" s="418"/>
      <c r="B213" s="419"/>
      <c r="C213" s="419"/>
      <c r="D213" s="419"/>
      <c r="E213" s="419"/>
      <c r="F213" s="419"/>
      <c r="H213" s="418"/>
      <c r="I213" s="419"/>
      <c r="J213" s="419"/>
      <c r="K213" s="419"/>
      <c r="L213" s="419"/>
      <c r="M213" s="419"/>
      <c r="O213" s="418"/>
      <c r="P213" s="419"/>
      <c r="Q213" s="419"/>
      <c r="R213" s="419"/>
      <c r="S213" s="419"/>
      <c r="T213" s="419"/>
    </row>
    <row r="214" spans="1:20" x14ac:dyDescent="0.4">
      <c r="A214" s="418"/>
      <c r="B214" s="419"/>
      <c r="C214" s="419"/>
      <c r="D214" s="419"/>
      <c r="E214" s="419"/>
      <c r="F214" s="419"/>
      <c r="H214" s="418"/>
      <c r="I214" s="419"/>
      <c r="J214" s="419"/>
      <c r="K214" s="419"/>
      <c r="L214" s="419"/>
      <c r="M214" s="419"/>
      <c r="O214" s="418"/>
      <c r="P214" s="419"/>
      <c r="Q214" s="419"/>
      <c r="R214" s="419"/>
      <c r="S214" s="419"/>
      <c r="T214" s="419"/>
    </row>
    <row r="215" spans="1:20" x14ac:dyDescent="0.4">
      <c r="A215" s="418"/>
      <c r="B215" s="419"/>
      <c r="C215" s="419"/>
      <c r="D215" s="419"/>
      <c r="E215" s="419"/>
      <c r="F215" s="419"/>
      <c r="H215" s="418"/>
      <c r="I215" s="419"/>
      <c r="J215" s="419"/>
      <c r="K215" s="419"/>
      <c r="L215" s="419"/>
      <c r="M215" s="419"/>
      <c r="O215" s="418"/>
      <c r="P215" s="419"/>
      <c r="Q215" s="419"/>
      <c r="R215" s="419"/>
      <c r="S215" s="419"/>
      <c r="T215" s="419"/>
    </row>
    <row r="216" spans="1:20" x14ac:dyDescent="0.4">
      <c r="A216" s="418"/>
      <c r="B216" s="419"/>
      <c r="C216" s="419"/>
      <c r="D216" s="419"/>
      <c r="E216" s="419"/>
      <c r="F216" s="419"/>
      <c r="H216" s="418"/>
      <c r="I216" s="419"/>
      <c r="J216" s="419"/>
      <c r="K216" s="419"/>
      <c r="L216" s="419"/>
      <c r="M216" s="419"/>
      <c r="O216" s="418"/>
      <c r="P216" s="419"/>
      <c r="Q216" s="419"/>
      <c r="R216" s="419"/>
      <c r="S216" s="419"/>
      <c r="T216" s="419"/>
    </row>
    <row r="217" spans="1:20" x14ac:dyDescent="0.4">
      <c r="A217" s="418"/>
      <c r="B217" s="419"/>
      <c r="C217" s="419"/>
      <c r="D217" s="419"/>
      <c r="E217" s="419"/>
      <c r="F217" s="419"/>
      <c r="H217" s="418"/>
      <c r="I217" s="419"/>
      <c r="J217" s="419"/>
      <c r="K217" s="419"/>
      <c r="L217" s="419"/>
      <c r="M217" s="419"/>
      <c r="O217" s="418"/>
      <c r="P217" s="419"/>
      <c r="Q217" s="419"/>
      <c r="R217" s="419"/>
      <c r="S217" s="419"/>
      <c r="T217" s="419"/>
    </row>
    <row r="218" spans="1:20" x14ac:dyDescent="0.4">
      <c r="A218" s="418"/>
      <c r="B218" s="419"/>
      <c r="C218" s="419"/>
      <c r="D218" s="419"/>
      <c r="E218" s="419"/>
      <c r="F218" s="419"/>
      <c r="H218" s="418"/>
      <c r="I218" s="419"/>
      <c r="J218" s="419"/>
      <c r="K218" s="419"/>
      <c r="L218" s="419"/>
      <c r="M218" s="419"/>
      <c r="O218" s="418"/>
      <c r="P218" s="419"/>
      <c r="Q218" s="419"/>
      <c r="R218" s="419"/>
      <c r="S218" s="419"/>
      <c r="T218" s="419"/>
    </row>
    <row r="219" spans="1:20" x14ac:dyDescent="0.4">
      <c r="A219" s="418"/>
      <c r="B219" s="419"/>
      <c r="C219" s="419"/>
      <c r="D219" s="419"/>
      <c r="E219" s="419"/>
      <c r="F219" s="419"/>
      <c r="H219" s="418"/>
      <c r="I219" s="419"/>
      <c r="J219" s="419"/>
      <c r="K219" s="419"/>
      <c r="L219" s="419"/>
      <c r="M219" s="419"/>
      <c r="O219" s="418"/>
      <c r="P219" s="419"/>
      <c r="Q219" s="419"/>
      <c r="R219" s="419"/>
      <c r="S219" s="419"/>
      <c r="T219" s="419"/>
    </row>
    <row r="220" spans="1:20" x14ac:dyDescent="0.4">
      <c r="A220" s="418"/>
      <c r="B220" s="419"/>
      <c r="C220" s="419"/>
      <c r="D220" s="419"/>
      <c r="E220" s="419"/>
      <c r="F220" s="419"/>
      <c r="H220" s="418"/>
      <c r="I220" s="419"/>
      <c r="J220" s="419"/>
      <c r="K220" s="419"/>
      <c r="L220" s="419"/>
      <c r="M220" s="419"/>
      <c r="O220" s="418"/>
      <c r="P220" s="419"/>
      <c r="Q220" s="419"/>
      <c r="R220" s="419"/>
      <c r="S220" s="419"/>
      <c r="T220" s="419"/>
    </row>
    <row r="221" spans="1:20" x14ac:dyDescent="0.4">
      <c r="A221" s="418"/>
      <c r="B221" s="419"/>
      <c r="C221" s="419"/>
      <c r="D221" s="419"/>
      <c r="E221" s="419"/>
      <c r="F221" s="419"/>
      <c r="H221" s="418"/>
      <c r="I221" s="419"/>
      <c r="J221" s="419"/>
      <c r="K221" s="419"/>
      <c r="L221" s="419"/>
      <c r="M221" s="419"/>
      <c r="O221" s="418"/>
      <c r="P221" s="419"/>
      <c r="Q221" s="419"/>
      <c r="R221" s="419"/>
      <c r="S221" s="419"/>
      <c r="T221" s="419"/>
    </row>
    <row r="222" spans="1:20" x14ac:dyDescent="0.4">
      <c r="A222" s="418"/>
      <c r="B222" s="419"/>
      <c r="C222" s="419"/>
      <c r="D222" s="419"/>
      <c r="E222" s="419"/>
      <c r="F222" s="419"/>
      <c r="H222" s="418"/>
      <c r="I222" s="419"/>
      <c r="J222" s="419"/>
      <c r="K222" s="419"/>
      <c r="L222" s="419"/>
      <c r="M222" s="419"/>
      <c r="O222" s="418"/>
      <c r="P222" s="419"/>
      <c r="Q222" s="419"/>
      <c r="R222" s="419"/>
      <c r="S222" s="419"/>
      <c r="T222" s="419"/>
    </row>
    <row r="223" spans="1:20" x14ac:dyDescent="0.4">
      <c r="A223" s="418"/>
      <c r="B223" s="419"/>
      <c r="C223" s="419"/>
      <c r="D223" s="419"/>
      <c r="E223" s="419"/>
      <c r="F223" s="419"/>
      <c r="H223" s="418"/>
      <c r="I223" s="419"/>
      <c r="J223" s="419"/>
      <c r="K223" s="419"/>
      <c r="L223" s="419"/>
      <c r="M223" s="419"/>
      <c r="O223" s="418"/>
      <c r="P223" s="419"/>
      <c r="Q223" s="419"/>
      <c r="R223" s="419"/>
      <c r="S223" s="419"/>
      <c r="T223" s="419"/>
    </row>
    <row r="224" spans="1:20" x14ac:dyDescent="0.4">
      <c r="A224" s="418"/>
      <c r="B224" s="419"/>
      <c r="C224" s="419"/>
      <c r="D224" s="419"/>
      <c r="E224" s="419"/>
      <c r="F224" s="419"/>
      <c r="H224" s="418"/>
      <c r="I224" s="419"/>
      <c r="J224" s="419"/>
      <c r="K224" s="419"/>
      <c r="L224" s="419"/>
      <c r="M224" s="419"/>
      <c r="O224" s="418"/>
      <c r="P224" s="419"/>
      <c r="Q224" s="419"/>
      <c r="R224" s="419"/>
      <c r="S224" s="419"/>
      <c r="T224" s="419"/>
    </row>
    <row r="225" spans="1:20" x14ac:dyDescent="0.4">
      <c r="A225" s="418"/>
      <c r="B225" s="419"/>
      <c r="C225" s="419"/>
      <c r="D225" s="419"/>
      <c r="E225" s="419"/>
      <c r="F225" s="419"/>
      <c r="H225" s="418"/>
      <c r="I225" s="419"/>
      <c r="J225" s="419"/>
      <c r="K225" s="419"/>
      <c r="L225" s="419"/>
      <c r="M225" s="419"/>
      <c r="O225" s="418"/>
      <c r="P225" s="419"/>
      <c r="Q225" s="419"/>
      <c r="R225" s="419"/>
      <c r="S225" s="419"/>
      <c r="T225" s="419"/>
    </row>
    <row r="226" spans="1:20" x14ac:dyDescent="0.4">
      <c r="A226" s="418"/>
      <c r="B226" s="419"/>
      <c r="C226" s="419"/>
      <c r="D226" s="419"/>
      <c r="E226" s="419"/>
      <c r="F226" s="419"/>
      <c r="H226" s="418"/>
      <c r="I226" s="419"/>
      <c r="J226" s="419"/>
      <c r="K226" s="419"/>
      <c r="L226" s="419"/>
      <c r="M226" s="419"/>
      <c r="O226" s="418"/>
      <c r="P226" s="419"/>
      <c r="Q226" s="419"/>
      <c r="R226" s="419"/>
      <c r="S226" s="419"/>
      <c r="T226" s="419"/>
    </row>
    <row r="227" spans="1:20" x14ac:dyDescent="0.4">
      <c r="A227" s="418"/>
      <c r="B227" s="419"/>
      <c r="C227" s="419"/>
      <c r="D227" s="419"/>
      <c r="E227" s="419"/>
      <c r="F227" s="419"/>
      <c r="H227" s="418"/>
      <c r="I227" s="419"/>
      <c r="J227" s="419"/>
      <c r="K227" s="419"/>
      <c r="L227" s="419"/>
      <c r="M227" s="419"/>
      <c r="O227" s="418"/>
      <c r="P227" s="419"/>
      <c r="Q227" s="419"/>
      <c r="R227" s="419"/>
      <c r="S227" s="419"/>
      <c r="T227" s="419"/>
    </row>
    <row r="228" spans="1:20" x14ac:dyDescent="0.4">
      <c r="A228" s="418"/>
      <c r="B228" s="419"/>
      <c r="C228" s="419"/>
      <c r="D228" s="419"/>
      <c r="E228" s="419"/>
      <c r="F228" s="419"/>
      <c r="H228" s="418"/>
      <c r="I228" s="419"/>
      <c r="J228" s="419"/>
      <c r="K228" s="419"/>
      <c r="L228" s="419"/>
      <c r="M228" s="419"/>
      <c r="O228" s="418"/>
      <c r="P228" s="419"/>
      <c r="Q228" s="419"/>
      <c r="R228" s="419"/>
      <c r="S228" s="419"/>
      <c r="T228" s="419"/>
    </row>
    <row r="229" spans="1:20" x14ac:dyDescent="0.4">
      <c r="A229" s="418"/>
      <c r="B229" s="419"/>
      <c r="C229" s="419"/>
      <c r="D229" s="419"/>
      <c r="E229" s="419"/>
      <c r="F229" s="419"/>
      <c r="H229" s="418"/>
      <c r="I229" s="419"/>
      <c r="J229" s="419"/>
      <c r="K229" s="419"/>
      <c r="L229" s="419"/>
      <c r="M229" s="419"/>
      <c r="O229" s="418"/>
      <c r="P229" s="419"/>
      <c r="Q229" s="419"/>
      <c r="R229" s="419"/>
      <c r="S229" s="419"/>
      <c r="T229" s="419"/>
    </row>
    <row r="230" spans="1:20" x14ac:dyDescent="0.4">
      <c r="A230" s="418"/>
      <c r="B230" s="419"/>
      <c r="C230" s="419"/>
      <c r="D230" s="419"/>
      <c r="E230" s="419"/>
      <c r="F230" s="419"/>
      <c r="H230" s="418"/>
      <c r="I230" s="419"/>
      <c r="J230" s="419"/>
      <c r="K230" s="419"/>
      <c r="L230" s="419"/>
      <c r="M230" s="419"/>
      <c r="O230" s="418"/>
      <c r="P230" s="419"/>
      <c r="Q230" s="419"/>
      <c r="R230" s="419"/>
      <c r="S230" s="419"/>
      <c r="T230" s="419"/>
    </row>
    <row r="231" spans="1:20" x14ac:dyDescent="0.4">
      <c r="A231" s="418"/>
      <c r="B231" s="419"/>
      <c r="C231" s="419"/>
      <c r="D231" s="419"/>
      <c r="E231" s="419"/>
      <c r="F231" s="419"/>
      <c r="H231" s="418"/>
      <c r="I231" s="419"/>
      <c r="J231" s="419"/>
      <c r="K231" s="419"/>
      <c r="L231" s="419"/>
      <c r="M231" s="419"/>
      <c r="O231" s="418"/>
      <c r="P231" s="419"/>
      <c r="Q231" s="419"/>
      <c r="R231" s="419"/>
      <c r="S231" s="419"/>
      <c r="T231" s="419"/>
    </row>
    <row r="241" spans="1:1" x14ac:dyDescent="0.4">
      <c r="A241" s="418"/>
    </row>
    <row r="257" spans="1:1" x14ac:dyDescent="0.4">
      <c r="A257" s="418"/>
    </row>
  </sheetData>
  <pageMargins left="0.7" right="0.7" top="0.75" bottom="0.75" header="0.3" footer="0.3"/>
  <pageSetup scale="80" orientation="landscape" r:id="rId1"/>
  <rowBreaks count="6" manualBreakCount="6">
    <brk id="37" max="16383" man="1"/>
    <brk id="77" max="20" man="1"/>
    <brk id="117" max="20" man="1"/>
    <brk id="152" max="20" man="1"/>
    <brk id="188" max="20" man="1"/>
    <brk id="223" max="20" man="1"/>
  </rowBreaks>
  <colBreaks count="1" manualBreakCount="1">
    <brk id="1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X95"/>
  <sheetViews>
    <sheetView view="pageBreakPreview" zoomScale="80" zoomScaleNormal="100" zoomScaleSheetLayoutView="80" workbookViewId="0"/>
  </sheetViews>
  <sheetFormatPr defaultColWidth="8.84375" defaultRowHeight="14.6" x14ac:dyDescent="0.4"/>
  <cols>
    <col min="1" max="1" width="13.69140625" customWidth="1"/>
    <col min="2" max="14" width="9.69140625" customWidth="1"/>
    <col min="15" max="15" width="1.69140625" customWidth="1"/>
    <col min="17" max="17" width="1" customWidth="1"/>
    <col min="18" max="18" width="13.69140625" customWidth="1"/>
    <col min="19" max="31" width="9.69140625" customWidth="1"/>
    <col min="32" max="32" width="1.69140625" customWidth="1"/>
    <col min="34" max="34" width="1" customWidth="1"/>
    <col min="35" max="35" width="13.69140625" customWidth="1"/>
    <col min="36" max="48" width="9.69140625" customWidth="1"/>
    <col min="49" max="49" width="1.69140625" customWidth="1"/>
  </cols>
  <sheetData>
    <row r="1" spans="1:50" x14ac:dyDescent="0.4">
      <c r="A1" s="52" t="s">
        <v>586</v>
      </c>
    </row>
    <row r="3" spans="1:50" x14ac:dyDescent="0.4">
      <c r="A3" s="4" t="s">
        <v>334</v>
      </c>
      <c r="B3" s="178">
        <v>3</v>
      </c>
      <c r="R3" s="4" t="s">
        <v>334</v>
      </c>
      <c r="S3" s="4">
        <f>B3</f>
        <v>3</v>
      </c>
      <c r="AI3" s="4" t="s">
        <v>334</v>
      </c>
      <c r="AJ3" s="4">
        <f>B3</f>
        <v>3</v>
      </c>
    </row>
    <row r="4" spans="1:50" x14ac:dyDescent="0.4">
      <c r="A4" s="4" t="s">
        <v>429</v>
      </c>
      <c r="B4" s="444" t="str">
        <f>Main!E83</f>
        <v>Cen</v>
      </c>
      <c r="R4" s="4" t="s">
        <v>429</v>
      </c>
      <c r="S4" s="388" t="str">
        <f>B4</f>
        <v>Cen</v>
      </c>
      <c r="AI4" s="4" t="s">
        <v>429</v>
      </c>
      <c r="AJ4" s="394" t="str">
        <f t="shared" ref="AJ4:AJ5" si="0">B4</f>
        <v>Cen</v>
      </c>
    </row>
    <row r="5" spans="1:50" x14ac:dyDescent="0.4">
      <c r="A5" s="4" t="s">
        <v>430</v>
      </c>
      <c r="B5" s="445">
        <v>2011</v>
      </c>
      <c r="C5" s="4"/>
      <c r="D5" s="4"/>
      <c r="E5" s="4"/>
      <c r="F5" s="4"/>
      <c r="G5" s="4"/>
      <c r="H5" s="4"/>
      <c r="I5" s="4"/>
      <c r="J5" s="4"/>
      <c r="K5" s="4"/>
      <c r="L5" s="4"/>
      <c r="M5" s="4"/>
      <c r="N5" s="4"/>
      <c r="O5" s="4"/>
      <c r="P5" s="4"/>
      <c r="Q5" s="4"/>
      <c r="R5" s="4" t="s">
        <v>430</v>
      </c>
      <c r="S5" s="395">
        <f>B5</f>
        <v>2011</v>
      </c>
      <c r="T5" s="4"/>
      <c r="AH5" s="4"/>
      <c r="AI5" s="4" t="s">
        <v>430</v>
      </c>
      <c r="AJ5" s="4">
        <f t="shared" si="0"/>
        <v>2011</v>
      </c>
      <c r="AK5" s="4"/>
    </row>
    <row r="6" spans="1:50" x14ac:dyDescent="0.4">
      <c r="A6" s="4"/>
      <c r="B6" s="395"/>
      <c r="C6" s="4"/>
      <c r="D6" s="4"/>
      <c r="E6" s="4"/>
      <c r="F6" s="4"/>
      <c r="G6" s="4"/>
      <c r="H6" s="4"/>
      <c r="I6" s="4"/>
      <c r="J6" s="4"/>
      <c r="K6" s="4"/>
      <c r="L6" s="4"/>
      <c r="M6" s="4"/>
      <c r="N6" s="4"/>
      <c r="O6" s="4"/>
      <c r="P6" s="4"/>
      <c r="Q6" s="4"/>
      <c r="R6" s="4"/>
      <c r="S6" s="395"/>
      <c r="T6" s="4"/>
      <c r="AH6" s="4"/>
      <c r="AI6" s="4"/>
      <c r="AJ6" s="4"/>
      <c r="AK6" s="4"/>
    </row>
    <row r="7" spans="1:50" x14ac:dyDescent="0.4">
      <c r="A7" s="258" t="s">
        <v>469</v>
      </c>
      <c r="R7" s="258" t="s">
        <v>470</v>
      </c>
      <c r="AI7" s="258" t="s">
        <v>471</v>
      </c>
    </row>
    <row r="8" spans="1:50" x14ac:dyDescent="0.4">
      <c r="A8" s="270" t="s">
        <v>335</v>
      </c>
      <c r="B8" s="271" t="s">
        <v>336</v>
      </c>
      <c r="R8" s="270" t="s">
        <v>335</v>
      </c>
      <c r="S8" s="271" t="s">
        <v>336</v>
      </c>
      <c r="AI8" s="270" t="s">
        <v>335</v>
      </c>
      <c r="AJ8" s="271" t="s">
        <v>336</v>
      </c>
    </row>
    <row r="9" spans="1:50" x14ac:dyDescent="0.4">
      <c r="A9" s="259" t="s">
        <v>337</v>
      </c>
      <c r="B9" s="260" t="s">
        <v>338</v>
      </c>
      <c r="C9" s="261"/>
      <c r="D9" s="261"/>
      <c r="E9" s="261"/>
      <c r="F9" s="261"/>
      <c r="G9" s="261"/>
      <c r="H9" s="261"/>
      <c r="I9" s="261"/>
      <c r="J9" s="261"/>
      <c r="K9" s="261"/>
      <c r="L9" s="261"/>
      <c r="M9" s="261"/>
      <c r="N9" s="262"/>
      <c r="R9" s="259" t="s">
        <v>337</v>
      </c>
      <c r="S9" s="260" t="s">
        <v>338</v>
      </c>
      <c r="T9" s="261"/>
      <c r="U9" s="261"/>
      <c r="V9" s="261"/>
      <c r="W9" s="261"/>
      <c r="X9" s="261"/>
      <c r="Y9" s="261"/>
      <c r="Z9" s="261"/>
      <c r="AA9" s="261"/>
      <c r="AB9" s="261"/>
      <c r="AC9" s="261"/>
      <c r="AD9" s="261"/>
      <c r="AE9" s="262"/>
      <c r="AI9" s="259" t="s">
        <v>337</v>
      </c>
      <c r="AJ9" s="260" t="s">
        <v>338</v>
      </c>
      <c r="AK9" s="261"/>
      <c r="AL9" s="261"/>
      <c r="AM9" s="261"/>
      <c r="AN9" s="261"/>
      <c r="AO9" s="261"/>
      <c r="AP9" s="261"/>
      <c r="AQ9" s="261"/>
      <c r="AR9" s="261"/>
      <c r="AS9" s="261"/>
      <c r="AT9" s="261"/>
      <c r="AU9" s="261"/>
      <c r="AV9" s="262"/>
    </row>
    <row r="10" spans="1:50" ht="15" thickBot="1" x14ac:dyDescent="0.45">
      <c r="A10" s="263"/>
      <c r="B10" s="263">
        <v>10</v>
      </c>
      <c r="C10" s="263">
        <v>25</v>
      </c>
      <c r="D10" s="263">
        <v>50</v>
      </c>
      <c r="E10" s="263">
        <v>62.1</v>
      </c>
      <c r="F10" s="263">
        <v>100</v>
      </c>
      <c r="G10" s="263">
        <v>200</v>
      </c>
      <c r="H10" s="263">
        <v>300</v>
      </c>
      <c r="I10" s="263">
        <v>400</v>
      </c>
      <c r="J10" s="263">
        <v>500</v>
      </c>
      <c r="K10" s="263">
        <v>750</v>
      </c>
      <c r="L10" s="263">
        <v>1000</v>
      </c>
      <c r="M10" s="263">
        <v>1500</v>
      </c>
      <c r="N10" s="263">
        <v>2000</v>
      </c>
      <c r="P10" s="28"/>
      <c r="R10" s="263"/>
      <c r="S10" s="263">
        <v>10</v>
      </c>
      <c r="T10" s="263">
        <v>25</v>
      </c>
      <c r="U10" s="263">
        <v>50</v>
      </c>
      <c r="V10" s="263">
        <v>62.1</v>
      </c>
      <c r="W10" s="263">
        <v>100</v>
      </c>
      <c r="X10" s="263">
        <v>200</v>
      </c>
      <c r="Y10" s="263">
        <v>300</v>
      </c>
      <c r="Z10" s="263">
        <v>400</v>
      </c>
      <c r="AA10" s="263">
        <v>500</v>
      </c>
      <c r="AB10" s="263">
        <v>750</v>
      </c>
      <c r="AC10" s="263">
        <v>1000</v>
      </c>
      <c r="AD10" s="263">
        <v>1500</v>
      </c>
      <c r="AE10" s="263">
        <v>2000</v>
      </c>
      <c r="AG10" s="28"/>
      <c r="AI10" s="263"/>
      <c r="AJ10" s="263">
        <v>10</v>
      </c>
      <c r="AK10" s="263">
        <v>25</v>
      </c>
      <c r="AL10" s="263">
        <v>50</v>
      </c>
      <c r="AM10" s="263">
        <v>62.1</v>
      </c>
      <c r="AN10" s="263">
        <v>100</v>
      </c>
      <c r="AO10" s="263">
        <v>200</v>
      </c>
      <c r="AP10" s="263">
        <v>300</v>
      </c>
      <c r="AQ10" s="263">
        <v>400</v>
      </c>
      <c r="AR10" s="263">
        <v>500</v>
      </c>
      <c r="AS10" s="263">
        <v>750</v>
      </c>
      <c r="AT10" s="263">
        <v>1000</v>
      </c>
      <c r="AU10" s="263">
        <v>1500</v>
      </c>
      <c r="AV10" s="263">
        <v>2000</v>
      </c>
      <c r="AX10" s="28"/>
    </row>
    <row r="11" spans="1:50" x14ac:dyDescent="0.4">
      <c r="A11" s="264">
        <v>8</v>
      </c>
      <c r="B11" s="265">
        <f>sigfig(CpParker($A11,B$25,$B$23,$B$5),$B$3)/B$10</f>
        <v>752000</v>
      </c>
      <c r="C11" s="265">
        <f t="shared" ref="B11:N20" si="1">sigfig(CpParker($A11,C$25,$B$23,$B$5),$B$3)/C$10</f>
        <v>712000</v>
      </c>
      <c r="D11" s="265">
        <f t="shared" si="1"/>
        <v>700000</v>
      </c>
      <c r="E11" s="265">
        <f t="shared" si="1"/>
        <v>698872.78582930751</v>
      </c>
      <c r="F11" s="265">
        <f t="shared" si="1"/>
        <v>694000</v>
      </c>
      <c r="G11" s="265">
        <f t="shared" si="1"/>
        <v>690000</v>
      </c>
      <c r="H11" s="265">
        <f t="shared" si="1"/>
        <v>690000</v>
      </c>
      <c r="I11" s="265">
        <f t="shared" si="1"/>
        <v>690000</v>
      </c>
      <c r="J11" s="265">
        <f t="shared" si="1"/>
        <v>690000</v>
      </c>
      <c r="K11" s="265">
        <f t="shared" si="1"/>
        <v>689333.33333333337</v>
      </c>
      <c r="L11" s="265">
        <f t="shared" si="1"/>
        <v>689000</v>
      </c>
      <c r="M11" s="265">
        <f t="shared" si="1"/>
        <v>686666.66666666663</v>
      </c>
      <c r="N11" s="265">
        <f t="shared" si="1"/>
        <v>690000</v>
      </c>
      <c r="P11" s="272"/>
      <c r="R11" s="264">
        <v>8</v>
      </c>
      <c r="S11" s="265">
        <f t="shared" ref="S11:AE20" si="2">sigfig(CpRui($R11,S$25,$S$4,$S$23,$S$5),$S$3)/S$10</f>
        <v>257000</v>
      </c>
      <c r="T11" s="265">
        <f t="shared" si="2"/>
        <v>220800</v>
      </c>
      <c r="U11" s="265">
        <f t="shared" si="2"/>
        <v>197400</v>
      </c>
      <c r="V11" s="265">
        <f t="shared" si="2"/>
        <v>190016.10305958131</v>
      </c>
      <c r="W11" s="265">
        <f t="shared" si="2"/>
        <v>177000</v>
      </c>
      <c r="X11" s="265">
        <f t="shared" si="2"/>
        <v>159000</v>
      </c>
      <c r="Y11" s="265">
        <f t="shared" si="2"/>
        <v>150000</v>
      </c>
      <c r="Z11" s="265">
        <f t="shared" si="2"/>
        <v>143750</v>
      </c>
      <c r="AA11" s="265">
        <f t="shared" si="2"/>
        <v>139000</v>
      </c>
      <c r="AB11" s="265">
        <f t="shared" si="2"/>
        <v>131333.33333333334</v>
      </c>
      <c r="AC11" s="265">
        <f t="shared" si="2"/>
        <v>126000</v>
      </c>
      <c r="AD11" s="265">
        <f t="shared" si="2"/>
        <v>119333.33333333333</v>
      </c>
      <c r="AE11" s="265">
        <f t="shared" si="2"/>
        <v>115000</v>
      </c>
      <c r="AG11" s="272"/>
      <c r="AI11" s="264">
        <v>8</v>
      </c>
      <c r="AJ11" s="265">
        <f t="shared" ref="AJ11:AV20" si="3">sigfig(Cpmccoy($AI11,AJ$25,$AJ$4,$AJ$23,$AJ$5),$AJ$3)/AJ$10</f>
        <v>321000</v>
      </c>
      <c r="AK11" s="265">
        <f t="shared" si="3"/>
        <v>278000</v>
      </c>
      <c r="AL11" s="265">
        <f t="shared" si="3"/>
        <v>250000</v>
      </c>
      <c r="AM11" s="265">
        <f t="shared" si="3"/>
        <v>241545.89371980674</v>
      </c>
      <c r="AN11" s="265">
        <f t="shared" si="3"/>
        <v>225000</v>
      </c>
      <c r="AO11" s="265">
        <f t="shared" si="3"/>
        <v>203000</v>
      </c>
      <c r="AP11" s="265">
        <f t="shared" si="3"/>
        <v>191666.66666666666</v>
      </c>
      <c r="AQ11" s="265">
        <f t="shared" si="3"/>
        <v>183750</v>
      </c>
      <c r="AR11" s="265">
        <f t="shared" si="3"/>
        <v>178200</v>
      </c>
      <c r="AS11" s="265">
        <f t="shared" si="3"/>
        <v>168000</v>
      </c>
      <c r="AT11" s="265">
        <f t="shared" si="3"/>
        <v>162000</v>
      </c>
      <c r="AU11" s="265">
        <f t="shared" si="3"/>
        <v>153333.33333333334</v>
      </c>
      <c r="AV11" s="265">
        <f t="shared" si="3"/>
        <v>148000</v>
      </c>
      <c r="AX11" s="272"/>
    </row>
    <row r="12" spans="1:50" x14ac:dyDescent="0.4">
      <c r="A12" s="266">
        <v>10</v>
      </c>
      <c r="B12" s="267">
        <f t="shared" si="1"/>
        <v>840000</v>
      </c>
      <c r="C12" s="267">
        <f t="shared" si="1"/>
        <v>800000</v>
      </c>
      <c r="D12" s="267">
        <f t="shared" si="1"/>
        <v>788000</v>
      </c>
      <c r="E12" s="267">
        <f t="shared" si="1"/>
        <v>785829.307568438</v>
      </c>
      <c r="F12" s="267">
        <f t="shared" si="1"/>
        <v>782000</v>
      </c>
      <c r="G12" s="267">
        <f t="shared" si="1"/>
        <v>780000</v>
      </c>
      <c r="H12" s="267">
        <f t="shared" si="1"/>
        <v>776666.66666666663</v>
      </c>
      <c r="I12" s="267">
        <f t="shared" si="1"/>
        <v>777500</v>
      </c>
      <c r="J12" s="267">
        <f t="shared" si="1"/>
        <v>776000</v>
      </c>
      <c r="K12" s="267">
        <f t="shared" si="1"/>
        <v>776000</v>
      </c>
      <c r="L12" s="267">
        <f t="shared" si="1"/>
        <v>776000</v>
      </c>
      <c r="M12" s="267">
        <f t="shared" si="1"/>
        <v>773333.33333333337</v>
      </c>
      <c r="N12" s="267">
        <f t="shared" si="1"/>
        <v>775000</v>
      </c>
      <c r="P12" s="272"/>
      <c r="R12" s="266">
        <v>10</v>
      </c>
      <c r="S12" s="267">
        <f t="shared" si="2"/>
        <v>323000</v>
      </c>
      <c r="T12" s="267">
        <f t="shared" si="2"/>
        <v>277200</v>
      </c>
      <c r="U12" s="267">
        <f t="shared" si="2"/>
        <v>248000</v>
      </c>
      <c r="V12" s="267">
        <f t="shared" si="2"/>
        <v>239935.58776167472</v>
      </c>
      <c r="W12" s="267">
        <f t="shared" si="2"/>
        <v>222000</v>
      </c>
      <c r="X12" s="267">
        <f t="shared" si="2"/>
        <v>199500</v>
      </c>
      <c r="Y12" s="267">
        <f t="shared" si="2"/>
        <v>187333.33333333334</v>
      </c>
      <c r="Z12" s="267">
        <f t="shared" si="2"/>
        <v>179500</v>
      </c>
      <c r="AA12" s="267">
        <f t="shared" si="2"/>
        <v>173800</v>
      </c>
      <c r="AB12" s="267">
        <f t="shared" si="2"/>
        <v>164000</v>
      </c>
      <c r="AC12" s="267">
        <f t="shared" si="2"/>
        <v>157000</v>
      </c>
      <c r="AD12" s="267">
        <f t="shared" si="2"/>
        <v>148666.66666666666</v>
      </c>
      <c r="AE12" s="267">
        <f t="shared" si="2"/>
        <v>143000</v>
      </c>
      <c r="AG12" s="272"/>
      <c r="AI12" s="266">
        <v>10</v>
      </c>
      <c r="AJ12" s="267">
        <f t="shared" si="3"/>
        <v>402000</v>
      </c>
      <c r="AK12" s="267">
        <f t="shared" si="3"/>
        <v>347600</v>
      </c>
      <c r="AL12" s="267">
        <f t="shared" si="3"/>
        <v>312000</v>
      </c>
      <c r="AM12" s="267">
        <f t="shared" si="3"/>
        <v>302737.52012882446</v>
      </c>
      <c r="AN12" s="267">
        <f t="shared" si="3"/>
        <v>281000</v>
      </c>
      <c r="AO12" s="267">
        <f t="shared" si="3"/>
        <v>254000</v>
      </c>
      <c r="AP12" s="267">
        <f t="shared" si="3"/>
        <v>239666.66666666666</v>
      </c>
      <c r="AQ12" s="267">
        <f t="shared" si="3"/>
        <v>230000</v>
      </c>
      <c r="AR12" s="267">
        <f t="shared" si="3"/>
        <v>222000</v>
      </c>
      <c r="AS12" s="267">
        <f t="shared" si="3"/>
        <v>210666.66666666666</v>
      </c>
      <c r="AT12" s="267">
        <f t="shared" si="3"/>
        <v>203000</v>
      </c>
      <c r="AU12" s="267">
        <f t="shared" si="3"/>
        <v>192000</v>
      </c>
      <c r="AV12" s="267">
        <f t="shared" si="3"/>
        <v>184500</v>
      </c>
      <c r="AX12" s="272"/>
    </row>
    <row r="13" spans="1:50" x14ac:dyDescent="0.4">
      <c r="A13" s="266">
        <v>12</v>
      </c>
      <c r="B13" s="267">
        <f t="shared" si="1"/>
        <v>938000</v>
      </c>
      <c r="C13" s="267">
        <f t="shared" si="1"/>
        <v>900000</v>
      </c>
      <c r="D13" s="267">
        <f t="shared" si="1"/>
        <v>886000</v>
      </c>
      <c r="E13" s="267">
        <f t="shared" si="1"/>
        <v>884057.97101449268</v>
      </c>
      <c r="F13" s="267">
        <f t="shared" si="1"/>
        <v>881000</v>
      </c>
      <c r="G13" s="267">
        <f t="shared" si="1"/>
        <v>875000</v>
      </c>
      <c r="H13" s="267">
        <f t="shared" si="1"/>
        <v>876666.66666666663</v>
      </c>
      <c r="I13" s="267">
        <f t="shared" si="1"/>
        <v>875000</v>
      </c>
      <c r="J13" s="267">
        <f t="shared" si="1"/>
        <v>876000</v>
      </c>
      <c r="K13" s="267">
        <f t="shared" si="1"/>
        <v>874666.66666666663</v>
      </c>
      <c r="L13" s="267">
        <f t="shared" si="1"/>
        <v>875000</v>
      </c>
      <c r="M13" s="267">
        <f t="shared" si="1"/>
        <v>873333.33333333337</v>
      </c>
      <c r="N13" s="267">
        <f t="shared" si="1"/>
        <v>875000</v>
      </c>
      <c r="P13" s="272"/>
      <c r="R13" s="266">
        <v>12</v>
      </c>
      <c r="S13" s="267">
        <f t="shared" si="2"/>
        <v>390000</v>
      </c>
      <c r="T13" s="267">
        <f t="shared" si="2"/>
        <v>335200</v>
      </c>
      <c r="U13" s="267">
        <f t="shared" si="2"/>
        <v>300000</v>
      </c>
      <c r="V13" s="267">
        <f t="shared" si="2"/>
        <v>289855.07246376813</v>
      </c>
      <c r="W13" s="267">
        <f t="shared" si="2"/>
        <v>268000</v>
      </c>
      <c r="X13" s="267">
        <f t="shared" si="2"/>
        <v>240500</v>
      </c>
      <c r="Y13" s="267">
        <f t="shared" si="2"/>
        <v>226333.33333333334</v>
      </c>
      <c r="Z13" s="267">
        <f t="shared" si="2"/>
        <v>216500</v>
      </c>
      <c r="AA13" s="267">
        <f t="shared" si="2"/>
        <v>210000</v>
      </c>
      <c r="AB13" s="267">
        <f t="shared" si="2"/>
        <v>197333.33333333334</v>
      </c>
      <c r="AC13" s="267">
        <f t="shared" si="2"/>
        <v>189000</v>
      </c>
      <c r="AD13" s="267">
        <f t="shared" si="2"/>
        <v>178666.66666666666</v>
      </c>
      <c r="AE13" s="267">
        <f t="shared" si="2"/>
        <v>171500</v>
      </c>
      <c r="AG13" s="272"/>
      <c r="AI13" s="266">
        <v>12</v>
      </c>
      <c r="AJ13" s="267">
        <f t="shared" si="3"/>
        <v>484000</v>
      </c>
      <c r="AK13" s="267">
        <f t="shared" si="3"/>
        <v>420000</v>
      </c>
      <c r="AL13" s="267">
        <f t="shared" si="3"/>
        <v>378000</v>
      </c>
      <c r="AM13" s="267">
        <f t="shared" si="3"/>
        <v>365539.45249597426</v>
      </c>
      <c r="AN13" s="267">
        <f t="shared" si="3"/>
        <v>340000</v>
      </c>
      <c r="AO13" s="267">
        <f t="shared" si="3"/>
        <v>306500</v>
      </c>
      <c r="AP13" s="267">
        <f t="shared" si="3"/>
        <v>289333.33333333331</v>
      </c>
      <c r="AQ13" s="267">
        <f t="shared" si="3"/>
        <v>277500</v>
      </c>
      <c r="AR13" s="267">
        <f t="shared" si="3"/>
        <v>270000</v>
      </c>
      <c r="AS13" s="267">
        <f t="shared" si="3"/>
        <v>254666.66666666666</v>
      </c>
      <c r="AT13" s="267">
        <f t="shared" si="3"/>
        <v>244000</v>
      </c>
      <c r="AU13" s="267">
        <f t="shared" si="3"/>
        <v>231333.33333333334</v>
      </c>
      <c r="AV13" s="267">
        <f t="shared" si="3"/>
        <v>222500</v>
      </c>
      <c r="AX13" s="272"/>
    </row>
    <row r="14" spans="1:50" x14ac:dyDescent="0.4">
      <c r="A14" s="266">
        <v>16</v>
      </c>
      <c r="B14" s="267">
        <f t="shared" si="1"/>
        <v>1170000</v>
      </c>
      <c r="C14" s="267">
        <f t="shared" si="1"/>
        <v>1128000</v>
      </c>
      <c r="D14" s="267">
        <f t="shared" si="1"/>
        <v>1116000</v>
      </c>
      <c r="E14" s="267">
        <f t="shared" si="1"/>
        <v>1114331.7230273751</v>
      </c>
      <c r="F14" s="267">
        <f t="shared" si="1"/>
        <v>1110000</v>
      </c>
      <c r="G14" s="267">
        <f t="shared" si="1"/>
        <v>1105000</v>
      </c>
      <c r="H14" s="267">
        <f t="shared" si="1"/>
        <v>1106666.6666666667</v>
      </c>
      <c r="I14" s="267">
        <f t="shared" si="1"/>
        <v>1105000</v>
      </c>
      <c r="J14" s="267">
        <f t="shared" si="1"/>
        <v>1104000</v>
      </c>
      <c r="K14" s="267">
        <f t="shared" si="1"/>
        <v>1104000</v>
      </c>
      <c r="L14" s="267">
        <f t="shared" si="1"/>
        <v>1100000</v>
      </c>
      <c r="M14" s="267">
        <f t="shared" si="1"/>
        <v>1106666.6666666667</v>
      </c>
      <c r="N14" s="267">
        <f t="shared" si="1"/>
        <v>1105000</v>
      </c>
      <c r="P14" s="272"/>
      <c r="R14" s="266">
        <v>16</v>
      </c>
      <c r="S14" s="267">
        <f t="shared" si="2"/>
        <v>530000</v>
      </c>
      <c r="T14" s="267">
        <f t="shared" si="2"/>
        <v>456000</v>
      </c>
      <c r="U14" s="267">
        <f t="shared" si="2"/>
        <v>406000</v>
      </c>
      <c r="V14" s="267">
        <f t="shared" si="2"/>
        <v>392914.653784219</v>
      </c>
      <c r="W14" s="267">
        <f t="shared" si="2"/>
        <v>364000</v>
      </c>
      <c r="X14" s="267">
        <f t="shared" si="2"/>
        <v>326500</v>
      </c>
      <c r="Y14" s="267">
        <f t="shared" si="2"/>
        <v>306666.66666666669</v>
      </c>
      <c r="Z14" s="267">
        <f t="shared" si="2"/>
        <v>292500</v>
      </c>
      <c r="AA14" s="267">
        <f t="shared" si="2"/>
        <v>284000</v>
      </c>
      <c r="AB14" s="267">
        <f t="shared" si="2"/>
        <v>266666.66666666669</v>
      </c>
      <c r="AC14" s="267">
        <f t="shared" si="2"/>
        <v>256000</v>
      </c>
      <c r="AD14" s="267">
        <f t="shared" si="2"/>
        <v>241333.33333333334</v>
      </c>
      <c r="AE14" s="267">
        <f t="shared" si="2"/>
        <v>231500</v>
      </c>
      <c r="AG14" s="272"/>
      <c r="AI14" s="266">
        <v>16</v>
      </c>
      <c r="AJ14" s="267">
        <f t="shared" si="3"/>
        <v>655000</v>
      </c>
      <c r="AK14" s="267">
        <f t="shared" si="3"/>
        <v>568000</v>
      </c>
      <c r="AL14" s="267">
        <f t="shared" si="3"/>
        <v>512000</v>
      </c>
      <c r="AM14" s="267">
        <f t="shared" si="3"/>
        <v>494363.92914653785</v>
      </c>
      <c r="AN14" s="267">
        <f t="shared" si="3"/>
        <v>461000</v>
      </c>
      <c r="AO14" s="267">
        <f t="shared" si="3"/>
        <v>416500</v>
      </c>
      <c r="AP14" s="267">
        <f t="shared" si="3"/>
        <v>393333.33333333331</v>
      </c>
      <c r="AQ14" s="267">
        <f t="shared" si="3"/>
        <v>377500</v>
      </c>
      <c r="AR14" s="267">
        <f t="shared" si="3"/>
        <v>366000</v>
      </c>
      <c r="AS14" s="267">
        <f t="shared" si="3"/>
        <v>345333.33333333331</v>
      </c>
      <c r="AT14" s="267">
        <f t="shared" si="3"/>
        <v>332000</v>
      </c>
      <c r="AU14" s="267">
        <f t="shared" si="3"/>
        <v>314000</v>
      </c>
      <c r="AV14" s="267">
        <f t="shared" si="3"/>
        <v>302000</v>
      </c>
      <c r="AX14" s="272"/>
    </row>
    <row r="15" spans="1:50" x14ac:dyDescent="0.4">
      <c r="A15" s="266">
        <v>20</v>
      </c>
      <c r="B15" s="267">
        <f t="shared" si="1"/>
        <v>1440000</v>
      </c>
      <c r="C15" s="267">
        <f t="shared" si="1"/>
        <v>1404000</v>
      </c>
      <c r="D15" s="267">
        <f t="shared" si="1"/>
        <v>1390000</v>
      </c>
      <c r="E15" s="267">
        <f t="shared" si="1"/>
        <v>1386473.4299516908</v>
      </c>
      <c r="F15" s="267">
        <f t="shared" si="1"/>
        <v>1380000</v>
      </c>
      <c r="G15" s="267">
        <f t="shared" si="1"/>
        <v>1380000</v>
      </c>
      <c r="H15" s="267">
        <f t="shared" si="1"/>
        <v>1380000</v>
      </c>
      <c r="I15" s="267">
        <f t="shared" si="1"/>
        <v>1377500</v>
      </c>
      <c r="J15" s="267">
        <f t="shared" si="1"/>
        <v>1378000</v>
      </c>
      <c r="K15" s="267">
        <f t="shared" si="1"/>
        <v>1373333.3333333333</v>
      </c>
      <c r="L15" s="267">
        <f t="shared" si="1"/>
        <v>1380000</v>
      </c>
      <c r="M15" s="267">
        <f t="shared" si="1"/>
        <v>1380000</v>
      </c>
      <c r="N15" s="267">
        <f t="shared" si="1"/>
        <v>1375000</v>
      </c>
      <c r="P15" s="272"/>
      <c r="R15" s="266">
        <v>20</v>
      </c>
      <c r="S15" s="267">
        <f t="shared" si="2"/>
        <v>676000</v>
      </c>
      <c r="T15" s="267">
        <f t="shared" si="2"/>
        <v>580000</v>
      </c>
      <c r="U15" s="267">
        <f t="shared" si="2"/>
        <v>518000</v>
      </c>
      <c r="V15" s="267">
        <f t="shared" si="2"/>
        <v>500805.15297906601</v>
      </c>
      <c r="W15" s="267">
        <f t="shared" si="2"/>
        <v>464000</v>
      </c>
      <c r="X15" s="267">
        <f t="shared" si="2"/>
        <v>416500</v>
      </c>
      <c r="Y15" s="267">
        <f t="shared" si="2"/>
        <v>390000</v>
      </c>
      <c r="Z15" s="267">
        <f t="shared" si="2"/>
        <v>375000</v>
      </c>
      <c r="AA15" s="267">
        <f t="shared" si="2"/>
        <v>362000</v>
      </c>
      <c r="AB15" s="267">
        <f t="shared" si="2"/>
        <v>340000</v>
      </c>
      <c r="AC15" s="267">
        <f t="shared" si="2"/>
        <v>326000</v>
      </c>
      <c r="AD15" s="267">
        <f t="shared" si="2"/>
        <v>307333.33333333331</v>
      </c>
      <c r="AE15" s="267">
        <f t="shared" si="2"/>
        <v>295000</v>
      </c>
      <c r="AG15" s="272"/>
      <c r="AI15" s="266">
        <v>20</v>
      </c>
      <c r="AJ15" s="267">
        <f t="shared" si="3"/>
        <v>832000</v>
      </c>
      <c r="AK15" s="267">
        <f t="shared" si="3"/>
        <v>724000</v>
      </c>
      <c r="AL15" s="267">
        <f t="shared" si="3"/>
        <v>652000</v>
      </c>
      <c r="AM15" s="267">
        <f t="shared" si="3"/>
        <v>631239.93558776169</v>
      </c>
      <c r="AN15" s="267">
        <f t="shared" si="3"/>
        <v>588000</v>
      </c>
      <c r="AO15" s="267">
        <f t="shared" si="3"/>
        <v>530000</v>
      </c>
      <c r="AP15" s="267">
        <f t="shared" si="3"/>
        <v>500000</v>
      </c>
      <c r="AQ15" s="267">
        <f t="shared" si="3"/>
        <v>482500</v>
      </c>
      <c r="AR15" s="267">
        <f t="shared" si="3"/>
        <v>466000</v>
      </c>
      <c r="AS15" s="267">
        <f t="shared" si="3"/>
        <v>441333.33333333331</v>
      </c>
      <c r="AT15" s="267">
        <f t="shared" si="3"/>
        <v>424000</v>
      </c>
      <c r="AU15" s="267">
        <f t="shared" si="3"/>
        <v>401333.33333333331</v>
      </c>
      <c r="AV15" s="267">
        <f t="shared" si="3"/>
        <v>386000</v>
      </c>
      <c r="AX15" s="272"/>
    </row>
    <row r="16" spans="1:50" x14ac:dyDescent="0.4">
      <c r="A16" s="266">
        <v>24</v>
      </c>
      <c r="B16" s="267">
        <f t="shared" si="1"/>
        <v>1760000</v>
      </c>
      <c r="C16" s="267">
        <f t="shared" si="1"/>
        <v>1720000</v>
      </c>
      <c r="D16" s="267">
        <f t="shared" si="1"/>
        <v>1706000</v>
      </c>
      <c r="E16" s="267">
        <f t="shared" si="1"/>
        <v>1706924.3156199676</v>
      </c>
      <c r="F16" s="267">
        <f t="shared" si="1"/>
        <v>1700000</v>
      </c>
      <c r="G16" s="267">
        <f t="shared" si="1"/>
        <v>1695000</v>
      </c>
      <c r="H16" s="267">
        <f t="shared" si="1"/>
        <v>1693333.3333333333</v>
      </c>
      <c r="I16" s="267">
        <f t="shared" si="1"/>
        <v>1695000</v>
      </c>
      <c r="J16" s="267">
        <f t="shared" si="1"/>
        <v>1694000</v>
      </c>
      <c r="K16" s="267">
        <f t="shared" si="1"/>
        <v>1693333.3333333333</v>
      </c>
      <c r="L16" s="267">
        <f t="shared" si="1"/>
        <v>1690000</v>
      </c>
      <c r="M16" s="267">
        <f t="shared" si="1"/>
        <v>1693333.3333333333</v>
      </c>
      <c r="N16" s="267">
        <f t="shared" si="1"/>
        <v>1695000</v>
      </c>
      <c r="P16" s="272"/>
      <c r="R16" s="266">
        <v>24</v>
      </c>
      <c r="S16" s="267">
        <f t="shared" si="2"/>
        <v>827000</v>
      </c>
      <c r="T16" s="267">
        <f t="shared" si="2"/>
        <v>712000</v>
      </c>
      <c r="U16" s="267">
        <f t="shared" si="2"/>
        <v>636000</v>
      </c>
      <c r="V16" s="267">
        <f t="shared" si="2"/>
        <v>613526.57004830916</v>
      </c>
      <c r="W16" s="267">
        <f t="shared" si="2"/>
        <v>569000</v>
      </c>
      <c r="X16" s="267">
        <f t="shared" si="2"/>
        <v>510000</v>
      </c>
      <c r="Y16" s="267">
        <f t="shared" si="2"/>
        <v>480000</v>
      </c>
      <c r="Z16" s="267">
        <f t="shared" si="2"/>
        <v>457500</v>
      </c>
      <c r="AA16" s="267">
        <f t="shared" si="2"/>
        <v>444000</v>
      </c>
      <c r="AB16" s="267">
        <f t="shared" si="2"/>
        <v>417333.33333333331</v>
      </c>
      <c r="AC16" s="267">
        <f t="shared" si="2"/>
        <v>399000</v>
      </c>
      <c r="AD16" s="267">
        <f t="shared" si="2"/>
        <v>376000</v>
      </c>
      <c r="AE16" s="267">
        <f t="shared" si="2"/>
        <v>360500</v>
      </c>
      <c r="AG16" s="272"/>
      <c r="AI16" s="266">
        <v>24</v>
      </c>
      <c r="AJ16" s="267">
        <f t="shared" si="3"/>
        <v>1020000</v>
      </c>
      <c r="AK16" s="267">
        <f t="shared" si="3"/>
        <v>884000</v>
      </c>
      <c r="AL16" s="267">
        <f t="shared" si="3"/>
        <v>798000</v>
      </c>
      <c r="AM16" s="267">
        <f t="shared" si="3"/>
        <v>772946.85990338167</v>
      </c>
      <c r="AN16" s="267">
        <f t="shared" si="3"/>
        <v>721000</v>
      </c>
      <c r="AO16" s="267">
        <f t="shared" si="3"/>
        <v>650000</v>
      </c>
      <c r="AP16" s="267">
        <f t="shared" si="3"/>
        <v>616666.66666666663</v>
      </c>
      <c r="AQ16" s="267">
        <f t="shared" si="3"/>
        <v>590000</v>
      </c>
      <c r="AR16" s="267">
        <f t="shared" si="3"/>
        <v>574000</v>
      </c>
      <c r="AS16" s="267">
        <f t="shared" si="3"/>
        <v>541333.33333333337</v>
      </c>
      <c r="AT16" s="267">
        <f t="shared" si="3"/>
        <v>521000</v>
      </c>
      <c r="AU16" s="267">
        <f t="shared" si="3"/>
        <v>493333.33333333331</v>
      </c>
      <c r="AV16" s="267">
        <f t="shared" si="3"/>
        <v>474500</v>
      </c>
      <c r="AX16" s="272"/>
    </row>
    <row r="17" spans="1:50" x14ac:dyDescent="0.4">
      <c r="A17" s="266">
        <v>30</v>
      </c>
      <c r="B17" s="267">
        <f t="shared" si="1"/>
        <v>2310000</v>
      </c>
      <c r="C17" s="267">
        <f t="shared" si="1"/>
        <v>2272000</v>
      </c>
      <c r="D17" s="267">
        <f t="shared" si="1"/>
        <v>2260000</v>
      </c>
      <c r="E17" s="267">
        <f t="shared" si="1"/>
        <v>2254428.341384863</v>
      </c>
      <c r="F17" s="267">
        <f t="shared" si="1"/>
        <v>2250000</v>
      </c>
      <c r="G17" s="267">
        <f t="shared" si="1"/>
        <v>2250000</v>
      </c>
      <c r="H17" s="267">
        <f t="shared" si="1"/>
        <v>2250000</v>
      </c>
      <c r="I17" s="267">
        <f t="shared" si="1"/>
        <v>2250000</v>
      </c>
      <c r="J17" s="267">
        <f t="shared" si="1"/>
        <v>2240000</v>
      </c>
      <c r="K17" s="267">
        <f t="shared" si="1"/>
        <v>2253333.3333333335</v>
      </c>
      <c r="L17" s="267">
        <f t="shared" si="1"/>
        <v>2250000</v>
      </c>
      <c r="M17" s="267">
        <f t="shared" si="1"/>
        <v>2246666.6666666665</v>
      </c>
      <c r="N17" s="267">
        <f t="shared" si="1"/>
        <v>2250000</v>
      </c>
      <c r="P17" s="272"/>
      <c r="R17" s="266">
        <v>30</v>
      </c>
      <c r="S17" s="267">
        <f t="shared" si="2"/>
        <v>1060000</v>
      </c>
      <c r="T17" s="267">
        <f t="shared" si="2"/>
        <v>916000</v>
      </c>
      <c r="U17" s="267">
        <f t="shared" si="2"/>
        <v>818000</v>
      </c>
      <c r="V17" s="267">
        <f t="shared" si="2"/>
        <v>790660.22544283408</v>
      </c>
      <c r="W17" s="267">
        <f t="shared" si="2"/>
        <v>732000</v>
      </c>
      <c r="X17" s="267">
        <f t="shared" si="2"/>
        <v>655000</v>
      </c>
      <c r="Y17" s="267">
        <f t="shared" si="2"/>
        <v>616666.66666666663</v>
      </c>
      <c r="Z17" s="267">
        <f t="shared" si="2"/>
        <v>590000</v>
      </c>
      <c r="AA17" s="267">
        <f t="shared" si="2"/>
        <v>570000</v>
      </c>
      <c r="AB17" s="267">
        <f t="shared" si="2"/>
        <v>537333.33333333337</v>
      </c>
      <c r="AC17" s="267">
        <f t="shared" si="2"/>
        <v>514000</v>
      </c>
      <c r="AD17" s="267">
        <f t="shared" si="2"/>
        <v>484000</v>
      </c>
      <c r="AE17" s="267">
        <f t="shared" si="2"/>
        <v>464500</v>
      </c>
      <c r="AG17" s="272"/>
      <c r="AI17" s="266">
        <v>30</v>
      </c>
      <c r="AJ17" s="267">
        <f t="shared" si="3"/>
        <v>1310000</v>
      </c>
      <c r="AK17" s="267">
        <f t="shared" si="3"/>
        <v>1140000</v>
      </c>
      <c r="AL17" s="267">
        <f t="shared" si="3"/>
        <v>1028000</v>
      </c>
      <c r="AM17" s="267">
        <f t="shared" si="3"/>
        <v>996779.38808373583</v>
      </c>
      <c r="AN17" s="267">
        <f t="shared" si="3"/>
        <v>930000</v>
      </c>
      <c r="AO17" s="267">
        <f t="shared" si="3"/>
        <v>845000</v>
      </c>
      <c r="AP17" s="267">
        <f t="shared" si="3"/>
        <v>796666.66666666663</v>
      </c>
      <c r="AQ17" s="267">
        <f t="shared" si="3"/>
        <v>765000</v>
      </c>
      <c r="AR17" s="267">
        <f t="shared" si="3"/>
        <v>742000</v>
      </c>
      <c r="AS17" s="267">
        <f t="shared" si="3"/>
        <v>701333.33333333337</v>
      </c>
      <c r="AT17" s="267">
        <f t="shared" si="3"/>
        <v>675000</v>
      </c>
      <c r="AU17" s="267">
        <f t="shared" si="3"/>
        <v>639333.33333333337</v>
      </c>
      <c r="AV17" s="267">
        <f t="shared" si="3"/>
        <v>615000</v>
      </c>
      <c r="AX17" s="272"/>
    </row>
    <row r="18" spans="1:50" x14ac:dyDescent="0.4">
      <c r="A18" s="266">
        <v>36</v>
      </c>
      <c r="B18" s="267">
        <f t="shared" si="1"/>
        <v>2970000</v>
      </c>
      <c r="C18" s="267">
        <f t="shared" si="1"/>
        <v>2928000</v>
      </c>
      <c r="D18" s="267">
        <f t="shared" si="1"/>
        <v>2920000</v>
      </c>
      <c r="E18" s="267">
        <f t="shared" si="1"/>
        <v>2914653.7842190014</v>
      </c>
      <c r="F18" s="267">
        <f t="shared" si="1"/>
        <v>2910000</v>
      </c>
      <c r="G18" s="267">
        <f t="shared" si="1"/>
        <v>2905000</v>
      </c>
      <c r="H18" s="267">
        <f t="shared" si="1"/>
        <v>2903333.3333333335</v>
      </c>
      <c r="I18" s="267">
        <f t="shared" si="1"/>
        <v>2900000</v>
      </c>
      <c r="J18" s="267">
        <f t="shared" si="1"/>
        <v>2900000</v>
      </c>
      <c r="K18" s="267">
        <f t="shared" si="1"/>
        <v>2906666.6666666665</v>
      </c>
      <c r="L18" s="267">
        <f t="shared" si="1"/>
        <v>2900000</v>
      </c>
      <c r="M18" s="267">
        <f t="shared" si="1"/>
        <v>2900000</v>
      </c>
      <c r="N18" s="267">
        <f t="shared" si="1"/>
        <v>2900000</v>
      </c>
      <c r="P18" s="272"/>
      <c r="R18" s="266">
        <v>36</v>
      </c>
      <c r="S18" s="267">
        <f t="shared" si="2"/>
        <v>1310000</v>
      </c>
      <c r="T18" s="267">
        <f t="shared" si="2"/>
        <v>1128000</v>
      </c>
      <c r="U18" s="267">
        <f t="shared" si="2"/>
        <v>1010000</v>
      </c>
      <c r="V18" s="267">
        <f t="shared" si="2"/>
        <v>974235.10466988722</v>
      </c>
      <c r="W18" s="267">
        <f t="shared" si="2"/>
        <v>904000</v>
      </c>
      <c r="X18" s="267">
        <f t="shared" si="2"/>
        <v>810000</v>
      </c>
      <c r="Y18" s="267">
        <f t="shared" si="2"/>
        <v>763333.33333333337</v>
      </c>
      <c r="Z18" s="267">
        <f t="shared" si="2"/>
        <v>730000</v>
      </c>
      <c r="AA18" s="267">
        <f t="shared" si="2"/>
        <v>706000</v>
      </c>
      <c r="AB18" s="267">
        <f t="shared" si="2"/>
        <v>662666.66666666663</v>
      </c>
      <c r="AC18" s="267">
        <f t="shared" si="2"/>
        <v>635000</v>
      </c>
      <c r="AD18" s="267">
        <f t="shared" si="2"/>
        <v>598000</v>
      </c>
      <c r="AE18" s="267">
        <f t="shared" si="2"/>
        <v>575000</v>
      </c>
      <c r="AG18" s="272"/>
      <c r="AI18" s="266">
        <v>36</v>
      </c>
      <c r="AJ18" s="267">
        <f t="shared" si="3"/>
        <v>1610000</v>
      </c>
      <c r="AK18" s="267">
        <f t="shared" si="3"/>
        <v>1408000</v>
      </c>
      <c r="AL18" s="267">
        <f t="shared" si="3"/>
        <v>1272000</v>
      </c>
      <c r="AM18" s="267">
        <f t="shared" si="3"/>
        <v>1233494.3639291464</v>
      </c>
      <c r="AN18" s="267">
        <f t="shared" si="3"/>
        <v>1150000</v>
      </c>
      <c r="AO18" s="267">
        <f t="shared" si="3"/>
        <v>1045000</v>
      </c>
      <c r="AP18" s="267">
        <f t="shared" si="3"/>
        <v>986666.66666666663</v>
      </c>
      <c r="AQ18" s="267">
        <f t="shared" si="3"/>
        <v>950000</v>
      </c>
      <c r="AR18" s="267">
        <f t="shared" si="3"/>
        <v>920000</v>
      </c>
      <c r="AS18" s="267">
        <f t="shared" si="3"/>
        <v>870666.66666666663</v>
      </c>
      <c r="AT18" s="267">
        <f t="shared" si="3"/>
        <v>838000</v>
      </c>
      <c r="AU18" s="267">
        <f t="shared" si="3"/>
        <v>793333.33333333337</v>
      </c>
      <c r="AV18" s="267">
        <f t="shared" si="3"/>
        <v>765000</v>
      </c>
      <c r="AX18" s="272"/>
    </row>
    <row r="19" spans="1:50" x14ac:dyDescent="0.4">
      <c r="A19" s="266">
        <v>42</v>
      </c>
      <c r="B19" s="267">
        <f t="shared" si="1"/>
        <v>3720000</v>
      </c>
      <c r="C19" s="267">
        <f t="shared" si="1"/>
        <v>3676000</v>
      </c>
      <c r="D19" s="267">
        <f t="shared" si="1"/>
        <v>3660000</v>
      </c>
      <c r="E19" s="267">
        <f t="shared" si="1"/>
        <v>3655394.5249597421</v>
      </c>
      <c r="F19" s="267">
        <f t="shared" si="1"/>
        <v>3660000</v>
      </c>
      <c r="G19" s="267">
        <f t="shared" si="1"/>
        <v>3655000</v>
      </c>
      <c r="H19" s="267">
        <f t="shared" si="1"/>
        <v>3666666.6666666665</v>
      </c>
      <c r="I19" s="267">
        <f t="shared" si="1"/>
        <v>3650000</v>
      </c>
      <c r="J19" s="267">
        <f t="shared" si="1"/>
        <v>3660000</v>
      </c>
      <c r="K19" s="267">
        <f t="shared" si="1"/>
        <v>3653333.3333333335</v>
      </c>
      <c r="L19" s="267">
        <f t="shared" si="1"/>
        <v>3650000</v>
      </c>
      <c r="M19" s="267">
        <f t="shared" si="1"/>
        <v>3653333.3333333335</v>
      </c>
      <c r="N19" s="267">
        <f t="shared" si="1"/>
        <v>3650000</v>
      </c>
      <c r="P19" s="272"/>
      <c r="R19" s="266">
        <v>42</v>
      </c>
      <c r="S19" s="267">
        <f t="shared" si="2"/>
        <v>1570000</v>
      </c>
      <c r="T19" s="267">
        <f t="shared" si="2"/>
        <v>1352000</v>
      </c>
      <c r="U19" s="267">
        <f t="shared" si="2"/>
        <v>1208000</v>
      </c>
      <c r="V19" s="267">
        <f t="shared" si="2"/>
        <v>1167471.8196457326</v>
      </c>
      <c r="W19" s="267">
        <f t="shared" si="2"/>
        <v>1080000</v>
      </c>
      <c r="X19" s="267">
        <f t="shared" si="2"/>
        <v>975000</v>
      </c>
      <c r="Y19" s="267">
        <f t="shared" si="2"/>
        <v>913333.33333333337</v>
      </c>
      <c r="Z19" s="267">
        <f t="shared" si="2"/>
        <v>875000</v>
      </c>
      <c r="AA19" s="267">
        <f t="shared" si="2"/>
        <v>846000</v>
      </c>
      <c r="AB19" s="267">
        <f t="shared" si="2"/>
        <v>794666.66666666663</v>
      </c>
      <c r="AC19" s="267">
        <f t="shared" si="2"/>
        <v>762000</v>
      </c>
      <c r="AD19" s="267">
        <f t="shared" si="2"/>
        <v>720000</v>
      </c>
      <c r="AE19" s="267">
        <f t="shared" si="2"/>
        <v>690000</v>
      </c>
      <c r="AG19" s="272"/>
      <c r="AI19" s="266">
        <v>42</v>
      </c>
      <c r="AJ19" s="267">
        <f t="shared" si="3"/>
        <v>1930000</v>
      </c>
      <c r="AK19" s="267">
        <f t="shared" si="3"/>
        <v>1688000</v>
      </c>
      <c r="AL19" s="267">
        <f t="shared" si="3"/>
        <v>1528000</v>
      </c>
      <c r="AM19" s="267">
        <f t="shared" si="3"/>
        <v>1481481.4814814813</v>
      </c>
      <c r="AN19" s="267">
        <f t="shared" si="3"/>
        <v>1380000</v>
      </c>
      <c r="AO19" s="267">
        <f t="shared" si="3"/>
        <v>1255000</v>
      </c>
      <c r="AP19" s="267">
        <f t="shared" si="3"/>
        <v>1190000</v>
      </c>
      <c r="AQ19" s="267">
        <f t="shared" si="3"/>
        <v>1142500</v>
      </c>
      <c r="AR19" s="267">
        <f t="shared" si="3"/>
        <v>1110000</v>
      </c>
      <c r="AS19" s="267">
        <f t="shared" si="3"/>
        <v>1050666.6666666667</v>
      </c>
      <c r="AT19" s="267">
        <f t="shared" si="3"/>
        <v>1010000</v>
      </c>
      <c r="AU19" s="267">
        <f t="shared" si="3"/>
        <v>960000</v>
      </c>
      <c r="AV19" s="267">
        <f t="shared" si="3"/>
        <v>925000</v>
      </c>
      <c r="AX19" s="272"/>
    </row>
    <row r="20" spans="1:50" x14ac:dyDescent="0.4">
      <c r="A20" s="268">
        <v>48</v>
      </c>
      <c r="B20" s="269">
        <f t="shared" si="1"/>
        <v>4560000</v>
      </c>
      <c r="C20" s="269">
        <f t="shared" si="1"/>
        <v>4520000</v>
      </c>
      <c r="D20" s="269">
        <f t="shared" si="1"/>
        <v>4520000</v>
      </c>
      <c r="E20" s="269">
        <f t="shared" si="1"/>
        <v>4508856.682769726</v>
      </c>
      <c r="F20" s="269">
        <f t="shared" si="1"/>
        <v>4510000</v>
      </c>
      <c r="G20" s="269">
        <f t="shared" si="1"/>
        <v>4505000</v>
      </c>
      <c r="H20" s="269">
        <f t="shared" si="1"/>
        <v>4500000</v>
      </c>
      <c r="I20" s="269">
        <f t="shared" si="1"/>
        <v>4500000</v>
      </c>
      <c r="J20" s="269">
        <f t="shared" si="1"/>
        <v>4500000</v>
      </c>
      <c r="K20" s="269">
        <f t="shared" si="1"/>
        <v>4506666.666666667</v>
      </c>
      <c r="L20" s="269">
        <f t="shared" si="1"/>
        <v>4500000</v>
      </c>
      <c r="M20" s="269">
        <f t="shared" si="1"/>
        <v>4500000</v>
      </c>
      <c r="N20" s="269">
        <f t="shared" si="1"/>
        <v>4500000</v>
      </c>
      <c r="P20" s="272"/>
      <c r="R20" s="268">
        <v>48</v>
      </c>
      <c r="S20" s="269">
        <f t="shared" si="2"/>
        <v>1830000</v>
      </c>
      <c r="T20" s="269">
        <f t="shared" si="2"/>
        <v>1580000</v>
      </c>
      <c r="U20" s="269">
        <f t="shared" si="2"/>
        <v>1416000</v>
      </c>
      <c r="V20" s="269">
        <f t="shared" si="2"/>
        <v>1367149.7584541063</v>
      </c>
      <c r="W20" s="269">
        <f t="shared" si="2"/>
        <v>1270000</v>
      </c>
      <c r="X20" s="269">
        <f t="shared" si="2"/>
        <v>1140000</v>
      </c>
      <c r="Y20" s="269">
        <f t="shared" si="2"/>
        <v>1070000</v>
      </c>
      <c r="Z20" s="269">
        <f t="shared" si="2"/>
        <v>1025000</v>
      </c>
      <c r="AA20" s="269">
        <f t="shared" si="2"/>
        <v>992000</v>
      </c>
      <c r="AB20" s="269">
        <f t="shared" si="2"/>
        <v>933333.33333333337</v>
      </c>
      <c r="AC20" s="269">
        <f t="shared" si="2"/>
        <v>893000</v>
      </c>
      <c r="AD20" s="269">
        <f t="shared" si="2"/>
        <v>840000</v>
      </c>
      <c r="AE20" s="269">
        <f t="shared" si="2"/>
        <v>805000</v>
      </c>
      <c r="AG20" s="272"/>
      <c r="AI20" s="268">
        <v>48</v>
      </c>
      <c r="AJ20" s="269">
        <f t="shared" si="3"/>
        <v>2260000</v>
      </c>
      <c r="AK20" s="269">
        <f t="shared" si="3"/>
        <v>1980000</v>
      </c>
      <c r="AL20" s="269">
        <f t="shared" si="3"/>
        <v>1794000</v>
      </c>
      <c r="AM20" s="269">
        <f t="shared" si="3"/>
        <v>1739130.4347826086</v>
      </c>
      <c r="AN20" s="269">
        <f t="shared" si="3"/>
        <v>1630000</v>
      </c>
      <c r="AO20" s="269">
        <f t="shared" si="3"/>
        <v>1480000</v>
      </c>
      <c r="AP20" s="269">
        <f t="shared" si="3"/>
        <v>1400000</v>
      </c>
      <c r="AQ20" s="269">
        <f t="shared" si="3"/>
        <v>1347500</v>
      </c>
      <c r="AR20" s="269">
        <f t="shared" si="3"/>
        <v>1306000</v>
      </c>
      <c r="AS20" s="269">
        <f t="shared" si="3"/>
        <v>1238666.6666666667</v>
      </c>
      <c r="AT20" s="269">
        <f t="shared" si="3"/>
        <v>1190000</v>
      </c>
      <c r="AU20" s="269">
        <f t="shared" si="3"/>
        <v>1133333.3333333333</v>
      </c>
      <c r="AV20" s="269">
        <f t="shared" si="3"/>
        <v>1090000</v>
      </c>
      <c r="AX20" s="272"/>
    </row>
    <row r="22" spans="1:50" x14ac:dyDescent="0.4">
      <c r="A22" s="258" t="s">
        <v>466</v>
      </c>
      <c r="R22" s="258" t="s">
        <v>467</v>
      </c>
      <c r="AI22" s="258" t="s">
        <v>468</v>
      </c>
    </row>
    <row r="23" spans="1:50" x14ac:dyDescent="0.4">
      <c r="A23" s="270" t="s">
        <v>335</v>
      </c>
      <c r="B23" s="271" t="s">
        <v>336</v>
      </c>
      <c r="R23" s="270" t="s">
        <v>335</v>
      </c>
      <c r="S23" s="271" t="s">
        <v>336</v>
      </c>
      <c r="AI23" s="270" t="s">
        <v>335</v>
      </c>
      <c r="AJ23" s="271" t="s">
        <v>336</v>
      </c>
    </row>
    <row r="24" spans="1:50" x14ac:dyDescent="0.4">
      <c r="A24" s="259" t="s">
        <v>337</v>
      </c>
      <c r="B24" s="260" t="s">
        <v>338</v>
      </c>
      <c r="C24" s="261"/>
      <c r="D24" s="261"/>
      <c r="E24" s="261"/>
      <c r="F24" s="261"/>
      <c r="G24" s="261"/>
      <c r="H24" s="261"/>
      <c r="I24" s="261"/>
      <c r="J24" s="261"/>
      <c r="K24" s="261"/>
      <c r="L24" s="261"/>
      <c r="M24" s="261"/>
      <c r="N24" s="262"/>
      <c r="R24" s="259" t="s">
        <v>337</v>
      </c>
      <c r="S24" s="260" t="s">
        <v>338</v>
      </c>
      <c r="T24" s="261"/>
      <c r="U24" s="261"/>
      <c r="V24" s="261"/>
      <c r="W24" s="261"/>
      <c r="X24" s="261"/>
      <c r="Y24" s="261"/>
      <c r="Z24" s="261"/>
      <c r="AA24" s="261"/>
      <c r="AB24" s="261"/>
      <c r="AC24" s="261"/>
      <c r="AD24" s="261"/>
      <c r="AE24" s="262"/>
      <c r="AI24" s="259" t="s">
        <v>337</v>
      </c>
      <c r="AJ24" s="260" t="s">
        <v>338</v>
      </c>
      <c r="AK24" s="261"/>
      <c r="AL24" s="261"/>
      <c r="AM24" s="261"/>
      <c r="AN24" s="261"/>
      <c r="AO24" s="261"/>
      <c r="AP24" s="261"/>
      <c r="AQ24" s="261"/>
      <c r="AR24" s="261"/>
      <c r="AS24" s="261"/>
      <c r="AT24" s="261"/>
      <c r="AU24" s="261"/>
      <c r="AV24" s="262"/>
    </row>
    <row r="25" spans="1:50" ht="15" thickBot="1" x14ac:dyDescent="0.45">
      <c r="A25" s="263"/>
      <c r="B25" s="263">
        <v>10</v>
      </c>
      <c r="C25" s="263">
        <v>25</v>
      </c>
      <c r="D25" s="263">
        <v>50</v>
      </c>
      <c r="E25" s="263">
        <v>62.1</v>
      </c>
      <c r="F25" s="263">
        <v>100</v>
      </c>
      <c r="G25" s="263">
        <v>200</v>
      </c>
      <c r="H25" s="263">
        <v>300</v>
      </c>
      <c r="I25" s="263">
        <v>400</v>
      </c>
      <c r="J25" s="263">
        <v>500</v>
      </c>
      <c r="K25" s="263">
        <v>750</v>
      </c>
      <c r="L25" s="263">
        <v>1000</v>
      </c>
      <c r="M25" s="263">
        <v>1500</v>
      </c>
      <c r="N25" s="263">
        <v>2000</v>
      </c>
      <c r="P25" s="28" t="s">
        <v>341</v>
      </c>
      <c r="R25" s="263"/>
      <c r="S25" s="263">
        <v>10</v>
      </c>
      <c r="T25" s="263">
        <v>25</v>
      </c>
      <c r="U25" s="263">
        <v>50</v>
      </c>
      <c r="V25" s="263">
        <v>62.1</v>
      </c>
      <c r="W25" s="263">
        <v>100</v>
      </c>
      <c r="X25" s="263">
        <v>200</v>
      </c>
      <c r="Y25" s="263">
        <v>300</v>
      </c>
      <c r="Z25" s="263">
        <v>400</v>
      </c>
      <c r="AA25" s="263">
        <v>500</v>
      </c>
      <c r="AB25" s="263">
        <v>750</v>
      </c>
      <c r="AC25" s="263">
        <v>1000</v>
      </c>
      <c r="AD25" s="263">
        <v>1500</v>
      </c>
      <c r="AE25" s="263">
        <v>2000</v>
      </c>
      <c r="AG25" s="28" t="s">
        <v>341</v>
      </c>
      <c r="AI25" s="263"/>
      <c r="AJ25" s="263">
        <v>10</v>
      </c>
      <c r="AK25" s="263">
        <v>25</v>
      </c>
      <c r="AL25" s="263">
        <v>50</v>
      </c>
      <c r="AM25" s="263">
        <v>62.1</v>
      </c>
      <c r="AN25" s="263">
        <v>100</v>
      </c>
      <c r="AO25" s="263">
        <v>200</v>
      </c>
      <c r="AP25" s="263">
        <v>300</v>
      </c>
      <c r="AQ25" s="263">
        <v>400</v>
      </c>
      <c r="AR25" s="263">
        <v>500</v>
      </c>
      <c r="AS25" s="263">
        <v>750</v>
      </c>
      <c r="AT25" s="263">
        <v>1000</v>
      </c>
      <c r="AU25" s="263">
        <v>1500</v>
      </c>
      <c r="AV25" s="263">
        <v>2000</v>
      </c>
      <c r="AX25" s="28" t="s">
        <v>341</v>
      </c>
    </row>
    <row r="26" spans="1:50" x14ac:dyDescent="0.4">
      <c r="A26" s="264">
        <v>8</v>
      </c>
      <c r="B26" s="265">
        <f t="shared" ref="B26:N35" si="4">sigfig(CpParker($A26,B$25,$B$23,$B$5),$B$3)*0.001</f>
        <v>7520</v>
      </c>
      <c r="C26" s="265">
        <f t="shared" si="4"/>
        <v>17800</v>
      </c>
      <c r="D26" s="265">
        <f t="shared" si="4"/>
        <v>35000</v>
      </c>
      <c r="E26" s="265">
        <f t="shared" si="4"/>
        <v>43400</v>
      </c>
      <c r="F26" s="265">
        <f t="shared" si="4"/>
        <v>69400</v>
      </c>
      <c r="G26" s="265">
        <f t="shared" si="4"/>
        <v>138000</v>
      </c>
      <c r="H26" s="265">
        <f t="shared" si="4"/>
        <v>207000</v>
      </c>
      <c r="I26" s="265">
        <f t="shared" si="4"/>
        <v>276000</v>
      </c>
      <c r="J26" s="265">
        <f t="shared" si="4"/>
        <v>345000</v>
      </c>
      <c r="K26" s="265">
        <f t="shared" si="4"/>
        <v>517000</v>
      </c>
      <c r="L26" s="265">
        <f t="shared" si="4"/>
        <v>689000</v>
      </c>
      <c r="M26" s="265">
        <f t="shared" si="4"/>
        <v>1030000</v>
      </c>
      <c r="N26" s="265">
        <f t="shared" si="4"/>
        <v>1380000</v>
      </c>
      <c r="P26" s="272">
        <f>sigfig(N41+N56+N71+N86,$B$3)</f>
        <v>1380000</v>
      </c>
      <c r="R26" s="264">
        <v>8</v>
      </c>
      <c r="S26" s="265">
        <f t="shared" ref="S26:AE35" si="5">sigfig(CpRui($R26,S$25,$S$4,$S$23,$S$5),$S$3)*0.001</f>
        <v>2570</v>
      </c>
      <c r="T26" s="265">
        <f t="shared" si="5"/>
        <v>5520</v>
      </c>
      <c r="U26" s="265">
        <f t="shared" si="5"/>
        <v>9870</v>
      </c>
      <c r="V26" s="265">
        <f t="shared" si="5"/>
        <v>11800</v>
      </c>
      <c r="W26" s="265">
        <f t="shared" si="5"/>
        <v>17700</v>
      </c>
      <c r="X26" s="265">
        <f t="shared" si="5"/>
        <v>31800</v>
      </c>
      <c r="Y26" s="265">
        <f t="shared" si="5"/>
        <v>45000</v>
      </c>
      <c r="Z26" s="265">
        <f t="shared" si="5"/>
        <v>57500</v>
      </c>
      <c r="AA26" s="265">
        <f t="shared" si="5"/>
        <v>69500</v>
      </c>
      <c r="AB26" s="265">
        <f t="shared" si="5"/>
        <v>98500</v>
      </c>
      <c r="AC26" s="265">
        <f t="shared" si="5"/>
        <v>126000</v>
      </c>
      <c r="AD26" s="265">
        <f t="shared" si="5"/>
        <v>179000</v>
      </c>
      <c r="AE26" s="265">
        <f t="shared" si="5"/>
        <v>230000</v>
      </c>
      <c r="AG26" s="272">
        <f>sigfig(AE41+AE56+AE71+AE86,$B$3)</f>
        <v>230000</v>
      </c>
      <c r="AI26" s="264">
        <v>8</v>
      </c>
      <c r="AJ26" s="265">
        <f t="shared" ref="AJ26:AV35" si="6">sigfig(Cpmccoy($AI26,AJ$25,$AJ$4,$AJ$23,$AJ$5),$AJ$3)*0.001</f>
        <v>3210</v>
      </c>
      <c r="AK26" s="265">
        <f t="shared" si="6"/>
        <v>6950</v>
      </c>
      <c r="AL26" s="265">
        <f t="shared" si="6"/>
        <v>12500</v>
      </c>
      <c r="AM26" s="265">
        <f t="shared" si="6"/>
        <v>15000</v>
      </c>
      <c r="AN26" s="265">
        <f t="shared" si="6"/>
        <v>22500</v>
      </c>
      <c r="AO26" s="265">
        <f t="shared" si="6"/>
        <v>40600</v>
      </c>
      <c r="AP26" s="265">
        <f t="shared" si="6"/>
        <v>57500</v>
      </c>
      <c r="AQ26" s="265">
        <f t="shared" si="6"/>
        <v>73500</v>
      </c>
      <c r="AR26" s="265">
        <f t="shared" si="6"/>
        <v>89100</v>
      </c>
      <c r="AS26" s="265">
        <f t="shared" si="6"/>
        <v>126000</v>
      </c>
      <c r="AT26" s="265">
        <f t="shared" si="6"/>
        <v>162000</v>
      </c>
      <c r="AU26" s="265">
        <f t="shared" si="6"/>
        <v>230000</v>
      </c>
      <c r="AV26" s="265">
        <f t="shared" si="6"/>
        <v>296000</v>
      </c>
      <c r="AX26" s="272">
        <f>sigfig(AV41+AV56+AV71+AV86,$B$3)</f>
        <v>296000</v>
      </c>
    </row>
    <row r="27" spans="1:50" x14ac:dyDescent="0.4">
      <c r="A27" s="266">
        <v>10</v>
      </c>
      <c r="B27" s="267">
        <f t="shared" si="4"/>
        <v>8400</v>
      </c>
      <c r="C27" s="267">
        <f t="shared" si="4"/>
        <v>20000</v>
      </c>
      <c r="D27" s="267">
        <f t="shared" si="4"/>
        <v>39400</v>
      </c>
      <c r="E27" s="267">
        <f t="shared" si="4"/>
        <v>48800</v>
      </c>
      <c r="F27" s="267">
        <f t="shared" si="4"/>
        <v>78200</v>
      </c>
      <c r="G27" s="267">
        <f t="shared" si="4"/>
        <v>156000</v>
      </c>
      <c r="H27" s="267">
        <f t="shared" si="4"/>
        <v>233000</v>
      </c>
      <c r="I27" s="267">
        <f t="shared" si="4"/>
        <v>311000</v>
      </c>
      <c r="J27" s="267">
        <f t="shared" si="4"/>
        <v>388000</v>
      </c>
      <c r="K27" s="267">
        <f t="shared" si="4"/>
        <v>582000</v>
      </c>
      <c r="L27" s="267">
        <f t="shared" si="4"/>
        <v>776000</v>
      </c>
      <c r="M27" s="267">
        <f t="shared" si="4"/>
        <v>1160000</v>
      </c>
      <c r="N27" s="267">
        <f t="shared" si="4"/>
        <v>1550000</v>
      </c>
      <c r="P27" s="272">
        <f t="shared" ref="P27:P35" si="7">sigfig(N42+N57+N72+N87,$B$3)</f>
        <v>1550000</v>
      </c>
      <c r="R27" s="266">
        <v>10</v>
      </c>
      <c r="S27" s="267">
        <f t="shared" si="5"/>
        <v>3230</v>
      </c>
      <c r="T27" s="267">
        <f t="shared" si="5"/>
        <v>6930</v>
      </c>
      <c r="U27" s="267">
        <f t="shared" si="5"/>
        <v>12400</v>
      </c>
      <c r="V27" s="267">
        <f t="shared" si="5"/>
        <v>14900</v>
      </c>
      <c r="W27" s="267">
        <f t="shared" si="5"/>
        <v>22200</v>
      </c>
      <c r="X27" s="267">
        <f t="shared" si="5"/>
        <v>39900</v>
      </c>
      <c r="Y27" s="267">
        <f t="shared" si="5"/>
        <v>56200</v>
      </c>
      <c r="Z27" s="267">
        <f t="shared" si="5"/>
        <v>71800</v>
      </c>
      <c r="AA27" s="267">
        <f t="shared" si="5"/>
        <v>86900</v>
      </c>
      <c r="AB27" s="267">
        <f t="shared" si="5"/>
        <v>123000</v>
      </c>
      <c r="AC27" s="267">
        <f t="shared" si="5"/>
        <v>157000</v>
      </c>
      <c r="AD27" s="267">
        <f t="shared" si="5"/>
        <v>223000</v>
      </c>
      <c r="AE27" s="267">
        <f t="shared" si="5"/>
        <v>286000</v>
      </c>
      <c r="AG27" s="272">
        <f t="shared" ref="AG27:AG35" si="8">sigfig(AE42+AE57+AE72+AE87,$B$3)</f>
        <v>286000</v>
      </c>
      <c r="AI27" s="266">
        <v>10</v>
      </c>
      <c r="AJ27" s="267">
        <f t="shared" si="6"/>
        <v>4020</v>
      </c>
      <c r="AK27" s="267">
        <f t="shared" si="6"/>
        <v>8690</v>
      </c>
      <c r="AL27" s="267">
        <f t="shared" si="6"/>
        <v>15600</v>
      </c>
      <c r="AM27" s="267">
        <f t="shared" si="6"/>
        <v>18800</v>
      </c>
      <c r="AN27" s="267">
        <f t="shared" si="6"/>
        <v>28100</v>
      </c>
      <c r="AO27" s="267">
        <f t="shared" si="6"/>
        <v>50800</v>
      </c>
      <c r="AP27" s="267">
        <f t="shared" si="6"/>
        <v>71900</v>
      </c>
      <c r="AQ27" s="267">
        <f t="shared" si="6"/>
        <v>92000</v>
      </c>
      <c r="AR27" s="267">
        <f t="shared" si="6"/>
        <v>111000</v>
      </c>
      <c r="AS27" s="267">
        <f t="shared" si="6"/>
        <v>158000</v>
      </c>
      <c r="AT27" s="267">
        <f t="shared" si="6"/>
        <v>203000</v>
      </c>
      <c r="AU27" s="267">
        <f t="shared" si="6"/>
        <v>288000</v>
      </c>
      <c r="AV27" s="267">
        <f t="shared" si="6"/>
        <v>369000</v>
      </c>
      <c r="AX27" s="272">
        <f t="shared" ref="AX27:AX35" si="9">sigfig(AV42+AV57+AV72+AV87,$B$3)</f>
        <v>370000</v>
      </c>
    </row>
    <row r="28" spans="1:50" x14ac:dyDescent="0.4">
      <c r="A28" s="266">
        <v>12</v>
      </c>
      <c r="B28" s="267">
        <f t="shared" si="4"/>
        <v>9380</v>
      </c>
      <c r="C28" s="267">
        <f t="shared" si="4"/>
        <v>22500</v>
      </c>
      <c r="D28" s="267">
        <f t="shared" si="4"/>
        <v>44300</v>
      </c>
      <c r="E28" s="267">
        <f t="shared" si="4"/>
        <v>54900</v>
      </c>
      <c r="F28" s="267">
        <f t="shared" si="4"/>
        <v>88100</v>
      </c>
      <c r="G28" s="267">
        <f t="shared" si="4"/>
        <v>175000</v>
      </c>
      <c r="H28" s="267">
        <f t="shared" si="4"/>
        <v>263000</v>
      </c>
      <c r="I28" s="267">
        <f t="shared" si="4"/>
        <v>350000</v>
      </c>
      <c r="J28" s="267">
        <f t="shared" si="4"/>
        <v>438000</v>
      </c>
      <c r="K28" s="267">
        <f t="shared" si="4"/>
        <v>656000</v>
      </c>
      <c r="L28" s="267">
        <f t="shared" si="4"/>
        <v>875000</v>
      </c>
      <c r="M28" s="267">
        <f t="shared" si="4"/>
        <v>1310000</v>
      </c>
      <c r="N28" s="267">
        <f t="shared" si="4"/>
        <v>1750000</v>
      </c>
      <c r="P28" s="272">
        <f t="shared" si="7"/>
        <v>1750000</v>
      </c>
      <c r="R28" s="266">
        <v>12</v>
      </c>
      <c r="S28" s="267">
        <f t="shared" si="5"/>
        <v>3900</v>
      </c>
      <c r="T28" s="267">
        <f t="shared" si="5"/>
        <v>8380</v>
      </c>
      <c r="U28" s="267">
        <f t="shared" si="5"/>
        <v>15000</v>
      </c>
      <c r="V28" s="267">
        <f t="shared" si="5"/>
        <v>18000</v>
      </c>
      <c r="W28" s="267">
        <f t="shared" si="5"/>
        <v>26800</v>
      </c>
      <c r="X28" s="267">
        <f t="shared" si="5"/>
        <v>48100</v>
      </c>
      <c r="Y28" s="267">
        <f t="shared" si="5"/>
        <v>67900</v>
      </c>
      <c r="Z28" s="267">
        <f t="shared" si="5"/>
        <v>86600</v>
      </c>
      <c r="AA28" s="267">
        <f t="shared" si="5"/>
        <v>105000</v>
      </c>
      <c r="AB28" s="267">
        <f t="shared" si="5"/>
        <v>148000</v>
      </c>
      <c r="AC28" s="267">
        <f t="shared" si="5"/>
        <v>189000</v>
      </c>
      <c r="AD28" s="267">
        <f t="shared" si="5"/>
        <v>268000</v>
      </c>
      <c r="AE28" s="267">
        <f t="shared" si="5"/>
        <v>343000</v>
      </c>
      <c r="AG28" s="272">
        <f t="shared" si="8"/>
        <v>343000</v>
      </c>
      <c r="AI28" s="266">
        <v>12</v>
      </c>
      <c r="AJ28" s="267">
        <f t="shared" si="6"/>
        <v>4840</v>
      </c>
      <c r="AK28" s="267">
        <f t="shared" si="6"/>
        <v>10500</v>
      </c>
      <c r="AL28" s="267">
        <f t="shared" si="6"/>
        <v>18900</v>
      </c>
      <c r="AM28" s="267">
        <f t="shared" si="6"/>
        <v>22700</v>
      </c>
      <c r="AN28" s="267">
        <f t="shared" si="6"/>
        <v>34000</v>
      </c>
      <c r="AO28" s="267">
        <f t="shared" si="6"/>
        <v>61300</v>
      </c>
      <c r="AP28" s="267">
        <f t="shared" si="6"/>
        <v>86800</v>
      </c>
      <c r="AQ28" s="267">
        <f t="shared" si="6"/>
        <v>111000</v>
      </c>
      <c r="AR28" s="267">
        <f t="shared" si="6"/>
        <v>135000</v>
      </c>
      <c r="AS28" s="267">
        <f t="shared" si="6"/>
        <v>191000</v>
      </c>
      <c r="AT28" s="267">
        <f t="shared" si="6"/>
        <v>244000</v>
      </c>
      <c r="AU28" s="267">
        <f t="shared" si="6"/>
        <v>347000</v>
      </c>
      <c r="AV28" s="267">
        <f t="shared" si="6"/>
        <v>445000</v>
      </c>
      <c r="AX28" s="272">
        <f t="shared" si="9"/>
        <v>446000</v>
      </c>
    </row>
    <row r="29" spans="1:50" x14ac:dyDescent="0.4">
      <c r="A29" s="266">
        <v>16</v>
      </c>
      <c r="B29" s="267">
        <f t="shared" si="4"/>
        <v>11700</v>
      </c>
      <c r="C29" s="267">
        <f t="shared" si="4"/>
        <v>28200</v>
      </c>
      <c r="D29" s="267">
        <f t="shared" si="4"/>
        <v>55800</v>
      </c>
      <c r="E29" s="267">
        <f t="shared" si="4"/>
        <v>69200</v>
      </c>
      <c r="F29" s="267">
        <f t="shared" si="4"/>
        <v>111000</v>
      </c>
      <c r="G29" s="267">
        <f t="shared" si="4"/>
        <v>221000</v>
      </c>
      <c r="H29" s="267">
        <f t="shared" si="4"/>
        <v>332000</v>
      </c>
      <c r="I29" s="267">
        <f t="shared" si="4"/>
        <v>442000</v>
      </c>
      <c r="J29" s="267">
        <f t="shared" si="4"/>
        <v>552000</v>
      </c>
      <c r="K29" s="267">
        <f t="shared" si="4"/>
        <v>828000</v>
      </c>
      <c r="L29" s="267">
        <f t="shared" si="4"/>
        <v>1100000</v>
      </c>
      <c r="M29" s="267">
        <f t="shared" si="4"/>
        <v>1660000</v>
      </c>
      <c r="N29" s="267">
        <f t="shared" si="4"/>
        <v>2210000</v>
      </c>
      <c r="P29" s="272">
        <f t="shared" si="7"/>
        <v>2210000</v>
      </c>
      <c r="R29" s="266">
        <v>16</v>
      </c>
      <c r="S29" s="267">
        <f t="shared" si="5"/>
        <v>5300</v>
      </c>
      <c r="T29" s="267">
        <f t="shared" si="5"/>
        <v>11400</v>
      </c>
      <c r="U29" s="267">
        <f t="shared" si="5"/>
        <v>20300</v>
      </c>
      <c r="V29" s="267">
        <f t="shared" si="5"/>
        <v>24400</v>
      </c>
      <c r="W29" s="267">
        <f t="shared" si="5"/>
        <v>36400</v>
      </c>
      <c r="X29" s="267">
        <f t="shared" si="5"/>
        <v>65300</v>
      </c>
      <c r="Y29" s="267">
        <f t="shared" si="5"/>
        <v>92000</v>
      </c>
      <c r="Z29" s="267">
        <f t="shared" si="5"/>
        <v>117000</v>
      </c>
      <c r="AA29" s="267">
        <f t="shared" si="5"/>
        <v>142000</v>
      </c>
      <c r="AB29" s="267">
        <f t="shared" si="5"/>
        <v>200000</v>
      </c>
      <c r="AC29" s="267">
        <f t="shared" si="5"/>
        <v>256000</v>
      </c>
      <c r="AD29" s="267">
        <f t="shared" si="5"/>
        <v>362000</v>
      </c>
      <c r="AE29" s="267">
        <f t="shared" si="5"/>
        <v>463000</v>
      </c>
      <c r="AG29" s="272">
        <f t="shared" si="8"/>
        <v>463000</v>
      </c>
      <c r="AI29" s="266">
        <v>16</v>
      </c>
      <c r="AJ29" s="267">
        <f t="shared" si="6"/>
        <v>6550</v>
      </c>
      <c r="AK29" s="267">
        <f t="shared" si="6"/>
        <v>14200</v>
      </c>
      <c r="AL29" s="267">
        <f t="shared" si="6"/>
        <v>25600</v>
      </c>
      <c r="AM29" s="267">
        <f t="shared" si="6"/>
        <v>30700</v>
      </c>
      <c r="AN29" s="267">
        <f t="shared" si="6"/>
        <v>46100</v>
      </c>
      <c r="AO29" s="267">
        <f t="shared" si="6"/>
        <v>83300</v>
      </c>
      <c r="AP29" s="267">
        <f t="shared" si="6"/>
        <v>118000</v>
      </c>
      <c r="AQ29" s="267">
        <f t="shared" si="6"/>
        <v>151000</v>
      </c>
      <c r="AR29" s="267">
        <f t="shared" si="6"/>
        <v>183000</v>
      </c>
      <c r="AS29" s="267">
        <f t="shared" si="6"/>
        <v>259000</v>
      </c>
      <c r="AT29" s="267">
        <f t="shared" si="6"/>
        <v>332000</v>
      </c>
      <c r="AU29" s="267">
        <f t="shared" si="6"/>
        <v>471000</v>
      </c>
      <c r="AV29" s="267">
        <f t="shared" si="6"/>
        <v>604000</v>
      </c>
      <c r="AX29" s="272">
        <f t="shared" si="9"/>
        <v>604000</v>
      </c>
    </row>
    <row r="30" spans="1:50" x14ac:dyDescent="0.4">
      <c r="A30" s="266">
        <v>20</v>
      </c>
      <c r="B30" s="267">
        <f t="shared" si="4"/>
        <v>14400</v>
      </c>
      <c r="C30" s="267">
        <f t="shared" si="4"/>
        <v>35100</v>
      </c>
      <c r="D30" s="267">
        <f t="shared" si="4"/>
        <v>69500</v>
      </c>
      <c r="E30" s="267">
        <f t="shared" si="4"/>
        <v>86100</v>
      </c>
      <c r="F30" s="267">
        <f t="shared" si="4"/>
        <v>138000</v>
      </c>
      <c r="G30" s="267">
        <f t="shared" si="4"/>
        <v>276000</v>
      </c>
      <c r="H30" s="267">
        <f t="shared" si="4"/>
        <v>414000</v>
      </c>
      <c r="I30" s="267">
        <f t="shared" si="4"/>
        <v>551000</v>
      </c>
      <c r="J30" s="267">
        <f t="shared" si="4"/>
        <v>689000</v>
      </c>
      <c r="K30" s="267">
        <f t="shared" si="4"/>
        <v>1030000</v>
      </c>
      <c r="L30" s="267">
        <f t="shared" si="4"/>
        <v>1380000</v>
      </c>
      <c r="M30" s="267">
        <f t="shared" si="4"/>
        <v>2070000</v>
      </c>
      <c r="N30" s="267">
        <f t="shared" si="4"/>
        <v>2750000</v>
      </c>
      <c r="P30" s="272">
        <f t="shared" si="7"/>
        <v>2750000</v>
      </c>
      <c r="R30" s="266">
        <v>20</v>
      </c>
      <c r="S30" s="267">
        <f t="shared" si="5"/>
        <v>6760</v>
      </c>
      <c r="T30" s="267">
        <f t="shared" si="5"/>
        <v>14500</v>
      </c>
      <c r="U30" s="267">
        <f t="shared" si="5"/>
        <v>25900</v>
      </c>
      <c r="V30" s="267">
        <f t="shared" si="5"/>
        <v>31100</v>
      </c>
      <c r="W30" s="267">
        <f t="shared" si="5"/>
        <v>46400</v>
      </c>
      <c r="X30" s="267">
        <f t="shared" si="5"/>
        <v>83300</v>
      </c>
      <c r="Y30" s="267">
        <f t="shared" si="5"/>
        <v>117000</v>
      </c>
      <c r="Z30" s="267">
        <f t="shared" si="5"/>
        <v>150000</v>
      </c>
      <c r="AA30" s="267">
        <f t="shared" si="5"/>
        <v>181000</v>
      </c>
      <c r="AB30" s="267">
        <f t="shared" si="5"/>
        <v>255000</v>
      </c>
      <c r="AC30" s="267">
        <f t="shared" si="5"/>
        <v>326000</v>
      </c>
      <c r="AD30" s="267">
        <f t="shared" si="5"/>
        <v>461000</v>
      </c>
      <c r="AE30" s="267">
        <f t="shared" si="5"/>
        <v>590000</v>
      </c>
      <c r="AG30" s="272">
        <f t="shared" si="8"/>
        <v>589000</v>
      </c>
      <c r="AI30" s="266">
        <v>20</v>
      </c>
      <c r="AJ30" s="267">
        <f t="shared" si="6"/>
        <v>8320</v>
      </c>
      <c r="AK30" s="267">
        <f t="shared" si="6"/>
        <v>18100</v>
      </c>
      <c r="AL30" s="267">
        <f t="shared" si="6"/>
        <v>32600</v>
      </c>
      <c r="AM30" s="267">
        <f t="shared" si="6"/>
        <v>39200</v>
      </c>
      <c r="AN30" s="267">
        <f t="shared" si="6"/>
        <v>58800</v>
      </c>
      <c r="AO30" s="267">
        <f t="shared" si="6"/>
        <v>106000</v>
      </c>
      <c r="AP30" s="267">
        <f t="shared" si="6"/>
        <v>150000</v>
      </c>
      <c r="AQ30" s="267">
        <f t="shared" si="6"/>
        <v>193000</v>
      </c>
      <c r="AR30" s="267">
        <f t="shared" si="6"/>
        <v>233000</v>
      </c>
      <c r="AS30" s="267">
        <f t="shared" si="6"/>
        <v>331000</v>
      </c>
      <c r="AT30" s="267">
        <f t="shared" si="6"/>
        <v>424000</v>
      </c>
      <c r="AU30" s="267">
        <f t="shared" si="6"/>
        <v>602000</v>
      </c>
      <c r="AV30" s="267">
        <f t="shared" si="6"/>
        <v>772000</v>
      </c>
      <c r="AX30" s="272">
        <f t="shared" si="9"/>
        <v>772000</v>
      </c>
    </row>
    <row r="31" spans="1:50" x14ac:dyDescent="0.4">
      <c r="A31" s="266">
        <v>24</v>
      </c>
      <c r="B31" s="267">
        <f t="shared" si="4"/>
        <v>17600</v>
      </c>
      <c r="C31" s="267">
        <f t="shared" si="4"/>
        <v>43000</v>
      </c>
      <c r="D31" s="267">
        <f t="shared" si="4"/>
        <v>85300</v>
      </c>
      <c r="E31" s="267">
        <f t="shared" si="4"/>
        <v>106000</v>
      </c>
      <c r="F31" s="267">
        <f t="shared" si="4"/>
        <v>170000</v>
      </c>
      <c r="G31" s="267">
        <f t="shared" si="4"/>
        <v>339000</v>
      </c>
      <c r="H31" s="267">
        <f t="shared" si="4"/>
        <v>508000</v>
      </c>
      <c r="I31" s="267">
        <f t="shared" si="4"/>
        <v>678000</v>
      </c>
      <c r="J31" s="267">
        <f t="shared" si="4"/>
        <v>847000</v>
      </c>
      <c r="K31" s="267">
        <f t="shared" si="4"/>
        <v>1270000</v>
      </c>
      <c r="L31" s="267">
        <f t="shared" si="4"/>
        <v>1690000</v>
      </c>
      <c r="M31" s="267">
        <f t="shared" si="4"/>
        <v>2540000</v>
      </c>
      <c r="N31" s="267">
        <f t="shared" si="4"/>
        <v>3390000</v>
      </c>
      <c r="P31" s="272">
        <f t="shared" si="7"/>
        <v>3390000</v>
      </c>
      <c r="R31" s="266">
        <v>24</v>
      </c>
      <c r="S31" s="267">
        <f t="shared" si="5"/>
        <v>8270</v>
      </c>
      <c r="T31" s="267">
        <f t="shared" si="5"/>
        <v>17800</v>
      </c>
      <c r="U31" s="267">
        <f t="shared" si="5"/>
        <v>31800</v>
      </c>
      <c r="V31" s="267">
        <f t="shared" si="5"/>
        <v>38100</v>
      </c>
      <c r="W31" s="267">
        <f t="shared" si="5"/>
        <v>56900</v>
      </c>
      <c r="X31" s="267">
        <f t="shared" si="5"/>
        <v>102000</v>
      </c>
      <c r="Y31" s="267">
        <f t="shared" si="5"/>
        <v>144000</v>
      </c>
      <c r="Z31" s="267">
        <f t="shared" si="5"/>
        <v>183000</v>
      </c>
      <c r="AA31" s="267">
        <f t="shared" si="5"/>
        <v>222000</v>
      </c>
      <c r="AB31" s="267">
        <f t="shared" si="5"/>
        <v>313000</v>
      </c>
      <c r="AC31" s="267">
        <f t="shared" si="5"/>
        <v>399000</v>
      </c>
      <c r="AD31" s="267">
        <f t="shared" si="5"/>
        <v>564000</v>
      </c>
      <c r="AE31" s="267">
        <f t="shared" si="5"/>
        <v>721000</v>
      </c>
      <c r="AG31" s="272">
        <f t="shared" si="8"/>
        <v>721000</v>
      </c>
      <c r="AI31" s="266">
        <v>24</v>
      </c>
      <c r="AJ31" s="267">
        <f t="shared" si="6"/>
        <v>10200</v>
      </c>
      <c r="AK31" s="267">
        <f t="shared" si="6"/>
        <v>22100</v>
      </c>
      <c r="AL31" s="267">
        <f t="shared" si="6"/>
        <v>39900</v>
      </c>
      <c r="AM31" s="267">
        <f t="shared" si="6"/>
        <v>48000</v>
      </c>
      <c r="AN31" s="267">
        <f t="shared" si="6"/>
        <v>72100</v>
      </c>
      <c r="AO31" s="267">
        <f t="shared" si="6"/>
        <v>130000</v>
      </c>
      <c r="AP31" s="267">
        <f t="shared" si="6"/>
        <v>185000</v>
      </c>
      <c r="AQ31" s="267">
        <f t="shared" si="6"/>
        <v>236000</v>
      </c>
      <c r="AR31" s="267">
        <f t="shared" si="6"/>
        <v>287000</v>
      </c>
      <c r="AS31" s="267">
        <f t="shared" si="6"/>
        <v>406000</v>
      </c>
      <c r="AT31" s="267">
        <f t="shared" si="6"/>
        <v>521000</v>
      </c>
      <c r="AU31" s="267">
        <f t="shared" si="6"/>
        <v>740000</v>
      </c>
      <c r="AV31" s="267">
        <f t="shared" si="6"/>
        <v>949000</v>
      </c>
      <c r="AX31" s="272">
        <f t="shared" si="9"/>
        <v>950000</v>
      </c>
    </row>
    <row r="32" spans="1:50" x14ac:dyDescent="0.4">
      <c r="A32" s="266">
        <v>30</v>
      </c>
      <c r="B32" s="267">
        <f t="shared" si="4"/>
        <v>23100</v>
      </c>
      <c r="C32" s="267">
        <f t="shared" si="4"/>
        <v>56800</v>
      </c>
      <c r="D32" s="267">
        <f t="shared" si="4"/>
        <v>113000</v>
      </c>
      <c r="E32" s="267">
        <f t="shared" si="4"/>
        <v>140000</v>
      </c>
      <c r="F32" s="267">
        <f t="shared" si="4"/>
        <v>225000</v>
      </c>
      <c r="G32" s="267">
        <f t="shared" si="4"/>
        <v>450000</v>
      </c>
      <c r="H32" s="267">
        <f t="shared" si="4"/>
        <v>675000</v>
      </c>
      <c r="I32" s="267">
        <f t="shared" si="4"/>
        <v>900000</v>
      </c>
      <c r="J32" s="267">
        <f t="shared" si="4"/>
        <v>1120000</v>
      </c>
      <c r="K32" s="267">
        <f t="shared" si="4"/>
        <v>1690000</v>
      </c>
      <c r="L32" s="267">
        <f t="shared" si="4"/>
        <v>2250000</v>
      </c>
      <c r="M32" s="267">
        <f t="shared" si="4"/>
        <v>3370000</v>
      </c>
      <c r="N32" s="267">
        <f t="shared" si="4"/>
        <v>4500000</v>
      </c>
      <c r="P32" s="272">
        <f t="shared" si="7"/>
        <v>4500000</v>
      </c>
      <c r="R32" s="266">
        <v>30</v>
      </c>
      <c r="S32" s="267">
        <f t="shared" si="5"/>
        <v>10600</v>
      </c>
      <c r="T32" s="267">
        <f t="shared" si="5"/>
        <v>22900</v>
      </c>
      <c r="U32" s="267">
        <f t="shared" si="5"/>
        <v>40900</v>
      </c>
      <c r="V32" s="267">
        <f t="shared" si="5"/>
        <v>49100</v>
      </c>
      <c r="W32" s="267">
        <f t="shared" si="5"/>
        <v>73200</v>
      </c>
      <c r="X32" s="267">
        <f t="shared" si="5"/>
        <v>131000</v>
      </c>
      <c r="Y32" s="267">
        <f t="shared" si="5"/>
        <v>185000</v>
      </c>
      <c r="Z32" s="267">
        <f t="shared" si="5"/>
        <v>236000</v>
      </c>
      <c r="AA32" s="267">
        <f t="shared" si="5"/>
        <v>285000</v>
      </c>
      <c r="AB32" s="267">
        <f t="shared" si="5"/>
        <v>403000</v>
      </c>
      <c r="AC32" s="267">
        <f t="shared" si="5"/>
        <v>514000</v>
      </c>
      <c r="AD32" s="267">
        <f t="shared" si="5"/>
        <v>726000</v>
      </c>
      <c r="AE32" s="267">
        <f t="shared" si="5"/>
        <v>929000</v>
      </c>
      <c r="AG32" s="272">
        <f t="shared" si="8"/>
        <v>928000</v>
      </c>
      <c r="AI32" s="266">
        <v>30</v>
      </c>
      <c r="AJ32" s="267">
        <f t="shared" si="6"/>
        <v>13100</v>
      </c>
      <c r="AK32" s="267">
        <f t="shared" si="6"/>
        <v>28500</v>
      </c>
      <c r="AL32" s="267">
        <f t="shared" si="6"/>
        <v>51400</v>
      </c>
      <c r="AM32" s="267">
        <f t="shared" si="6"/>
        <v>61900</v>
      </c>
      <c r="AN32" s="267">
        <f t="shared" si="6"/>
        <v>93000</v>
      </c>
      <c r="AO32" s="267">
        <f t="shared" si="6"/>
        <v>169000</v>
      </c>
      <c r="AP32" s="267">
        <f t="shared" si="6"/>
        <v>239000</v>
      </c>
      <c r="AQ32" s="267">
        <f t="shared" si="6"/>
        <v>306000</v>
      </c>
      <c r="AR32" s="267">
        <f t="shared" si="6"/>
        <v>371000</v>
      </c>
      <c r="AS32" s="267">
        <f t="shared" si="6"/>
        <v>526000</v>
      </c>
      <c r="AT32" s="267">
        <f t="shared" si="6"/>
        <v>675000</v>
      </c>
      <c r="AU32" s="267">
        <f t="shared" si="6"/>
        <v>959000</v>
      </c>
      <c r="AV32" s="267">
        <f t="shared" si="6"/>
        <v>1230000</v>
      </c>
      <c r="AX32" s="272">
        <f t="shared" si="9"/>
        <v>1230000</v>
      </c>
    </row>
    <row r="33" spans="1:50" x14ac:dyDescent="0.4">
      <c r="A33" s="266">
        <v>36</v>
      </c>
      <c r="B33" s="267">
        <f t="shared" si="4"/>
        <v>29700</v>
      </c>
      <c r="C33" s="267">
        <f t="shared" si="4"/>
        <v>73200</v>
      </c>
      <c r="D33" s="267">
        <f t="shared" si="4"/>
        <v>146000</v>
      </c>
      <c r="E33" s="267">
        <f t="shared" si="4"/>
        <v>181000</v>
      </c>
      <c r="F33" s="267">
        <f t="shared" si="4"/>
        <v>291000</v>
      </c>
      <c r="G33" s="267">
        <f t="shared" si="4"/>
        <v>581000</v>
      </c>
      <c r="H33" s="267">
        <f t="shared" si="4"/>
        <v>871000</v>
      </c>
      <c r="I33" s="267">
        <f t="shared" si="4"/>
        <v>1160000</v>
      </c>
      <c r="J33" s="267">
        <f t="shared" si="4"/>
        <v>1450000</v>
      </c>
      <c r="K33" s="267">
        <f t="shared" si="4"/>
        <v>2180000</v>
      </c>
      <c r="L33" s="267">
        <f t="shared" si="4"/>
        <v>2900000</v>
      </c>
      <c r="M33" s="267">
        <f t="shared" si="4"/>
        <v>4350000</v>
      </c>
      <c r="N33" s="267">
        <f t="shared" si="4"/>
        <v>5800000</v>
      </c>
      <c r="P33" s="272">
        <f t="shared" si="7"/>
        <v>5800000</v>
      </c>
      <c r="R33" s="266">
        <v>36</v>
      </c>
      <c r="S33" s="267">
        <f t="shared" si="5"/>
        <v>13100</v>
      </c>
      <c r="T33" s="267">
        <f t="shared" si="5"/>
        <v>28200</v>
      </c>
      <c r="U33" s="267">
        <f t="shared" si="5"/>
        <v>50500</v>
      </c>
      <c r="V33" s="267">
        <f t="shared" si="5"/>
        <v>60500</v>
      </c>
      <c r="W33" s="267">
        <f t="shared" si="5"/>
        <v>90400</v>
      </c>
      <c r="X33" s="267">
        <f t="shared" si="5"/>
        <v>162000</v>
      </c>
      <c r="Y33" s="267">
        <f t="shared" si="5"/>
        <v>229000</v>
      </c>
      <c r="Z33" s="267">
        <f t="shared" si="5"/>
        <v>292000</v>
      </c>
      <c r="AA33" s="267">
        <f t="shared" si="5"/>
        <v>353000</v>
      </c>
      <c r="AB33" s="267">
        <f t="shared" si="5"/>
        <v>497000</v>
      </c>
      <c r="AC33" s="267">
        <f t="shared" si="5"/>
        <v>635000</v>
      </c>
      <c r="AD33" s="267">
        <f t="shared" si="5"/>
        <v>897000</v>
      </c>
      <c r="AE33" s="267">
        <f t="shared" si="5"/>
        <v>1150000</v>
      </c>
      <c r="AG33" s="272">
        <f t="shared" si="8"/>
        <v>1150000</v>
      </c>
      <c r="AI33" s="266">
        <v>36</v>
      </c>
      <c r="AJ33" s="267">
        <f t="shared" si="6"/>
        <v>16100</v>
      </c>
      <c r="AK33" s="267">
        <f t="shared" si="6"/>
        <v>35200</v>
      </c>
      <c r="AL33" s="267">
        <f t="shared" si="6"/>
        <v>63600</v>
      </c>
      <c r="AM33" s="267">
        <f t="shared" si="6"/>
        <v>76600</v>
      </c>
      <c r="AN33" s="267">
        <f t="shared" si="6"/>
        <v>115000</v>
      </c>
      <c r="AO33" s="267">
        <f t="shared" si="6"/>
        <v>209000</v>
      </c>
      <c r="AP33" s="267">
        <f t="shared" si="6"/>
        <v>296000</v>
      </c>
      <c r="AQ33" s="267">
        <f t="shared" si="6"/>
        <v>380000</v>
      </c>
      <c r="AR33" s="267">
        <f t="shared" si="6"/>
        <v>460000</v>
      </c>
      <c r="AS33" s="267">
        <f t="shared" si="6"/>
        <v>653000</v>
      </c>
      <c r="AT33" s="267">
        <f t="shared" si="6"/>
        <v>838000</v>
      </c>
      <c r="AU33" s="267">
        <f t="shared" si="6"/>
        <v>1190000</v>
      </c>
      <c r="AV33" s="267">
        <f t="shared" si="6"/>
        <v>1530000</v>
      </c>
      <c r="AX33" s="272">
        <f t="shared" si="9"/>
        <v>1530000</v>
      </c>
    </row>
    <row r="34" spans="1:50" x14ac:dyDescent="0.4">
      <c r="A34" s="266">
        <v>42</v>
      </c>
      <c r="B34" s="267">
        <f t="shared" si="4"/>
        <v>37200</v>
      </c>
      <c r="C34" s="267">
        <f t="shared" si="4"/>
        <v>91900</v>
      </c>
      <c r="D34" s="267">
        <f t="shared" si="4"/>
        <v>183000</v>
      </c>
      <c r="E34" s="267">
        <f t="shared" si="4"/>
        <v>227000</v>
      </c>
      <c r="F34" s="267">
        <f t="shared" si="4"/>
        <v>366000</v>
      </c>
      <c r="G34" s="267">
        <f t="shared" si="4"/>
        <v>731000</v>
      </c>
      <c r="H34" s="267">
        <f t="shared" si="4"/>
        <v>1100000</v>
      </c>
      <c r="I34" s="267">
        <f t="shared" si="4"/>
        <v>1460000</v>
      </c>
      <c r="J34" s="267">
        <f t="shared" si="4"/>
        <v>1830000</v>
      </c>
      <c r="K34" s="267">
        <f t="shared" si="4"/>
        <v>2740000</v>
      </c>
      <c r="L34" s="267">
        <f t="shared" si="4"/>
        <v>3650000</v>
      </c>
      <c r="M34" s="267">
        <f t="shared" si="4"/>
        <v>5480000</v>
      </c>
      <c r="N34" s="267">
        <f t="shared" si="4"/>
        <v>7300000</v>
      </c>
      <c r="P34" s="272">
        <f t="shared" si="7"/>
        <v>7310000</v>
      </c>
      <c r="R34" s="266">
        <v>42</v>
      </c>
      <c r="S34" s="267">
        <f t="shared" si="5"/>
        <v>15700</v>
      </c>
      <c r="T34" s="267">
        <f t="shared" si="5"/>
        <v>33800</v>
      </c>
      <c r="U34" s="267">
        <f t="shared" si="5"/>
        <v>60400</v>
      </c>
      <c r="V34" s="267">
        <f t="shared" si="5"/>
        <v>72500</v>
      </c>
      <c r="W34" s="267">
        <f t="shared" si="5"/>
        <v>108000</v>
      </c>
      <c r="X34" s="267">
        <f t="shared" si="5"/>
        <v>195000</v>
      </c>
      <c r="Y34" s="267">
        <f t="shared" si="5"/>
        <v>274000</v>
      </c>
      <c r="Z34" s="267">
        <f t="shared" si="5"/>
        <v>350000</v>
      </c>
      <c r="AA34" s="267">
        <f t="shared" si="5"/>
        <v>423000</v>
      </c>
      <c r="AB34" s="267">
        <f t="shared" si="5"/>
        <v>596000</v>
      </c>
      <c r="AC34" s="267">
        <f t="shared" si="5"/>
        <v>762000</v>
      </c>
      <c r="AD34" s="267">
        <f t="shared" si="5"/>
        <v>1080000</v>
      </c>
      <c r="AE34" s="267">
        <f t="shared" si="5"/>
        <v>1380000</v>
      </c>
      <c r="AG34" s="272">
        <f t="shared" si="8"/>
        <v>1380000</v>
      </c>
      <c r="AI34" s="266">
        <v>42</v>
      </c>
      <c r="AJ34" s="267">
        <f t="shared" si="6"/>
        <v>19300</v>
      </c>
      <c r="AK34" s="267">
        <f t="shared" si="6"/>
        <v>42200</v>
      </c>
      <c r="AL34" s="267">
        <f t="shared" si="6"/>
        <v>76400</v>
      </c>
      <c r="AM34" s="267">
        <f t="shared" si="6"/>
        <v>92000</v>
      </c>
      <c r="AN34" s="267">
        <f t="shared" si="6"/>
        <v>138000</v>
      </c>
      <c r="AO34" s="267">
        <f t="shared" si="6"/>
        <v>251000</v>
      </c>
      <c r="AP34" s="267">
        <f t="shared" si="6"/>
        <v>357000</v>
      </c>
      <c r="AQ34" s="267">
        <f t="shared" si="6"/>
        <v>457000</v>
      </c>
      <c r="AR34" s="267">
        <f t="shared" si="6"/>
        <v>555000</v>
      </c>
      <c r="AS34" s="267">
        <f t="shared" si="6"/>
        <v>788000</v>
      </c>
      <c r="AT34" s="267">
        <f t="shared" si="6"/>
        <v>1010000</v>
      </c>
      <c r="AU34" s="267">
        <f t="shared" si="6"/>
        <v>1440000</v>
      </c>
      <c r="AV34" s="267">
        <f t="shared" si="6"/>
        <v>1850000</v>
      </c>
      <c r="AX34" s="272">
        <f t="shared" si="9"/>
        <v>1840000</v>
      </c>
    </row>
    <row r="35" spans="1:50" x14ac:dyDescent="0.4">
      <c r="A35" s="268">
        <v>48</v>
      </c>
      <c r="B35" s="269">
        <f t="shared" si="4"/>
        <v>45600</v>
      </c>
      <c r="C35" s="269">
        <f t="shared" si="4"/>
        <v>113000</v>
      </c>
      <c r="D35" s="269">
        <f t="shared" si="4"/>
        <v>226000</v>
      </c>
      <c r="E35" s="269">
        <f t="shared" si="4"/>
        <v>280000</v>
      </c>
      <c r="F35" s="269">
        <f t="shared" si="4"/>
        <v>451000</v>
      </c>
      <c r="G35" s="269">
        <f t="shared" si="4"/>
        <v>901000</v>
      </c>
      <c r="H35" s="269">
        <f t="shared" si="4"/>
        <v>1350000</v>
      </c>
      <c r="I35" s="269">
        <f t="shared" si="4"/>
        <v>1800000</v>
      </c>
      <c r="J35" s="269">
        <f t="shared" si="4"/>
        <v>2250000</v>
      </c>
      <c r="K35" s="269">
        <f t="shared" si="4"/>
        <v>3380000</v>
      </c>
      <c r="L35" s="269">
        <f t="shared" si="4"/>
        <v>4500000</v>
      </c>
      <c r="M35" s="269">
        <f t="shared" si="4"/>
        <v>6750000</v>
      </c>
      <c r="N35" s="269">
        <f t="shared" si="4"/>
        <v>9000000</v>
      </c>
      <c r="P35" s="272">
        <f t="shared" si="7"/>
        <v>8990000</v>
      </c>
      <c r="R35" s="268">
        <v>48</v>
      </c>
      <c r="S35" s="269">
        <f t="shared" si="5"/>
        <v>18300</v>
      </c>
      <c r="T35" s="269">
        <f t="shared" si="5"/>
        <v>39500</v>
      </c>
      <c r="U35" s="269">
        <f t="shared" si="5"/>
        <v>70800</v>
      </c>
      <c r="V35" s="269">
        <f t="shared" si="5"/>
        <v>84900</v>
      </c>
      <c r="W35" s="269">
        <f t="shared" si="5"/>
        <v>127000</v>
      </c>
      <c r="X35" s="269">
        <f t="shared" si="5"/>
        <v>228000</v>
      </c>
      <c r="Y35" s="269">
        <f t="shared" si="5"/>
        <v>321000</v>
      </c>
      <c r="Z35" s="269">
        <f t="shared" si="5"/>
        <v>410000</v>
      </c>
      <c r="AA35" s="269">
        <f t="shared" si="5"/>
        <v>496000</v>
      </c>
      <c r="AB35" s="269">
        <f t="shared" si="5"/>
        <v>700000</v>
      </c>
      <c r="AC35" s="269">
        <f t="shared" si="5"/>
        <v>893000</v>
      </c>
      <c r="AD35" s="269">
        <f t="shared" si="5"/>
        <v>1260000</v>
      </c>
      <c r="AE35" s="269">
        <f t="shared" si="5"/>
        <v>1610000</v>
      </c>
      <c r="AG35" s="272">
        <f t="shared" si="8"/>
        <v>1610000</v>
      </c>
      <c r="AI35" s="268">
        <v>48</v>
      </c>
      <c r="AJ35" s="269">
        <f t="shared" si="6"/>
        <v>22600</v>
      </c>
      <c r="AK35" s="269">
        <f t="shared" si="6"/>
        <v>49500</v>
      </c>
      <c r="AL35" s="269">
        <f t="shared" si="6"/>
        <v>89700</v>
      </c>
      <c r="AM35" s="269">
        <f t="shared" si="6"/>
        <v>108000</v>
      </c>
      <c r="AN35" s="269">
        <f t="shared" si="6"/>
        <v>163000</v>
      </c>
      <c r="AO35" s="269">
        <f t="shared" si="6"/>
        <v>296000</v>
      </c>
      <c r="AP35" s="269">
        <f t="shared" si="6"/>
        <v>420000</v>
      </c>
      <c r="AQ35" s="269">
        <f t="shared" si="6"/>
        <v>539000</v>
      </c>
      <c r="AR35" s="269">
        <f t="shared" si="6"/>
        <v>653000</v>
      </c>
      <c r="AS35" s="269">
        <f t="shared" si="6"/>
        <v>929000</v>
      </c>
      <c r="AT35" s="269">
        <f t="shared" si="6"/>
        <v>1190000</v>
      </c>
      <c r="AU35" s="269">
        <f t="shared" si="6"/>
        <v>1700000</v>
      </c>
      <c r="AV35" s="269">
        <f t="shared" si="6"/>
        <v>2180000</v>
      </c>
      <c r="AX35" s="272">
        <f t="shared" si="9"/>
        <v>2180000</v>
      </c>
    </row>
    <row r="37" spans="1:50" x14ac:dyDescent="0.4">
      <c r="A37" s="258" t="s">
        <v>466</v>
      </c>
      <c r="R37" s="258" t="s">
        <v>467</v>
      </c>
      <c r="AI37" s="258" t="s">
        <v>468</v>
      </c>
    </row>
    <row r="38" spans="1:50" x14ac:dyDescent="0.4">
      <c r="A38" s="270" t="s">
        <v>335</v>
      </c>
      <c r="B38" s="271" t="s">
        <v>339</v>
      </c>
      <c r="R38" s="270" t="s">
        <v>335</v>
      </c>
      <c r="S38" s="271" t="s">
        <v>339</v>
      </c>
      <c r="AI38" s="270" t="s">
        <v>335</v>
      </c>
      <c r="AJ38" s="271" t="s">
        <v>339</v>
      </c>
    </row>
    <row r="39" spans="1:50" x14ac:dyDescent="0.4">
      <c r="A39" s="259" t="s">
        <v>337</v>
      </c>
      <c r="B39" s="260" t="s">
        <v>338</v>
      </c>
      <c r="C39" s="261"/>
      <c r="D39" s="261"/>
      <c r="E39" s="261"/>
      <c r="F39" s="261"/>
      <c r="G39" s="261"/>
      <c r="H39" s="261"/>
      <c r="I39" s="261"/>
      <c r="J39" s="261"/>
      <c r="K39" s="261"/>
      <c r="L39" s="261"/>
      <c r="M39" s="261"/>
      <c r="N39" s="262"/>
      <c r="R39" s="259" t="s">
        <v>337</v>
      </c>
      <c r="S39" s="260" t="s">
        <v>338</v>
      </c>
      <c r="T39" s="261"/>
      <c r="U39" s="261"/>
      <c r="V39" s="261"/>
      <c r="W39" s="261"/>
      <c r="X39" s="261"/>
      <c r="Y39" s="261"/>
      <c r="Z39" s="261"/>
      <c r="AA39" s="261"/>
      <c r="AB39" s="261"/>
      <c r="AC39" s="261"/>
      <c r="AD39" s="261"/>
      <c r="AE39" s="262"/>
      <c r="AI39" s="259" t="s">
        <v>337</v>
      </c>
      <c r="AJ39" s="260" t="s">
        <v>338</v>
      </c>
      <c r="AK39" s="261"/>
      <c r="AL39" s="261"/>
      <c r="AM39" s="261"/>
      <c r="AN39" s="261"/>
      <c r="AO39" s="261"/>
      <c r="AP39" s="261"/>
      <c r="AQ39" s="261"/>
      <c r="AR39" s="261"/>
      <c r="AS39" s="261"/>
      <c r="AT39" s="261"/>
      <c r="AU39" s="261"/>
      <c r="AV39" s="262"/>
    </row>
    <row r="40" spans="1:50" ht="15" thickBot="1" x14ac:dyDescent="0.45">
      <c r="A40" s="263"/>
      <c r="B40" s="263">
        <v>10</v>
      </c>
      <c r="C40" s="263">
        <v>25</v>
      </c>
      <c r="D40" s="263">
        <v>50</v>
      </c>
      <c r="E40" s="263">
        <v>62.1</v>
      </c>
      <c r="F40" s="263">
        <v>100</v>
      </c>
      <c r="G40" s="263">
        <v>200</v>
      </c>
      <c r="H40" s="263">
        <v>300</v>
      </c>
      <c r="I40" s="263">
        <v>400</v>
      </c>
      <c r="J40" s="263">
        <v>500</v>
      </c>
      <c r="K40" s="263">
        <v>750</v>
      </c>
      <c r="L40" s="263">
        <v>1000</v>
      </c>
      <c r="M40" s="263">
        <v>1500</v>
      </c>
      <c r="N40" s="263">
        <v>2000</v>
      </c>
      <c r="R40" s="263"/>
      <c r="S40" s="263">
        <v>10</v>
      </c>
      <c r="T40" s="263">
        <v>25</v>
      </c>
      <c r="U40" s="263">
        <v>50</v>
      </c>
      <c r="V40" s="263">
        <v>62.1</v>
      </c>
      <c r="W40" s="263">
        <v>100</v>
      </c>
      <c r="X40" s="263">
        <v>200</v>
      </c>
      <c r="Y40" s="263">
        <v>300</v>
      </c>
      <c r="Z40" s="263">
        <v>400</v>
      </c>
      <c r="AA40" s="263">
        <v>500</v>
      </c>
      <c r="AB40" s="263">
        <v>750</v>
      </c>
      <c r="AC40" s="263">
        <v>1000</v>
      </c>
      <c r="AD40" s="263">
        <v>1500</v>
      </c>
      <c r="AE40" s="263">
        <v>2000</v>
      </c>
      <c r="AI40" s="263"/>
      <c r="AJ40" s="263">
        <v>10</v>
      </c>
      <c r="AK40" s="263">
        <v>25</v>
      </c>
      <c r="AL40" s="263">
        <v>50</v>
      </c>
      <c r="AM40" s="263">
        <v>62.1</v>
      </c>
      <c r="AN40" s="263">
        <v>100</v>
      </c>
      <c r="AO40" s="263">
        <v>200</v>
      </c>
      <c r="AP40" s="263">
        <v>300</v>
      </c>
      <c r="AQ40" s="263">
        <v>400</v>
      </c>
      <c r="AR40" s="263">
        <v>500</v>
      </c>
      <c r="AS40" s="263">
        <v>750</v>
      </c>
      <c r="AT40" s="263">
        <v>1000</v>
      </c>
      <c r="AU40" s="263">
        <v>1500</v>
      </c>
      <c r="AV40" s="263">
        <v>2000</v>
      </c>
    </row>
    <row r="41" spans="1:50" x14ac:dyDescent="0.4">
      <c r="A41" s="264">
        <v>8</v>
      </c>
      <c r="B41" s="265">
        <f t="shared" ref="B41:N50" si="10">sigfig(CpParker($A41,B$40,$B$38,$B$5),$B$3)*0.001</f>
        <v>1150</v>
      </c>
      <c r="C41" s="265">
        <f t="shared" si="10"/>
        <v>2770</v>
      </c>
      <c r="D41" s="265">
        <f t="shared" si="10"/>
        <v>5460</v>
      </c>
      <c r="E41" s="265">
        <f t="shared" si="10"/>
        <v>6770</v>
      </c>
      <c r="F41" s="265">
        <f t="shared" si="10"/>
        <v>10900</v>
      </c>
      <c r="G41" s="265">
        <f t="shared" si="10"/>
        <v>21600</v>
      </c>
      <c r="H41" s="265">
        <f t="shared" si="10"/>
        <v>32400</v>
      </c>
      <c r="I41" s="265">
        <f t="shared" si="10"/>
        <v>43200</v>
      </c>
      <c r="J41" s="265">
        <f t="shared" si="10"/>
        <v>54000</v>
      </c>
      <c r="K41" s="265">
        <f t="shared" si="10"/>
        <v>80900</v>
      </c>
      <c r="L41" s="265">
        <f t="shared" si="10"/>
        <v>108000</v>
      </c>
      <c r="M41" s="265">
        <f t="shared" si="10"/>
        <v>162000</v>
      </c>
      <c r="N41" s="265">
        <f t="shared" si="10"/>
        <v>216000</v>
      </c>
      <c r="R41" s="264">
        <v>8</v>
      </c>
      <c r="S41" s="265">
        <f t="shared" ref="S41:AE50" si="11">sigfig(CpRui($R41,S$40,$S$4,$S$38,$S$5),$S$3)*0.001</f>
        <v>656</v>
      </c>
      <c r="T41" s="265">
        <f t="shared" si="11"/>
        <v>1460</v>
      </c>
      <c r="U41" s="265">
        <f t="shared" si="11"/>
        <v>2680</v>
      </c>
      <c r="V41" s="265">
        <f t="shared" si="11"/>
        <v>3230</v>
      </c>
      <c r="W41" s="265">
        <f t="shared" si="11"/>
        <v>4900</v>
      </c>
      <c r="X41" s="265">
        <f t="shared" si="11"/>
        <v>8970</v>
      </c>
      <c r="Y41" s="265">
        <f t="shared" si="11"/>
        <v>12800</v>
      </c>
      <c r="Z41" s="265">
        <f t="shared" si="11"/>
        <v>16400</v>
      </c>
      <c r="AA41" s="265">
        <f t="shared" si="11"/>
        <v>20000</v>
      </c>
      <c r="AB41" s="265">
        <f t="shared" si="11"/>
        <v>28500</v>
      </c>
      <c r="AC41" s="265">
        <f t="shared" si="11"/>
        <v>36600</v>
      </c>
      <c r="AD41" s="265">
        <f t="shared" si="11"/>
        <v>52100</v>
      </c>
      <c r="AE41" s="265">
        <f t="shared" si="11"/>
        <v>67000</v>
      </c>
      <c r="AI41" s="264">
        <v>8</v>
      </c>
      <c r="AJ41" s="265">
        <f t="shared" ref="AJ41:AV50" si="12">sigfig(Cpmccoy($AI41,AJ$40,$AJ$4,$AJ$38,$AJ$5),$AJ$3)*0.001</f>
        <v>567</v>
      </c>
      <c r="AK41" s="265">
        <f t="shared" si="12"/>
        <v>1290</v>
      </c>
      <c r="AL41" s="265">
        <f t="shared" si="12"/>
        <v>2420</v>
      </c>
      <c r="AM41" s="265">
        <f t="shared" si="12"/>
        <v>2940</v>
      </c>
      <c r="AN41" s="265">
        <f t="shared" si="12"/>
        <v>4510</v>
      </c>
      <c r="AO41" s="265">
        <f t="shared" si="12"/>
        <v>8420</v>
      </c>
      <c r="AP41" s="265">
        <f t="shared" si="12"/>
        <v>12100</v>
      </c>
      <c r="AQ41" s="265">
        <f t="shared" si="12"/>
        <v>15700</v>
      </c>
      <c r="AR41" s="265">
        <f t="shared" si="12"/>
        <v>19200</v>
      </c>
      <c r="AS41" s="265">
        <f t="shared" si="12"/>
        <v>27700</v>
      </c>
      <c r="AT41" s="265">
        <f t="shared" si="12"/>
        <v>35900</v>
      </c>
      <c r="AU41" s="265">
        <f t="shared" si="12"/>
        <v>51700</v>
      </c>
      <c r="AV41" s="265">
        <f t="shared" si="12"/>
        <v>67100</v>
      </c>
    </row>
    <row r="42" spans="1:50" x14ac:dyDescent="0.4">
      <c r="A42" s="266">
        <v>10</v>
      </c>
      <c r="B42" s="267">
        <f t="shared" si="10"/>
        <v>1420</v>
      </c>
      <c r="C42" s="267">
        <f t="shared" si="10"/>
        <v>3430</v>
      </c>
      <c r="D42" s="267">
        <f t="shared" si="10"/>
        <v>6800</v>
      </c>
      <c r="E42" s="267">
        <f t="shared" si="10"/>
        <v>8420</v>
      </c>
      <c r="F42" s="267">
        <f t="shared" si="10"/>
        <v>13500</v>
      </c>
      <c r="G42" s="267">
        <f t="shared" si="10"/>
        <v>27000</v>
      </c>
      <c r="H42" s="267">
        <f t="shared" si="10"/>
        <v>40400</v>
      </c>
      <c r="I42" s="267">
        <f t="shared" si="10"/>
        <v>53900</v>
      </c>
      <c r="J42" s="267">
        <f t="shared" si="10"/>
        <v>67300</v>
      </c>
      <c r="K42" s="267">
        <f t="shared" si="10"/>
        <v>101000</v>
      </c>
      <c r="L42" s="267">
        <f t="shared" si="10"/>
        <v>135000</v>
      </c>
      <c r="M42" s="267">
        <f t="shared" si="10"/>
        <v>202000</v>
      </c>
      <c r="N42" s="267">
        <f t="shared" si="10"/>
        <v>269000</v>
      </c>
      <c r="R42" s="266">
        <v>10</v>
      </c>
      <c r="S42" s="267">
        <f t="shared" si="11"/>
        <v>911</v>
      </c>
      <c r="T42" s="267">
        <f t="shared" si="11"/>
        <v>2030</v>
      </c>
      <c r="U42" s="267">
        <f t="shared" si="11"/>
        <v>3710</v>
      </c>
      <c r="V42" s="267">
        <f t="shared" si="11"/>
        <v>4490</v>
      </c>
      <c r="W42" s="267">
        <f t="shared" si="11"/>
        <v>6800</v>
      </c>
      <c r="X42" s="267">
        <f t="shared" si="11"/>
        <v>12500</v>
      </c>
      <c r="Y42" s="267">
        <f t="shared" si="11"/>
        <v>17700</v>
      </c>
      <c r="Z42" s="267">
        <f t="shared" si="11"/>
        <v>22800</v>
      </c>
      <c r="AA42" s="267">
        <f t="shared" si="11"/>
        <v>27700</v>
      </c>
      <c r="AB42" s="267">
        <f t="shared" si="11"/>
        <v>39500</v>
      </c>
      <c r="AC42" s="267">
        <f t="shared" si="11"/>
        <v>50700</v>
      </c>
      <c r="AD42" s="267">
        <f t="shared" si="11"/>
        <v>72300</v>
      </c>
      <c r="AE42" s="267">
        <f t="shared" si="11"/>
        <v>92900</v>
      </c>
      <c r="AI42" s="266">
        <v>10</v>
      </c>
      <c r="AJ42" s="267">
        <f t="shared" si="12"/>
        <v>808</v>
      </c>
      <c r="AK42" s="267">
        <f t="shared" si="12"/>
        <v>1840</v>
      </c>
      <c r="AL42" s="267">
        <f t="shared" si="12"/>
        <v>3440</v>
      </c>
      <c r="AM42" s="267">
        <f t="shared" si="12"/>
        <v>4190</v>
      </c>
      <c r="AN42" s="267">
        <f t="shared" si="12"/>
        <v>6430</v>
      </c>
      <c r="AO42" s="267">
        <f t="shared" si="12"/>
        <v>12000</v>
      </c>
      <c r="AP42" s="267">
        <f t="shared" si="12"/>
        <v>17300</v>
      </c>
      <c r="AQ42" s="267">
        <f t="shared" si="12"/>
        <v>22400</v>
      </c>
      <c r="AR42" s="267">
        <f t="shared" si="12"/>
        <v>27400</v>
      </c>
      <c r="AS42" s="267">
        <f t="shared" si="12"/>
        <v>39500</v>
      </c>
      <c r="AT42" s="267">
        <f t="shared" si="12"/>
        <v>51200</v>
      </c>
      <c r="AU42" s="267">
        <f t="shared" si="12"/>
        <v>73800</v>
      </c>
      <c r="AV42" s="267">
        <f t="shared" si="12"/>
        <v>95600</v>
      </c>
    </row>
    <row r="43" spans="1:50" x14ac:dyDescent="0.4">
      <c r="A43" s="266">
        <v>12</v>
      </c>
      <c r="B43" s="267">
        <f t="shared" si="10"/>
        <v>1740</v>
      </c>
      <c r="C43" s="267">
        <f t="shared" si="10"/>
        <v>4230</v>
      </c>
      <c r="D43" s="267">
        <f t="shared" si="10"/>
        <v>8400</v>
      </c>
      <c r="E43" s="267">
        <f t="shared" si="10"/>
        <v>10400</v>
      </c>
      <c r="F43" s="267">
        <f t="shared" si="10"/>
        <v>16700</v>
      </c>
      <c r="G43" s="267">
        <f t="shared" si="10"/>
        <v>33400</v>
      </c>
      <c r="H43" s="267">
        <f t="shared" si="10"/>
        <v>50000</v>
      </c>
      <c r="I43" s="267">
        <f t="shared" si="10"/>
        <v>66700</v>
      </c>
      <c r="J43" s="267">
        <f t="shared" si="10"/>
        <v>83300</v>
      </c>
      <c r="K43" s="267">
        <f t="shared" si="10"/>
        <v>125000</v>
      </c>
      <c r="L43" s="267">
        <f t="shared" si="10"/>
        <v>167000</v>
      </c>
      <c r="M43" s="267">
        <f t="shared" si="10"/>
        <v>250000</v>
      </c>
      <c r="N43" s="267">
        <f t="shared" si="10"/>
        <v>333000</v>
      </c>
      <c r="R43" s="266">
        <v>12</v>
      </c>
      <c r="S43" s="267">
        <f t="shared" si="11"/>
        <v>1190</v>
      </c>
      <c r="T43" s="267">
        <f t="shared" si="11"/>
        <v>2650</v>
      </c>
      <c r="U43" s="267">
        <f t="shared" si="11"/>
        <v>4850</v>
      </c>
      <c r="V43" s="267">
        <f t="shared" si="11"/>
        <v>5860</v>
      </c>
      <c r="W43" s="267">
        <f t="shared" si="11"/>
        <v>8890</v>
      </c>
      <c r="X43" s="267">
        <f t="shared" si="11"/>
        <v>16300</v>
      </c>
      <c r="Y43" s="267">
        <f t="shared" si="11"/>
        <v>23200</v>
      </c>
      <c r="Z43" s="267">
        <f t="shared" si="11"/>
        <v>29800</v>
      </c>
      <c r="AA43" s="267">
        <f t="shared" si="11"/>
        <v>36200</v>
      </c>
      <c r="AB43" s="267">
        <f t="shared" si="11"/>
        <v>51600</v>
      </c>
      <c r="AC43" s="267">
        <f t="shared" si="11"/>
        <v>66300</v>
      </c>
      <c r="AD43" s="267">
        <f t="shared" si="11"/>
        <v>94500</v>
      </c>
      <c r="AE43" s="267">
        <f t="shared" si="11"/>
        <v>121000</v>
      </c>
      <c r="AI43" s="266">
        <v>12</v>
      </c>
      <c r="AJ43" s="267">
        <f t="shared" si="12"/>
        <v>1080</v>
      </c>
      <c r="AK43" s="267">
        <f t="shared" si="12"/>
        <v>2460</v>
      </c>
      <c r="AL43" s="267">
        <f t="shared" si="12"/>
        <v>4600</v>
      </c>
      <c r="AM43" s="267">
        <f t="shared" si="12"/>
        <v>5590</v>
      </c>
      <c r="AN43" s="267">
        <f t="shared" si="12"/>
        <v>8590</v>
      </c>
      <c r="AO43" s="267">
        <f t="shared" si="12"/>
        <v>16000</v>
      </c>
      <c r="AP43" s="267">
        <f t="shared" si="12"/>
        <v>23100</v>
      </c>
      <c r="AQ43" s="267">
        <f t="shared" si="12"/>
        <v>30000</v>
      </c>
      <c r="AR43" s="267">
        <f t="shared" si="12"/>
        <v>36600</v>
      </c>
      <c r="AS43" s="267">
        <f t="shared" si="12"/>
        <v>52800</v>
      </c>
      <c r="AT43" s="267">
        <f t="shared" si="12"/>
        <v>68400</v>
      </c>
      <c r="AU43" s="267">
        <f t="shared" si="12"/>
        <v>98600</v>
      </c>
      <c r="AV43" s="267">
        <f t="shared" si="12"/>
        <v>128000</v>
      </c>
    </row>
    <row r="44" spans="1:50" x14ac:dyDescent="0.4">
      <c r="A44" s="266">
        <v>16</v>
      </c>
      <c r="B44" s="267">
        <f t="shared" si="10"/>
        <v>2540</v>
      </c>
      <c r="C44" s="267">
        <f t="shared" si="10"/>
        <v>6230</v>
      </c>
      <c r="D44" s="267">
        <f t="shared" si="10"/>
        <v>12400</v>
      </c>
      <c r="E44" s="267">
        <f t="shared" si="10"/>
        <v>15400</v>
      </c>
      <c r="F44" s="267">
        <f t="shared" si="10"/>
        <v>24700</v>
      </c>
      <c r="G44" s="267">
        <f t="shared" si="10"/>
        <v>49400</v>
      </c>
      <c r="H44" s="267">
        <f t="shared" si="10"/>
        <v>74000</v>
      </c>
      <c r="I44" s="267">
        <f t="shared" si="10"/>
        <v>98700</v>
      </c>
      <c r="J44" s="267">
        <f t="shared" si="10"/>
        <v>123000</v>
      </c>
      <c r="K44" s="267">
        <f t="shared" si="10"/>
        <v>185000</v>
      </c>
      <c r="L44" s="267">
        <f t="shared" si="10"/>
        <v>247000</v>
      </c>
      <c r="M44" s="267">
        <f t="shared" si="10"/>
        <v>370000</v>
      </c>
      <c r="N44" s="267">
        <f t="shared" si="10"/>
        <v>493000</v>
      </c>
      <c r="R44" s="266">
        <v>16</v>
      </c>
      <c r="S44" s="267">
        <f t="shared" si="11"/>
        <v>1820</v>
      </c>
      <c r="T44" s="267">
        <f t="shared" si="11"/>
        <v>4040</v>
      </c>
      <c r="U44" s="267">
        <f t="shared" si="11"/>
        <v>7400</v>
      </c>
      <c r="V44" s="267">
        <f t="shared" si="11"/>
        <v>8940</v>
      </c>
      <c r="W44" s="267">
        <f t="shared" si="11"/>
        <v>13600</v>
      </c>
      <c r="X44" s="267">
        <f t="shared" si="11"/>
        <v>24800</v>
      </c>
      <c r="Y44" s="267">
        <f t="shared" si="11"/>
        <v>35400</v>
      </c>
      <c r="Z44" s="267">
        <f t="shared" si="11"/>
        <v>45500</v>
      </c>
      <c r="AA44" s="267">
        <f t="shared" si="11"/>
        <v>55200</v>
      </c>
      <c r="AB44" s="267">
        <f t="shared" si="11"/>
        <v>78700</v>
      </c>
      <c r="AC44" s="267">
        <f t="shared" si="11"/>
        <v>101000</v>
      </c>
      <c r="AD44" s="267">
        <f t="shared" si="11"/>
        <v>144000</v>
      </c>
      <c r="AE44" s="267">
        <f t="shared" si="11"/>
        <v>185000</v>
      </c>
      <c r="AI44" s="266">
        <v>16</v>
      </c>
      <c r="AJ44" s="267">
        <f t="shared" si="12"/>
        <v>1710</v>
      </c>
      <c r="AK44" s="267">
        <f t="shared" si="12"/>
        <v>3890</v>
      </c>
      <c r="AL44" s="267">
        <f t="shared" si="12"/>
        <v>7270</v>
      </c>
      <c r="AM44" s="267">
        <f t="shared" si="12"/>
        <v>8840</v>
      </c>
      <c r="AN44" s="267">
        <f t="shared" si="12"/>
        <v>13600</v>
      </c>
      <c r="AO44" s="267">
        <f t="shared" si="12"/>
        <v>25400</v>
      </c>
      <c r="AP44" s="267">
        <f t="shared" si="12"/>
        <v>36500</v>
      </c>
      <c r="AQ44" s="267">
        <f t="shared" si="12"/>
        <v>47300</v>
      </c>
      <c r="AR44" s="267">
        <f t="shared" si="12"/>
        <v>57900</v>
      </c>
      <c r="AS44" s="267">
        <f t="shared" si="12"/>
        <v>83400</v>
      </c>
      <c r="AT44" s="267">
        <f t="shared" si="12"/>
        <v>108000</v>
      </c>
      <c r="AU44" s="267">
        <f t="shared" si="12"/>
        <v>156000</v>
      </c>
      <c r="AV44" s="267">
        <f t="shared" si="12"/>
        <v>202000</v>
      </c>
    </row>
    <row r="45" spans="1:50" x14ac:dyDescent="0.4">
      <c r="A45" s="266">
        <v>20</v>
      </c>
      <c r="B45" s="267">
        <f t="shared" si="10"/>
        <v>3550</v>
      </c>
      <c r="C45" s="267">
        <f t="shared" si="10"/>
        <v>8770</v>
      </c>
      <c r="D45" s="267">
        <f t="shared" si="10"/>
        <v>17500</v>
      </c>
      <c r="E45" s="267">
        <f t="shared" si="10"/>
        <v>21700</v>
      </c>
      <c r="F45" s="267">
        <f t="shared" si="10"/>
        <v>34800</v>
      </c>
      <c r="G45" s="267">
        <f t="shared" si="10"/>
        <v>69600</v>
      </c>
      <c r="H45" s="267">
        <f t="shared" si="10"/>
        <v>104000</v>
      </c>
      <c r="I45" s="267">
        <f t="shared" si="10"/>
        <v>139000</v>
      </c>
      <c r="J45" s="267">
        <f t="shared" si="10"/>
        <v>174000</v>
      </c>
      <c r="K45" s="267">
        <f t="shared" si="10"/>
        <v>261000</v>
      </c>
      <c r="L45" s="267">
        <f t="shared" si="10"/>
        <v>348000</v>
      </c>
      <c r="M45" s="267">
        <f t="shared" si="10"/>
        <v>522000</v>
      </c>
      <c r="N45" s="267">
        <f t="shared" si="10"/>
        <v>696000</v>
      </c>
      <c r="R45" s="266">
        <v>20</v>
      </c>
      <c r="S45" s="267">
        <f t="shared" si="11"/>
        <v>2520</v>
      </c>
      <c r="T45" s="267">
        <f t="shared" si="11"/>
        <v>5610</v>
      </c>
      <c r="U45" s="267">
        <f t="shared" si="11"/>
        <v>10300</v>
      </c>
      <c r="V45" s="267">
        <f t="shared" si="11"/>
        <v>12400</v>
      </c>
      <c r="W45" s="267">
        <f t="shared" si="11"/>
        <v>18800</v>
      </c>
      <c r="X45" s="267">
        <f t="shared" si="11"/>
        <v>34400</v>
      </c>
      <c r="Y45" s="267">
        <f t="shared" si="11"/>
        <v>49100</v>
      </c>
      <c r="Z45" s="267">
        <f t="shared" si="11"/>
        <v>63100</v>
      </c>
      <c r="AA45" s="267">
        <f t="shared" si="11"/>
        <v>76700</v>
      </c>
      <c r="AB45" s="267">
        <f t="shared" si="11"/>
        <v>109000</v>
      </c>
      <c r="AC45" s="267">
        <f t="shared" si="11"/>
        <v>140000</v>
      </c>
      <c r="AD45" s="267">
        <f t="shared" si="11"/>
        <v>200000</v>
      </c>
      <c r="AE45" s="267">
        <f t="shared" si="11"/>
        <v>257000</v>
      </c>
      <c r="AI45" s="266">
        <v>20</v>
      </c>
      <c r="AJ45" s="267">
        <f t="shared" si="12"/>
        <v>2430</v>
      </c>
      <c r="AK45" s="267">
        <f t="shared" si="12"/>
        <v>5550</v>
      </c>
      <c r="AL45" s="267">
        <f t="shared" si="12"/>
        <v>10400</v>
      </c>
      <c r="AM45" s="267">
        <f t="shared" si="12"/>
        <v>12600</v>
      </c>
      <c r="AN45" s="267">
        <f t="shared" si="12"/>
        <v>19400</v>
      </c>
      <c r="AO45" s="267">
        <f t="shared" si="12"/>
        <v>36200</v>
      </c>
      <c r="AP45" s="267">
        <f t="shared" si="12"/>
        <v>52100</v>
      </c>
      <c r="AQ45" s="267">
        <f t="shared" si="12"/>
        <v>67500</v>
      </c>
      <c r="AR45" s="267">
        <f t="shared" si="12"/>
        <v>82500</v>
      </c>
      <c r="AS45" s="267">
        <f t="shared" si="12"/>
        <v>119000</v>
      </c>
      <c r="AT45" s="267">
        <f t="shared" si="12"/>
        <v>154000</v>
      </c>
      <c r="AU45" s="267">
        <f t="shared" si="12"/>
        <v>222000</v>
      </c>
      <c r="AV45" s="267">
        <f t="shared" si="12"/>
        <v>288000</v>
      </c>
    </row>
    <row r="46" spans="1:50" x14ac:dyDescent="0.4">
      <c r="A46" s="266">
        <v>24</v>
      </c>
      <c r="B46" s="267">
        <f t="shared" si="10"/>
        <v>4770</v>
      </c>
      <c r="C46" s="267">
        <f t="shared" si="10"/>
        <v>11800</v>
      </c>
      <c r="D46" s="267">
        <f t="shared" si="10"/>
        <v>23600</v>
      </c>
      <c r="E46" s="267">
        <f t="shared" si="10"/>
        <v>29300</v>
      </c>
      <c r="F46" s="267">
        <f t="shared" si="10"/>
        <v>47100</v>
      </c>
      <c r="G46" s="267">
        <f t="shared" si="10"/>
        <v>94100</v>
      </c>
      <c r="H46" s="267">
        <f t="shared" si="10"/>
        <v>141000</v>
      </c>
      <c r="I46" s="267">
        <f t="shared" si="10"/>
        <v>188000</v>
      </c>
      <c r="J46" s="267">
        <f t="shared" si="10"/>
        <v>235000</v>
      </c>
      <c r="K46" s="267">
        <f t="shared" si="10"/>
        <v>353000</v>
      </c>
      <c r="L46" s="267">
        <f t="shared" si="10"/>
        <v>470000</v>
      </c>
      <c r="M46" s="267">
        <f t="shared" si="10"/>
        <v>706000</v>
      </c>
      <c r="N46" s="267">
        <f t="shared" si="10"/>
        <v>941000</v>
      </c>
      <c r="R46" s="266">
        <v>24</v>
      </c>
      <c r="S46" s="267">
        <f t="shared" si="11"/>
        <v>3290</v>
      </c>
      <c r="T46" s="267">
        <f t="shared" si="11"/>
        <v>7330</v>
      </c>
      <c r="U46" s="267">
        <f t="shared" si="11"/>
        <v>13400</v>
      </c>
      <c r="V46" s="267">
        <f t="shared" si="11"/>
        <v>16200</v>
      </c>
      <c r="W46" s="267">
        <f t="shared" si="11"/>
        <v>24600</v>
      </c>
      <c r="X46" s="267">
        <f t="shared" si="11"/>
        <v>45000</v>
      </c>
      <c r="Y46" s="267">
        <f t="shared" si="11"/>
        <v>64100</v>
      </c>
      <c r="Z46" s="267">
        <f t="shared" si="11"/>
        <v>82400</v>
      </c>
      <c r="AA46" s="267">
        <f t="shared" si="11"/>
        <v>100000</v>
      </c>
      <c r="AB46" s="267">
        <f t="shared" si="11"/>
        <v>143000</v>
      </c>
      <c r="AC46" s="267">
        <f t="shared" si="11"/>
        <v>183000</v>
      </c>
      <c r="AD46" s="267">
        <f t="shared" si="11"/>
        <v>261000</v>
      </c>
      <c r="AE46" s="267">
        <f t="shared" si="11"/>
        <v>336000</v>
      </c>
      <c r="AI46" s="266">
        <v>24</v>
      </c>
      <c r="AJ46" s="267">
        <f t="shared" si="12"/>
        <v>3250</v>
      </c>
      <c r="AK46" s="267">
        <f t="shared" si="12"/>
        <v>7420</v>
      </c>
      <c r="AL46" s="267">
        <f t="shared" si="12"/>
        <v>13900</v>
      </c>
      <c r="AM46" s="267">
        <f t="shared" si="12"/>
        <v>16800</v>
      </c>
      <c r="AN46" s="267">
        <f t="shared" si="12"/>
        <v>25900</v>
      </c>
      <c r="AO46" s="267">
        <f t="shared" si="12"/>
        <v>48300</v>
      </c>
      <c r="AP46" s="267">
        <f t="shared" si="12"/>
        <v>69600</v>
      </c>
      <c r="AQ46" s="267">
        <f t="shared" si="12"/>
        <v>90200</v>
      </c>
      <c r="AR46" s="267">
        <f t="shared" si="12"/>
        <v>110000</v>
      </c>
      <c r="AS46" s="267">
        <f t="shared" si="12"/>
        <v>159000</v>
      </c>
      <c r="AT46" s="267">
        <f t="shared" si="12"/>
        <v>206000</v>
      </c>
      <c r="AU46" s="267">
        <f t="shared" si="12"/>
        <v>297000</v>
      </c>
      <c r="AV46" s="267">
        <f t="shared" si="12"/>
        <v>385000</v>
      </c>
    </row>
    <row r="47" spans="1:50" x14ac:dyDescent="0.4">
      <c r="A47" s="266">
        <v>30</v>
      </c>
      <c r="B47" s="267">
        <f t="shared" si="10"/>
        <v>7010</v>
      </c>
      <c r="C47" s="267">
        <f t="shared" si="10"/>
        <v>17400</v>
      </c>
      <c r="D47" s="267">
        <f t="shared" si="10"/>
        <v>34800</v>
      </c>
      <c r="E47" s="267">
        <f t="shared" si="10"/>
        <v>43200</v>
      </c>
      <c r="F47" s="267">
        <f t="shared" si="10"/>
        <v>69500</v>
      </c>
      <c r="G47" s="267">
        <f t="shared" si="10"/>
        <v>139000</v>
      </c>
      <c r="H47" s="267">
        <f t="shared" si="10"/>
        <v>208000</v>
      </c>
      <c r="I47" s="267">
        <f t="shared" si="10"/>
        <v>278000</v>
      </c>
      <c r="J47" s="267">
        <f t="shared" si="10"/>
        <v>347000</v>
      </c>
      <c r="K47" s="267">
        <f t="shared" si="10"/>
        <v>521000</v>
      </c>
      <c r="L47" s="267">
        <f t="shared" si="10"/>
        <v>694000</v>
      </c>
      <c r="M47" s="267">
        <f t="shared" si="10"/>
        <v>1040000</v>
      </c>
      <c r="N47" s="267">
        <f t="shared" si="10"/>
        <v>1390000</v>
      </c>
      <c r="R47" s="266">
        <v>30</v>
      </c>
      <c r="S47" s="267">
        <f t="shared" si="11"/>
        <v>4570</v>
      </c>
      <c r="T47" s="267">
        <f t="shared" si="11"/>
        <v>10200</v>
      </c>
      <c r="U47" s="267">
        <f t="shared" si="11"/>
        <v>18600</v>
      </c>
      <c r="V47" s="267">
        <f t="shared" si="11"/>
        <v>22500</v>
      </c>
      <c r="W47" s="267">
        <f t="shared" si="11"/>
        <v>34100</v>
      </c>
      <c r="X47" s="267">
        <f t="shared" si="11"/>
        <v>62500</v>
      </c>
      <c r="Y47" s="267">
        <f t="shared" si="11"/>
        <v>89000</v>
      </c>
      <c r="Z47" s="267">
        <f t="shared" si="11"/>
        <v>114000</v>
      </c>
      <c r="AA47" s="267">
        <f t="shared" si="11"/>
        <v>139000</v>
      </c>
      <c r="AB47" s="267">
        <f t="shared" si="11"/>
        <v>198000</v>
      </c>
      <c r="AC47" s="267">
        <f t="shared" si="11"/>
        <v>255000</v>
      </c>
      <c r="AD47" s="267">
        <f t="shared" si="11"/>
        <v>363000</v>
      </c>
      <c r="AE47" s="267">
        <f t="shared" si="11"/>
        <v>466000</v>
      </c>
      <c r="AI47" s="266">
        <v>30</v>
      </c>
      <c r="AJ47" s="267">
        <f t="shared" si="12"/>
        <v>4630</v>
      </c>
      <c r="AK47" s="267">
        <f t="shared" si="12"/>
        <v>10600</v>
      </c>
      <c r="AL47" s="267">
        <f t="shared" si="12"/>
        <v>19800</v>
      </c>
      <c r="AM47" s="267">
        <f t="shared" si="12"/>
        <v>24000</v>
      </c>
      <c r="AN47" s="267">
        <f t="shared" si="12"/>
        <v>36900</v>
      </c>
      <c r="AO47" s="267">
        <f t="shared" si="12"/>
        <v>68900</v>
      </c>
      <c r="AP47" s="267">
        <f t="shared" si="12"/>
        <v>99300</v>
      </c>
      <c r="AQ47" s="267">
        <f t="shared" si="12"/>
        <v>129000</v>
      </c>
      <c r="AR47" s="267">
        <f t="shared" si="12"/>
        <v>157000</v>
      </c>
      <c r="AS47" s="267">
        <f t="shared" si="12"/>
        <v>227000</v>
      </c>
      <c r="AT47" s="267">
        <f t="shared" si="12"/>
        <v>294000</v>
      </c>
      <c r="AU47" s="267">
        <f t="shared" si="12"/>
        <v>423000</v>
      </c>
      <c r="AV47" s="267">
        <f t="shared" si="12"/>
        <v>548000</v>
      </c>
    </row>
    <row r="48" spans="1:50" x14ac:dyDescent="0.4">
      <c r="A48" s="266">
        <v>36</v>
      </c>
      <c r="B48" s="267">
        <f t="shared" si="10"/>
        <v>9730</v>
      </c>
      <c r="C48" s="267">
        <f t="shared" si="10"/>
        <v>24200</v>
      </c>
      <c r="D48" s="267">
        <f t="shared" si="10"/>
        <v>48300</v>
      </c>
      <c r="E48" s="267">
        <f t="shared" si="10"/>
        <v>60000</v>
      </c>
      <c r="F48" s="267">
        <f t="shared" si="10"/>
        <v>96600</v>
      </c>
      <c r="G48" s="267">
        <f t="shared" si="10"/>
        <v>193000</v>
      </c>
      <c r="H48" s="267">
        <f t="shared" si="10"/>
        <v>290000</v>
      </c>
      <c r="I48" s="267">
        <f t="shared" si="10"/>
        <v>386000</v>
      </c>
      <c r="J48" s="267">
        <f t="shared" si="10"/>
        <v>483000</v>
      </c>
      <c r="K48" s="267">
        <f t="shared" si="10"/>
        <v>724000</v>
      </c>
      <c r="L48" s="267">
        <f t="shared" si="10"/>
        <v>966000</v>
      </c>
      <c r="M48" s="267">
        <f t="shared" si="10"/>
        <v>1450000</v>
      </c>
      <c r="N48" s="267">
        <f t="shared" si="10"/>
        <v>1930000</v>
      </c>
      <c r="R48" s="266">
        <v>36</v>
      </c>
      <c r="S48" s="267">
        <f t="shared" si="11"/>
        <v>5970</v>
      </c>
      <c r="T48" s="267">
        <f t="shared" si="11"/>
        <v>13300</v>
      </c>
      <c r="U48" s="267">
        <f t="shared" si="11"/>
        <v>24300</v>
      </c>
      <c r="V48" s="267">
        <f t="shared" si="11"/>
        <v>29400</v>
      </c>
      <c r="W48" s="267">
        <f t="shared" si="11"/>
        <v>44600</v>
      </c>
      <c r="X48" s="267">
        <f t="shared" si="11"/>
        <v>81600</v>
      </c>
      <c r="Y48" s="267">
        <f t="shared" si="11"/>
        <v>116000</v>
      </c>
      <c r="Z48" s="267">
        <f t="shared" si="11"/>
        <v>150000</v>
      </c>
      <c r="AA48" s="267">
        <f t="shared" si="11"/>
        <v>182000</v>
      </c>
      <c r="AB48" s="267">
        <f t="shared" si="11"/>
        <v>259000</v>
      </c>
      <c r="AC48" s="267">
        <f t="shared" si="11"/>
        <v>333000</v>
      </c>
      <c r="AD48" s="267">
        <f t="shared" si="11"/>
        <v>474000</v>
      </c>
      <c r="AE48" s="267">
        <f t="shared" si="11"/>
        <v>609000</v>
      </c>
      <c r="AI48" s="266">
        <v>36</v>
      </c>
      <c r="AJ48" s="267">
        <f t="shared" si="12"/>
        <v>6190</v>
      </c>
      <c r="AK48" s="267">
        <f t="shared" si="12"/>
        <v>14100</v>
      </c>
      <c r="AL48" s="267">
        <f t="shared" si="12"/>
        <v>26400</v>
      </c>
      <c r="AM48" s="267">
        <f t="shared" si="12"/>
        <v>32100</v>
      </c>
      <c r="AN48" s="267">
        <f t="shared" si="12"/>
        <v>49300</v>
      </c>
      <c r="AO48" s="267">
        <f t="shared" si="12"/>
        <v>92100</v>
      </c>
      <c r="AP48" s="267">
        <f t="shared" si="12"/>
        <v>133000</v>
      </c>
      <c r="AQ48" s="267">
        <f t="shared" si="12"/>
        <v>172000</v>
      </c>
      <c r="AR48" s="267">
        <f t="shared" si="12"/>
        <v>210000</v>
      </c>
      <c r="AS48" s="267">
        <f t="shared" si="12"/>
        <v>303000</v>
      </c>
      <c r="AT48" s="267">
        <f t="shared" si="12"/>
        <v>392000</v>
      </c>
      <c r="AU48" s="267">
        <f t="shared" si="12"/>
        <v>566000</v>
      </c>
      <c r="AV48" s="267">
        <f t="shared" si="12"/>
        <v>733000</v>
      </c>
    </row>
    <row r="49" spans="1:48" x14ac:dyDescent="0.4">
      <c r="A49" s="266">
        <v>42</v>
      </c>
      <c r="B49" s="267">
        <f t="shared" si="10"/>
        <v>12900</v>
      </c>
      <c r="C49" s="267">
        <f t="shared" si="10"/>
        <v>32200</v>
      </c>
      <c r="D49" s="267">
        <f t="shared" si="10"/>
        <v>64300</v>
      </c>
      <c r="E49" s="267">
        <f t="shared" si="10"/>
        <v>79900</v>
      </c>
      <c r="F49" s="267">
        <f t="shared" si="10"/>
        <v>129000</v>
      </c>
      <c r="G49" s="267">
        <f t="shared" si="10"/>
        <v>257000</v>
      </c>
      <c r="H49" s="267">
        <f t="shared" si="10"/>
        <v>386000</v>
      </c>
      <c r="I49" s="267">
        <f t="shared" si="10"/>
        <v>514000</v>
      </c>
      <c r="J49" s="267">
        <f t="shared" si="10"/>
        <v>643000</v>
      </c>
      <c r="K49" s="267">
        <f t="shared" si="10"/>
        <v>964000</v>
      </c>
      <c r="L49" s="267">
        <f t="shared" si="10"/>
        <v>1290000</v>
      </c>
      <c r="M49" s="267">
        <f t="shared" si="10"/>
        <v>1930000</v>
      </c>
      <c r="N49" s="267">
        <f t="shared" si="10"/>
        <v>2570000</v>
      </c>
      <c r="R49" s="266">
        <v>42</v>
      </c>
      <c r="S49" s="267">
        <f t="shared" si="11"/>
        <v>7490</v>
      </c>
      <c r="T49" s="267">
        <f t="shared" si="11"/>
        <v>16700</v>
      </c>
      <c r="U49" s="267">
        <f t="shared" si="11"/>
        <v>30500</v>
      </c>
      <c r="V49" s="267">
        <f t="shared" si="11"/>
        <v>36900</v>
      </c>
      <c r="W49" s="267">
        <f t="shared" si="11"/>
        <v>55900</v>
      </c>
      <c r="X49" s="267">
        <f t="shared" si="11"/>
        <v>102000</v>
      </c>
      <c r="Y49" s="267">
        <f t="shared" si="11"/>
        <v>146000</v>
      </c>
      <c r="Z49" s="267">
        <f t="shared" si="11"/>
        <v>187000</v>
      </c>
      <c r="AA49" s="267">
        <f t="shared" si="11"/>
        <v>228000</v>
      </c>
      <c r="AB49" s="267">
        <f t="shared" si="11"/>
        <v>325000</v>
      </c>
      <c r="AC49" s="267">
        <f t="shared" si="11"/>
        <v>417000</v>
      </c>
      <c r="AD49" s="267">
        <f t="shared" si="11"/>
        <v>594000</v>
      </c>
      <c r="AE49" s="267">
        <f t="shared" si="11"/>
        <v>764000</v>
      </c>
      <c r="AI49" s="266">
        <v>42</v>
      </c>
      <c r="AJ49" s="267">
        <f t="shared" si="12"/>
        <v>7910</v>
      </c>
      <c r="AK49" s="267">
        <f t="shared" si="12"/>
        <v>18100</v>
      </c>
      <c r="AL49" s="267">
        <f t="shared" si="12"/>
        <v>33700</v>
      </c>
      <c r="AM49" s="267">
        <f t="shared" si="12"/>
        <v>41000</v>
      </c>
      <c r="AN49" s="267">
        <f t="shared" si="12"/>
        <v>63000</v>
      </c>
      <c r="AO49" s="267">
        <f t="shared" si="12"/>
        <v>118000</v>
      </c>
      <c r="AP49" s="267">
        <f t="shared" si="12"/>
        <v>169000</v>
      </c>
      <c r="AQ49" s="267">
        <f t="shared" si="12"/>
        <v>220000</v>
      </c>
      <c r="AR49" s="267">
        <f t="shared" si="12"/>
        <v>269000</v>
      </c>
      <c r="AS49" s="267">
        <f t="shared" si="12"/>
        <v>387000</v>
      </c>
      <c r="AT49" s="267">
        <f t="shared" si="12"/>
        <v>501000</v>
      </c>
      <c r="AU49" s="267">
        <f t="shared" si="12"/>
        <v>723000</v>
      </c>
      <c r="AV49" s="267">
        <f t="shared" si="12"/>
        <v>936000</v>
      </c>
    </row>
    <row r="50" spans="1:48" x14ac:dyDescent="0.4">
      <c r="A50" s="268">
        <v>48</v>
      </c>
      <c r="B50" s="269">
        <f t="shared" si="10"/>
        <v>16600</v>
      </c>
      <c r="C50" s="269">
        <f t="shared" si="10"/>
        <v>41400</v>
      </c>
      <c r="D50" s="269">
        <f t="shared" si="10"/>
        <v>82700</v>
      </c>
      <c r="E50" s="269">
        <f t="shared" si="10"/>
        <v>103000</v>
      </c>
      <c r="F50" s="269">
        <f t="shared" si="10"/>
        <v>165000</v>
      </c>
      <c r="G50" s="269">
        <f t="shared" si="10"/>
        <v>331000</v>
      </c>
      <c r="H50" s="269">
        <f t="shared" si="10"/>
        <v>496000</v>
      </c>
      <c r="I50" s="269">
        <f t="shared" si="10"/>
        <v>661000</v>
      </c>
      <c r="J50" s="269">
        <f t="shared" si="10"/>
        <v>826000</v>
      </c>
      <c r="K50" s="269">
        <f t="shared" si="10"/>
        <v>1240000</v>
      </c>
      <c r="L50" s="269">
        <f t="shared" si="10"/>
        <v>1650000</v>
      </c>
      <c r="M50" s="269">
        <f t="shared" si="10"/>
        <v>2480000</v>
      </c>
      <c r="N50" s="269">
        <f t="shared" si="10"/>
        <v>3300000</v>
      </c>
      <c r="R50" s="268">
        <v>48</v>
      </c>
      <c r="S50" s="269">
        <f t="shared" si="11"/>
        <v>9110</v>
      </c>
      <c r="T50" s="269">
        <f t="shared" si="11"/>
        <v>20300</v>
      </c>
      <c r="U50" s="269">
        <f t="shared" si="11"/>
        <v>37100</v>
      </c>
      <c r="V50" s="269">
        <f t="shared" si="11"/>
        <v>44900</v>
      </c>
      <c r="W50" s="269">
        <f t="shared" si="11"/>
        <v>68000</v>
      </c>
      <c r="X50" s="269">
        <f t="shared" si="11"/>
        <v>125000</v>
      </c>
      <c r="Y50" s="269">
        <f t="shared" si="11"/>
        <v>177000</v>
      </c>
      <c r="Z50" s="269">
        <f t="shared" si="11"/>
        <v>228000</v>
      </c>
      <c r="AA50" s="269">
        <f t="shared" si="11"/>
        <v>277000</v>
      </c>
      <c r="AB50" s="269">
        <f t="shared" si="11"/>
        <v>395000</v>
      </c>
      <c r="AC50" s="269">
        <f t="shared" si="11"/>
        <v>508000</v>
      </c>
      <c r="AD50" s="269">
        <f t="shared" si="11"/>
        <v>723000</v>
      </c>
      <c r="AE50" s="269">
        <f t="shared" si="11"/>
        <v>930000</v>
      </c>
      <c r="AI50" s="268">
        <v>48</v>
      </c>
      <c r="AJ50" s="269">
        <f t="shared" si="12"/>
        <v>9780</v>
      </c>
      <c r="AK50" s="269">
        <f t="shared" si="12"/>
        <v>22300</v>
      </c>
      <c r="AL50" s="269">
        <f t="shared" si="12"/>
        <v>41700</v>
      </c>
      <c r="AM50" s="269">
        <f t="shared" si="12"/>
        <v>50700</v>
      </c>
      <c r="AN50" s="269">
        <f t="shared" si="12"/>
        <v>77900</v>
      </c>
      <c r="AO50" s="269">
        <f t="shared" si="12"/>
        <v>145000</v>
      </c>
      <c r="AP50" s="269">
        <f t="shared" si="12"/>
        <v>210000</v>
      </c>
      <c r="AQ50" s="269">
        <f t="shared" si="12"/>
        <v>272000</v>
      </c>
      <c r="AR50" s="269">
        <f t="shared" si="12"/>
        <v>332000</v>
      </c>
      <c r="AS50" s="269">
        <f t="shared" si="12"/>
        <v>479000</v>
      </c>
      <c r="AT50" s="269">
        <f t="shared" si="12"/>
        <v>620000</v>
      </c>
      <c r="AU50" s="269">
        <f t="shared" si="12"/>
        <v>894000</v>
      </c>
      <c r="AV50" s="269">
        <f t="shared" si="12"/>
        <v>1160000</v>
      </c>
    </row>
    <row r="52" spans="1:48" x14ac:dyDescent="0.4">
      <c r="A52" s="258" t="s">
        <v>466</v>
      </c>
      <c r="R52" s="258" t="s">
        <v>467</v>
      </c>
      <c r="AI52" s="258" t="s">
        <v>468</v>
      </c>
    </row>
    <row r="53" spans="1:48" x14ac:dyDescent="0.4">
      <c r="A53" s="270" t="s">
        <v>335</v>
      </c>
      <c r="B53" s="271" t="s">
        <v>340</v>
      </c>
      <c r="R53" s="270" t="s">
        <v>335</v>
      </c>
      <c r="S53" s="271" t="s">
        <v>340</v>
      </c>
      <c r="AI53" s="270" t="s">
        <v>335</v>
      </c>
      <c r="AJ53" s="271" t="s">
        <v>340</v>
      </c>
    </row>
    <row r="54" spans="1:48" x14ac:dyDescent="0.4">
      <c r="A54" s="259" t="s">
        <v>337</v>
      </c>
      <c r="B54" s="260" t="s">
        <v>338</v>
      </c>
      <c r="C54" s="261"/>
      <c r="D54" s="261"/>
      <c r="E54" s="261"/>
      <c r="F54" s="261"/>
      <c r="G54" s="261"/>
      <c r="H54" s="261"/>
      <c r="I54" s="261"/>
      <c r="J54" s="261"/>
      <c r="K54" s="261"/>
      <c r="L54" s="261"/>
      <c r="M54" s="261"/>
      <c r="N54" s="262"/>
      <c r="R54" s="259" t="s">
        <v>337</v>
      </c>
      <c r="S54" s="260" t="s">
        <v>338</v>
      </c>
      <c r="T54" s="261"/>
      <c r="U54" s="261"/>
      <c r="V54" s="261"/>
      <c r="W54" s="261"/>
      <c r="X54" s="261"/>
      <c r="Y54" s="261"/>
      <c r="Z54" s="261"/>
      <c r="AA54" s="261"/>
      <c r="AB54" s="261"/>
      <c r="AC54" s="261"/>
      <c r="AD54" s="261"/>
      <c r="AE54" s="262"/>
      <c r="AI54" s="259" t="s">
        <v>337</v>
      </c>
      <c r="AJ54" s="260" t="s">
        <v>338</v>
      </c>
      <c r="AK54" s="261"/>
      <c r="AL54" s="261"/>
      <c r="AM54" s="261"/>
      <c r="AN54" s="261"/>
      <c r="AO54" s="261"/>
      <c r="AP54" s="261"/>
      <c r="AQ54" s="261"/>
      <c r="AR54" s="261"/>
      <c r="AS54" s="261"/>
      <c r="AT54" s="261"/>
      <c r="AU54" s="261"/>
      <c r="AV54" s="262"/>
    </row>
    <row r="55" spans="1:48" ht="15" thickBot="1" x14ac:dyDescent="0.45">
      <c r="A55" s="263"/>
      <c r="B55" s="263">
        <v>10</v>
      </c>
      <c r="C55" s="263">
        <v>25</v>
      </c>
      <c r="D55" s="263">
        <v>50</v>
      </c>
      <c r="E55" s="263">
        <v>62.1</v>
      </c>
      <c r="F55" s="263">
        <v>100</v>
      </c>
      <c r="G55" s="263">
        <v>200</v>
      </c>
      <c r="H55" s="263">
        <v>300</v>
      </c>
      <c r="I55" s="263">
        <v>400</v>
      </c>
      <c r="J55" s="263">
        <v>500</v>
      </c>
      <c r="K55" s="263">
        <v>750</v>
      </c>
      <c r="L55" s="263">
        <v>1000</v>
      </c>
      <c r="M55" s="263">
        <v>1500</v>
      </c>
      <c r="N55" s="263">
        <v>2000</v>
      </c>
      <c r="R55" s="263"/>
      <c r="S55" s="263">
        <v>10</v>
      </c>
      <c r="T55" s="263">
        <v>25</v>
      </c>
      <c r="U55" s="263">
        <v>50</v>
      </c>
      <c r="V55" s="263">
        <v>62.1</v>
      </c>
      <c r="W55" s="263">
        <v>100</v>
      </c>
      <c r="X55" s="263">
        <v>200</v>
      </c>
      <c r="Y55" s="263">
        <v>300</v>
      </c>
      <c r="Z55" s="263">
        <v>400</v>
      </c>
      <c r="AA55" s="263">
        <v>500</v>
      </c>
      <c r="AB55" s="263">
        <v>750</v>
      </c>
      <c r="AC55" s="263">
        <v>1000</v>
      </c>
      <c r="AD55" s="263">
        <v>1500</v>
      </c>
      <c r="AE55" s="263">
        <v>2000</v>
      </c>
      <c r="AI55" s="263"/>
      <c r="AJ55" s="263">
        <v>10</v>
      </c>
      <c r="AK55" s="263">
        <v>25</v>
      </c>
      <c r="AL55" s="263">
        <v>50</v>
      </c>
      <c r="AM55" s="263">
        <v>62.1</v>
      </c>
      <c r="AN55" s="263">
        <v>100</v>
      </c>
      <c r="AO55" s="263">
        <v>200</v>
      </c>
      <c r="AP55" s="263">
        <v>300</v>
      </c>
      <c r="AQ55" s="263">
        <v>400</v>
      </c>
      <c r="AR55" s="263">
        <v>500</v>
      </c>
      <c r="AS55" s="263">
        <v>750</v>
      </c>
      <c r="AT55" s="263">
        <v>1000</v>
      </c>
      <c r="AU55" s="263">
        <v>1500</v>
      </c>
      <c r="AV55" s="263">
        <v>2000</v>
      </c>
    </row>
    <row r="56" spans="1:48" x14ac:dyDescent="0.4">
      <c r="A56" s="264">
        <v>8</v>
      </c>
      <c r="B56" s="265">
        <f t="shared" ref="B56:N65" si="13">sigfig(CpParker($A56,B$55,$B$53,$B$5),$B$3)*0.001</f>
        <v>4570</v>
      </c>
      <c r="C56" s="265">
        <f t="shared" si="13"/>
        <v>10900</v>
      </c>
      <c r="D56" s="265">
        <f t="shared" si="13"/>
        <v>21300</v>
      </c>
      <c r="E56" s="265">
        <f t="shared" si="13"/>
        <v>26400</v>
      </c>
      <c r="F56" s="265">
        <f t="shared" si="13"/>
        <v>42300</v>
      </c>
      <c r="G56" s="265">
        <f t="shared" si="13"/>
        <v>84300</v>
      </c>
      <c r="H56" s="265">
        <f t="shared" si="13"/>
        <v>126000</v>
      </c>
      <c r="I56" s="265">
        <f t="shared" si="13"/>
        <v>168000</v>
      </c>
      <c r="J56" s="265">
        <f t="shared" si="13"/>
        <v>210000</v>
      </c>
      <c r="K56" s="265">
        <f t="shared" si="13"/>
        <v>315000</v>
      </c>
      <c r="L56" s="265">
        <f t="shared" si="13"/>
        <v>420000</v>
      </c>
      <c r="M56" s="265">
        <f t="shared" si="13"/>
        <v>630000</v>
      </c>
      <c r="N56" s="265">
        <f t="shared" si="13"/>
        <v>839000</v>
      </c>
      <c r="R56" s="264">
        <v>8</v>
      </c>
      <c r="S56" s="265">
        <f t="shared" ref="S56:AE65" si="14">sigfig(CpRui($R56,S$55,$S$4,$S$53,$S$5),$S$3)*0.001</f>
        <v>1050</v>
      </c>
      <c r="T56" s="265">
        <f t="shared" si="14"/>
        <v>2190</v>
      </c>
      <c r="U56" s="265">
        <f t="shared" si="14"/>
        <v>3840</v>
      </c>
      <c r="V56" s="265">
        <f t="shared" si="14"/>
        <v>4570</v>
      </c>
      <c r="W56" s="265">
        <f t="shared" si="14"/>
        <v>6720</v>
      </c>
      <c r="X56" s="265">
        <f t="shared" si="14"/>
        <v>11800</v>
      </c>
      <c r="Y56" s="265">
        <f t="shared" si="14"/>
        <v>16300</v>
      </c>
      <c r="Z56" s="265">
        <f t="shared" si="14"/>
        <v>20600</v>
      </c>
      <c r="AA56" s="265">
        <f t="shared" si="14"/>
        <v>24700</v>
      </c>
      <c r="AB56" s="265">
        <f t="shared" si="14"/>
        <v>34200</v>
      </c>
      <c r="AC56" s="265">
        <f t="shared" si="14"/>
        <v>43200</v>
      </c>
      <c r="AD56" s="265">
        <f t="shared" si="14"/>
        <v>59900</v>
      </c>
      <c r="AE56" s="265">
        <f t="shared" si="14"/>
        <v>75600</v>
      </c>
      <c r="AI56" s="264">
        <v>8</v>
      </c>
      <c r="AJ56" s="265">
        <f t="shared" ref="AJ56:AV65" si="15">sigfig(Cpmccoy($AI56,AJ$55,$AJ$4,$AJ$53,$AJ$5),$AJ$3)*0.001</f>
        <v>1800</v>
      </c>
      <c r="AK56" s="265">
        <f t="shared" si="15"/>
        <v>3830</v>
      </c>
      <c r="AL56" s="265">
        <f t="shared" si="15"/>
        <v>6750</v>
      </c>
      <c r="AM56" s="265">
        <f t="shared" si="15"/>
        <v>8070</v>
      </c>
      <c r="AN56" s="265">
        <f t="shared" si="15"/>
        <v>11900</v>
      </c>
      <c r="AO56" s="265">
        <f t="shared" si="15"/>
        <v>21100</v>
      </c>
      <c r="AP56" s="265">
        <f t="shared" si="15"/>
        <v>29400</v>
      </c>
      <c r="AQ56" s="265">
        <f t="shared" si="15"/>
        <v>37200</v>
      </c>
      <c r="AR56" s="265">
        <f t="shared" si="15"/>
        <v>44600</v>
      </c>
      <c r="AS56" s="265">
        <f t="shared" si="15"/>
        <v>62200</v>
      </c>
      <c r="AT56" s="265">
        <f t="shared" si="15"/>
        <v>78800</v>
      </c>
      <c r="AU56" s="265">
        <f t="shared" si="15"/>
        <v>110000</v>
      </c>
      <c r="AV56" s="265">
        <f t="shared" si="15"/>
        <v>139000</v>
      </c>
    </row>
    <row r="57" spans="1:48" x14ac:dyDescent="0.4">
      <c r="A57" s="266">
        <v>10</v>
      </c>
      <c r="B57" s="267">
        <f t="shared" si="13"/>
        <v>4900</v>
      </c>
      <c r="C57" s="267">
        <f t="shared" si="13"/>
        <v>11700</v>
      </c>
      <c r="D57" s="267">
        <f t="shared" si="13"/>
        <v>23000</v>
      </c>
      <c r="E57" s="267">
        <f t="shared" si="13"/>
        <v>28500</v>
      </c>
      <c r="F57" s="267">
        <f t="shared" si="13"/>
        <v>45600</v>
      </c>
      <c r="G57" s="267">
        <f t="shared" si="13"/>
        <v>90900</v>
      </c>
      <c r="H57" s="267">
        <f t="shared" si="13"/>
        <v>136000</v>
      </c>
      <c r="I57" s="267">
        <f t="shared" si="13"/>
        <v>181000</v>
      </c>
      <c r="J57" s="267">
        <f t="shared" si="13"/>
        <v>227000</v>
      </c>
      <c r="K57" s="267">
        <f t="shared" si="13"/>
        <v>340000</v>
      </c>
      <c r="L57" s="267">
        <f t="shared" si="13"/>
        <v>453000</v>
      </c>
      <c r="M57" s="267">
        <f t="shared" si="13"/>
        <v>679000</v>
      </c>
      <c r="N57" s="267">
        <f t="shared" si="13"/>
        <v>906000</v>
      </c>
      <c r="R57" s="266">
        <v>10</v>
      </c>
      <c r="S57" s="267">
        <f t="shared" si="14"/>
        <v>1280</v>
      </c>
      <c r="T57" s="267">
        <f t="shared" si="14"/>
        <v>2690</v>
      </c>
      <c r="U57" s="267">
        <f t="shared" si="14"/>
        <v>4710</v>
      </c>
      <c r="V57" s="267">
        <f t="shared" si="14"/>
        <v>5610</v>
      </c>
      <c r="W57" s="267">
        <f t="shared" si="14"/>
        <v>8250</v>
      </c>
      <c r="X57" s="267">
        <f t="shared" si="14"/>
        <v>14400</v>
      </c>
      <c r="Y57" s="267">
        <f t="shared" si="14"/>
        <v>20000</v>
      </c>
      <c r="Z57" s="267">
        <f t="shared" si="14"/>
        <v>25300</v>
      </c>
      <c r="AA57" s="267">
        <f t="shared" si="14"/>
        <v>30300</v>
      </c>
      <c r="AB57" s="267">
        <f t="shared" si="14"/>
        <v>42000</v>
      </c>
      <c r="AC57" s="267">
        <f t="shared" si="14"/>
        <v>53000</v>
      </c>
      <c r="AD57" s="267">
        <f t="shared" si="14"/>
        <v>73600</v>
      </c>
      <c r="AE57" s="267">
        <f t="shared" si="14"/>
        <v>92800</v>
      </c>
      <c r="AI57" s="266">
        <v>10</v>
      </c>
      <c r="AJ57" s="267">
        <f t="shared" si="15"/>
        <v>2230</v>
      </c>
      <c r="AK57" s="267">
        <f t="shared" si="15"/>
        <v>4720</v>
      </c>
      <c r="AL57" s="267">
        <f t="shared" si="15"/>
        <v>8330</v>
      </c>
      <c r="AM57" s="267">
        <f t="shared" si="15"/>
        <v>9950</v>
      </c>
      <c r="AN57" s="267">
        <f t="shared" si="15"/>
        <v>14700</v>
      </c>
      <c r="AO57" s="267">
        <f t="shared" si="15"/>
        <v>26000</v>
      </c>
      <c r="AP57" s="267">
        <f t="shared" si="15"/>
        <v>36200</v>
      </c>
      <c r="AQ57" s="267">
        <f t="shared" si="15"/>
        <v>45800</v>
      </c>
      <c r="AR57" s="267">
        <f t="shared" si="15"/>
        <v>55000</v>
      </c>
      <c r="AS57" s="267">
        <f t="shared" si="15"/>
        <v>76800</v>
      </c>
      <c r="AT57" s="267">
        <f t="shared" si="15"/>
        <v>97200</v>
      </c>
      <c r="AU57" s="267">
        <f t="shared" si="15"/>
        <v>136000</v>
      </c>
      <c r="AV57" s="267">
        <f t="shared" si="15"/>
        <v>172000</v>
      </c>
    </row>
    <row r="58" spans="1:48" x14ac:dyDescent="0.4">
      <c r="A58" s="266">
        <v>12</v>
      </c>
      <c r="B58" s="267">
        <f t="shared" si="13"/>
        <v>5290</v>
      </c>
      <c r="C58" s="267">
        <f t="shared" si="13"/>
        <v>12700</v>
      </c>
      <c r="D58" s="267">
        <f t="shared" si="13"/>
        <v>24900</v>
      </c>
      <c r="E58" s="267">
        <f t="shared" si="13"/>
        <v>30900</v>
      </c>
      <c r="F58" s="267">
        <f t="shared" si="13"/>
        <v>49500</v>
      </c>
      <c r="G58" s="267">
        <f t="shared" si="13"/>
        <v>98700</v>
      </c>
      <c r="H58" s="267">
        <f t="shared" si="13"/>
        <v>148000</v>
      </c>
      <c r="I58" s="267">
        <f t="shared" si="13"/>
        <v>197000</v>
      </c>
      <c r="J58" s="267">
        <f t="shared" si="13"/>
        <v>246000</v>
      </c>
      <c r="K58" s="267">
        <f t="shared" si="13"/>
        <v>369000</v>
      </c>
      <c r="L58" s="267">
        <f t="shared" si="13"/>
        <v>492000</v>
      </c>
      <c r="M58" s="267">
        <f t="shared" si="13"/>
        <v>737000</v>
      </c>
      <c r="N58" s="267">
        <f t="shared" si="13"/>
        <v>983000</v>
      </c>
      <c r="R58" s="266">
        <v>12</v>
      </c>
      <c r="S58" s="267">
        <f t="shared" si="14"/>
        <v>1520</v>
      </c>
      <c r="T58" s="267">
        <f t="shared" si="14"/>
        <v>3180</v>
      </c>
      <c r="U58" s="267">
        <f t="shared" si="14"/>
        <v>5570</v>
      </c>
      <c r="V58" s="267">
        <f t="shared" si="14"/>
        <v>6640</v>
      </c>
      <c r="W58" s="267">
        <f t="shared" si="14"/>
        <v>9750</v>
      </c>
      <c r="X58" s="267">
        <f t="shared" si="14"/>
        <v>17100</v>
      </c>
      <c r="Y58" s="267">
        <f t="shared" si="14"/>
        <v>23700</v>
      </c>
      <c r="Z58" s="267">
        <f t="shared" si="14"/>
        <v>29900</v>
      </c>
      <c r="AA58" s="267">
        <f t="shared" si="14"/>
        <v>35800</v>
      </c>
      <c r="AB58" s="267">
        <f t="shared" si="14"/>
        <v>49700</v>
      </c>
      <c r="AC58" s="267">
        <f t="shared" si="14"/>
        <v>62700</v>
      </c>
      <c r="AD58" s="267">
        <f t="shared" si="14"/>
        <v>87000</v>
      </c>
      <c r="AE58" s="267">
        <f t="shared" si="14"/>
        <v>110000</v>
      </c>
      <c r="AI58" s="266">
        <v>12</v>
      </c>
      <c r="AJ58" s="267">
        <f t="shared" si="15"/>
        <v>2640</v>
      </c>
      <c r="AK58" s="267">
        <f t="shared" si="15"/>
        <v>5600</v>
      </c>
      <c r="AL58" s="267">
        <f t="shared" si="15"/>
        <v>9890</v>
      </c>
      <c r="AM58" s="267">
        <f t="shared" si="15"/>
        <v>11800</v>
      </c>
      <c r="AN58" s="267">
        <f t="shared" si="15"/>
        <v>17500</v>
      </c>
      <c r="AO58" s="267">
        <f t="shared" si="15"/>
        <v>30800</v>
      </c>
      <c r="AP58" s="267">
        <f t="shared" si="15"/>
        <v>43000</v>
      </c>
      <c r="AQ58" s="267">
        <f t="shared" si="15"/>
        <v>54400</v>
      </c>
      <c r="AR58" s="267">
        <f t="shared" si="15"/>
        <v>65300</v>
      </c>
      <c r="AS58" s="267">
        <f t="shared" si="15"/>
        <v>91100</v>
      </c>
      <c r="AT58" s="267">
        <f t="shared" si="15"/>
        <v>115000</v>
      </c>
      <c r="AU58" s="267">
        <f t="shared" si="15"/>
        <v>161000</v>
      </c>
      <c r="AV58" s="267">
        <f t="shared" si="15"/>
        <v>204000</v>
      </c>
    </row>
    <row r="59" spans="1:48" x14ac:dyDescent="0.4">
      <c r="A59" s="266">
        <v>16</v>
      </c>
      <c r="B59" s="267">
        <f t="shared" si="13"/>
        <v>6230</v>
      </c>
      <c r="C59" s="267">
        <f t="shared" si="13"/>
        <v>15000</v>
      </c>
      <c r="D59" s="267">
        <f t="shared" si="13"/>
        <v>29600</v>
      </c>
      <c r="E59" s="267">
        <f t="shared" si="13"/>
        <v>36700</v>
      </c>
      <c r="F59" s="267">
        <f t="shared" si="13"/>
        <v>58900</v>
      </c>
      <c r="G59" s="267">
        <f t="shared" si="13"/>
        <v>117000</v>
      </c>
      <c r="H59" s="267">
        <f t="shared" si="13"/>
        <v>176000</v>
      </c>
      <c r="I59" s="267">
        <f t="shared" si="13"/>
        <v>235000</v>
      </c>
      <c r="J59" s="267">
        <f t="shared" si="13"/>
        <v>293000</v>
      </c>
      <c r="K59" s="267">
        <f t="shared" si="13"/>
        <v>439000</v>
      </c>
      <c r="L59" s="267">
        <f t="shared" si="13"/>
        <v>586000</v>
      </c>
      <c r="M59" s="267">
        <f t="shared" si="13"/>
        <v>878000</v>
      </c>
      <c r="N59" s="267">
        <f t="shared" si="13"/>
        <v>1170000</v>
      </c>
      <c r="R59" s="266">
        <v>16</v>
      </c>
      <c r="S59" s="267">
        <f t="shared" si="14"/>
        <v>1980</v>
      </c>
      <c r="T59" s="267">
        <f t="shared" si="14"/>
        <v>4140</v>
      </c>
      <c r="U59" s="267">
        <f t="shared" si="14"/>
        <v>7250</v>
      </c>
      <c r="V59" s="267">
        <f t="shared" si="14"/>
        <v>8640</v>
      </c>
      <c r="W59" s="267">
        <f t="shared" si="14"/>
        <v>12700</v>
      </c>
      <c r="X59" s="267">
        <f t="shared" si="14"/>
        <v>22200</v>
      </c>
      <c r="Y59" s="267">
        <f t="shared" si="14"/>
        <v>30800</v>
      </c>
      <c r="Z59" s="267">
        <f t="shared" si="14"/>
        <v>38900</v>
      </c>
      <c r="AA59" s="267">
        <f t="shared" si="14"/>
        <v>46600</v>
      </c>
      <c r="AB59" s="267">
        <f t="shared" si="14"/>
        <v>64700</v>
      </c>
      <c r="AC59" s="267">
        <f t="shared" si="14"/>
        <v>81600</v>
      </c>
      <c r="AD59" s="267">
        <f t="shared" si="14"/>
        <v>113000</v>
      </c>
      <c r="AE59" s="267">
        <f t="shared" si="14"/>
        <v>143000</v>
      </c>
      <c r="AI59" s="266">
        <v>16</v>
      </c>
      <c r="AJ59" s="267">
        <f t="shared" si="15"/>
        <v>3460</v>
      </c>
      <c r="AK59" s="267">
        <f t="shared" si="15"/>
        <v>7340</v>
      </c>
      <c r="AL59" s="267">
        <f t="shared" si="15"/>
        <v>13000</v>
      </c>
      <c r="AM59" s="267">
        <f t="shared" si="15"/>
        <v>15500</v>
      </c>
      <c r="AN59" s="267">
        <f t="shared" si="15"/>
        <v>22900</v>
      </c>
      <c r="AO59" s="267">
        <f t="shared" si="15"/>
        <v>40400</v>
      </c>
      <c r="AP59" s="267">
        <f t="shared" si="15"/>
        <v>56300</v>
      </c>
      <c r="AQ59" s="267">
        <f t="shared" si="15"/>
        <v>71300</v>
      </c>
      <c r="AR59" s="267">
        <f t="shared" si="15"/>
        <v>85600</v>
      </c>
      <c r="AS59" s="267">
        <f t="shared" si="15"/>
        <v>119000</v>
      </c>
      <c r="AT59" s="267">
        <f t="shared" si="15"/>
        <v>151000</v>
      </c>
      <c r="AU59" s="267">
        <f t="shared" si="15"/>
        <v>211000</v>
      </c>
      <c r="AV59" s="267">
        <f t="shared" si="15"/>
        <v>267000</v>
      </c>
    </row>
    <row r="60" spans="1:48" x14ac:dyDescent="0.4">
      <c r="A60" s="266">
        <v>20</v>
      </c>
      <c r="B60" s="267">
        <f t="shared" si="13"/>
        <v>7390</v>
      </c>
      <c r="C60" s="267">
        <f t="shared" si="13"/>
        <v>17900</v>
      </c>
      <c r="D60" s="267">
        <f t="shared" si="13"/>
        <v>35400</v>
      </c>
      <c r="E60" s="267">
        <f t="shared" si="13"/>
        <v>43900</v>
      </c>
      <c r="F60" s="267">
        <f t="shared" si="13"/>
        <v>70500</v>
      </c>
      <c r="G60" s="267">
        <f t="shared" si="13"/>
        <v>141000</v>
      </c>
      <c r="H60" s="267">
        <f t="shared" si="13"/>
        <v>211000</v>
      </c>
      <c r="I60" s="267">
        <f t="shared" si="13"/>
        <v>281000</v>
      </c>
      <c r="J60" s="267">
        <f t="shared" si="13"/>
        <v>351000</v>
      </c>
      <c r="K60" s="267">
        <f t="shared" si="13"/>
        <v>526000</v>
      </c>
      <c r="L60" s="267">
        <f t="shared" si="13"/>
        <v>702000</v>
      </c>
      <c r="M60" s="267">
        <f t="shared" si="13"/>
        <v>1050000</v>
      </c>
      <c r="N60" s="267">
        <f t="shared" si="13"/>
        <v>1400000</v>
      </c>
      <c r="R60" s="266">
        <v>20</v>
      </c>
      <c r="S60" s="267">
        <f t="shared" si="14"/>
        <v>2420</v>
      </c>
      <c r="T60" s="267">
        <f t="shared" si="14"/>
        <v>5080</v>
      </c>
      <c r="U60" s="267">
        <f t="shared" si="14"/>
        <v>8900</v>
      </c>
      <c r="V60" s="267">
        <f t="shared" si="14"/>
        <v>10600</v>
      </c>
      <c r="W60" s="267">
        <f t="shared" si="14"/>
        <v>15600</v>
      </c>
      <c r="X60" s="267">
        <f t="shared" si="14"/>
        <v>27300</v>
      </c>
      <c r="Y60" s="267">
        <f t="shared" si="14"/>
        <v>37900</v>
      </c>
      <c r="Z60" s="267">
        <f t="shared" si="14"/>
        <v>47800</v>
      </c>
      <c r="AA60" s="267">
        <f t="shared" si="14"/>
        <v>57200</v>
      </c>
      <c r="AB60" s="267">
        <f t="shared" si="14"/>
        <v>79400</v>
      </c>
      <c r="AC60" s="267">
        <f t="shared" si="14"/>
        <v>100000</v>
      </c>
      <c r="AD60" s="267">
        <f t="shared" si="14"/>
        <v>139000</v>
      </c>
      <c r="AE60" s="267">
        <f t="shared" si="14"/>
        <v>175000</v>
      </c>
      <c r="AI60" s="266">
        <v>20</v>
      </c>
      <c r="AJ60" s="267">
        <f t="shared" si="15"/>
        <v>4270</v>
      </c>
      <c r="AK60" s="267">
        <f t="shared" si="15"/>
        <v>9050</v>
      </c>
      <c r="AL60" s="267">
        <f t="shared" si="15"/>
        <v>16000</v>
      </c>
      <c r="AM60" s="267">
        <f t="shared" si="15"/>
        <v>19100</v>
      </c>
      <c r="AN60" s="267">
        <f t="shared" si="15"/>
        <v>28200</v>
      </c>
      <c r="AO60" s="267">
        <f t="shared" si="15"/>
        <v>49800</v>
      </c>
      <c r="AP60" s="267">
        <f t="shared" si="15"/>
        <v>69500</v>
      </c>
      <c r="AQ60" s="267">
        <f t="shared" si="15"/>
        <v>87900</v>
      </c>
      <c r="AR60" s="267">
        <f t="shared" si="15"/>
        <v>106000</v>
      </c>
      <c r="AS60" s="267">
        <f t="shared" si="15"/>
        <v>147000</v>
      </c>
      <c r="AT60" s="267">
        <f t="shared" si="15"/>
        <v>186000</v>
      </c>
      <c r="AU60" s="267">
        <f t="shared" si="15"/>
        <v>260000</v>
      </c>
      <c r="AV60" s="267">
        <f t="shared" si="15"/>
        <v>329000</v>
      </c>
    </row>
    <row r="61" spans="1:48" x14ac:dyDescent="0.4">
      <c r="A61" s="266">
        <v>24</v>
      </c>
      <c r="B61" s="267">
        <f t="shared" si="13"/>
        <v>8770</v>
      </c>
      <c r="C61" s="267">
        <f t="shared" si="13"/>
        <v>21400</v>
      </c>
      <c r="D61" s="267">
        <f t="shared" si="13"/>
        <v>42300</v>
      </c>
      <c r="E61" s="267">
        <f t="shared" si="13"/>
        <v>52500</v>
      </c>
      <c r="F61" s="267">
        <f t="shared" si="13"/>
        <v>84300</v>
      </c>
      <c r="G61" s="267">
        <f t="shared" si="13"/>
        <v>168000</v>
      </c>
      <c r="H61" s="267">
        <f t="shared" si="13"/>
        <v>252000</v>
      </c>
      <c r="I61" s="267">
        <f t="shared" si="13"/>
        <v>336000</v>
      </c>
      <c r="J61" s="267">
        <f t="shared" si="13"/>
        <v>420000</v>
      </c>
      <c r="K61" s="267">
        <f t="shared" si="13"/>
        <v>630000</v>
      </c>
      <c r="L61" s="267">
        <f t="shared" si="13"/>
        <v>840000</v>
      </c>
      <c r="M61" s="267">
        <f t="shared" si="13"/>
        <v>1260000</v>
      </c>
      <c r="N61" s="267">
        <f t="shared" si="13"/>
        <v>1680000</v>
      </c>
      <c r="R61" s="266">
        <v>24</v>
      </c>
      <c r="S61" s="267">
        <f t="shared" si="14"/>
        <v>2870</v>
      </c>
      <c r="T61" s="267">
        <f t="shared" si="14"/>
        <v>6010</v>
      </c>
      <c r="U61" s="267">
        <f t="shared" si="14"/>
        <v>10500</v>
      </c>
      <c r="V61" s="267">
        <f t="shared" si="14"/>
        <v>12500</v>
      </c>
      <c r="W61" s="267">
        <f t="shared" si="14"/>
        <v>18400</v>
      </c>
      <c r="X61" s="267">
        <f t="shared" si="14"/>
        <v>32300</v>
      </c>
      <c r="Y61" s="267">
        <f t="shared" si="14"/>
        <v>44800</v>
      </c>
      <c r="Z61" s="267">
        <f t="shared" si="14"/>
        <v>56500</v>
      </c>
      <c r="AA61" s="267">
        <f t="shared" si="14"/>
        <v>67600</v>
      </c>
      <c r="AB61" s="267">
        <f t="shared" si="14"/>
        <v>93800</v>
      </c>
      <c r="AC61" s="267">
        <f t="shared" si="14"/>
        <v>118000</v>
      </c>
      <c r="AD61" s="267">
        <f t="shared" si="14"/>
        <v>164000</v>
      </c>
      <c r="AE61" s="267">
        <f t="shared" si="14"/>
        <v>207000</v>
      </c>
      <c r="AI61" s="266">
        <v>24</v>
      </c>
      <c r="AJ61" s="267">
        <f t="shared" si="15"/>
        <v>5070</v>
      </c>
      <c r="AK61" s="267">
        <f t="shared" si="15"/>
        <v>10700</v>
      </c>
      <c r="AL61" s="267">
        <f t="shared" si="15"/>
        <v>19000</v>
      </c>
      <c r="AM61" s="267">
        <f t="shared" si="15"/>
        <v>22700</v>
      </c>
      <c r="AN61" s="267">
        <f t="shared" si="15"/>
        <v>33500</v>
      </c>
      <c r="AO61" s="267">
        <f t="shared" si="15"/>
        <v>59100</v>
      </c>
      <c r="AP61" s="267">
        <f t="shared" si="15"/>
        <v>82400</v>
      </c>
      <c r="AQ61" s="267">
        <f t="shared" si="15"/>
        <v>104000</v>
      </c>
      <c r="AR61" s="267">
        <f t="shared" si="15"/>
        <v>125000</v>
      </c>
      <c r="AS61" s="267">
        <f t="shared" si="15"/>
        <v>175000</v>
      </c>
      <c r="AT61" s="267">
        <f t="shared" si="15"/>
        <v>221000</v>
      </c>
      <c r="AU61" s="267">
        <f t="shared" si="15"/>
        <v>309000</v>
      </c>
      <c r="AV61" s="267">
        <f t="shared" si="15"/>
        <v>391000</v>
      </c>
    </row>
    <row r="62" spans="1:48" x14ac:dyDescent="0.4">
      <c r="A62" s="266">
        <v>30</v>
      </c>
      <c r="B62" s="267">
        <f t="shared" si="13"/>
        <v>11300</v>
      </c>
      <c r="C62" s="267">
        <f t="shared" si="13"/>
        <v>27600</v>
      </c>
      <c r="D62" s="267">
        <f t="shared" si="13"/>
        <v>54800</v>
      </c>
      <c r="E62" s="267">
        <f t="shared" si="13"/>
        <v>67900</v>
      </c>
      <c r="F62" s="267">
        <f t="shared" si="13"/>
        <v>109000</v>
      </c>
      <c r="G62" s="267">
        <f t="shared" si="13"/>
        <v>218000</v>
      </c>
      <c r="H62" s="267">
        <f t="shared" si="13"/>
        <v>327000</v>
      </c>
      <c r="I62" s="267">
        <f t="shared" si="13"/>
        <v>436000</v>
      </c>
      <c r="J62" s="267">
        <f t="shared" si="13"/>
        <v>544000</v>
      </c>
      <c r="K62" s="267">
        <f t="shared" si="13"/>
        <v>816000</v>
      </c>
      <c r="L62" s="267">
        <f t="shared" si="13"/>
        <v>1090000</v>
      </c>
      <c r="M62" s="267">
        <f t="shared" si="13"/>
        <v>1630000</v>
      </c>
      <c r="N62" s="267">
        <f t="shared" si="13"/>
        <v>2180000</v>
      </c>
      <c r="R62" s="266">
        <v>30</v>
      </c>
      <c r="S62" s="267">
        <f t="shared" si="14"/>
        <v>3520</v>
      </c>
      <c r="T62" s="267">
        <f t="shared" si="14"/>
        <v>7380</v>
      </c>
      <c r="U62" s="267">
        <f t="shared" si="14"/>
        <v>12900</v>
      </c>
      <c r="V62" s="267">
        <f t="shared" si="14"/>
        <v>15400</v>
      </c>
      <c r="W62" s="267">
        <f t="shared" si="14"/>
        <v>22600</v>
      </c>
      <c r="X62" s="267">
        <f t="shared" si="14"/>
        <v>39600</v>
      </c>
      <c r="Y62" s="267">
        <f t="shared" si="14"/>
        <v>54900</v>
      </c>
      <c r="Z62" s="267">
        <f t="shared" si="14"/>
        <v>69300</v>
      </c>
      <c r="AA62" s="267">
        <f t="shared" si="14"/>
        <v>83000</v>
      </c>
      <c r="AB62" s="267">
        <f t="shared" si="14"/>
        <v>115000</v>
      </c>
      <c r="AC62" s="267">
        <f t="shared" si="14"/>
        <v>145000</v>
      </c>
      <c r="AD62" s="267">
        <f t="shared" si="14"/>
        <v>202000</v>
      </c>
      <c r="AE62" s="267">
        <f t="shared" si="14"/>
        <v>254000</v>
      </c>
      <c r="AI62" s="266">
        <v>30</v>
      </c>
      <c r="AJ62" s="267">
        <f t="shared" si="15"/>
        <v>6250</v>
      </c>
      <c r="AK62" s="267">
        <f t="shared" si="15"/>
        <v>13300</v>
      </c>
      <c r="AL62" s="267">
        <f t="shared" si="15"/>
        <v>23400</v>
      </c>
      <c r="AM62" s="267">
        <f t="shared" si="15"/>
        <v>27900</v>
      </c>
      <c r="AN62" s="267">
        <f t="shared" si="15"/>
        <v>41300</v>
      </c>
      <c r="AO62" s="267">
        <f t="shared" si="15"/>
        <v>72900</v>
      </c>
      <c r="AP62" s="267">
        <f t="shared" si="15"/>
        <v>102000</v>
      </c>
      <c r="AQ62" s="267">
        <f t="shared" si="15"/>
        <v>129000</v>
      </c>
      <c r="AR62" s="267">
        <f t="shared" si="15"/>
        <v>155000</v>
      </c>
      <c r="AS62" s="267">
        <f t="shared" si="15"/>
        <v>216000</v>
      </c>
      <c r="AT62" s="267">
        <f t="shared" si="15"/>
        <v>273000</v>
      </c>
      <c r="AU62" s="267">
        <f t="shared" si="15"/>
        <v>381000</v>
      </c>
      <c r="AV62" s="267">
        <f t="shared" si="15"/>
        <v>482000</v>
      </c>
    </row>
    <row r="63" spans="1:48" x14ac:dyDescent="0.4">
      <c r="A63" s="266">
        <v>36</v>
      </c>
      <c r="B63" s="267">
        <f t="shared" si="13"/>
        <v>14200</v>
      </c>
      <c r="C63" s="267">
        <f t="shared" si="13"/>
        <v>35000</v>
      </c>
      <c r="D63" s="267">
        <f t="shared" si="13"/>
        <v>69700</v>
      </c>
      <c r="E63" s="267">
        <f t="shared" si="13"/>
        <v>86500</v>
      </c>
      <c r="F63" s="267">
        <f t="shared" si="13"/>
        <v>139000</v>
      </c>
      <c r="G63" s="267">
        <f t="shared" si="13"/>
        <v>278000</v>
      </c>
      <c r="H63" s="267">
        <f t="shared" si="13"/>
        <v>416000</v>
      </c>
      <c r="I63" s="267">
        <f t="shared" si="13"/>
        <v>555000</v>
      </c>
      <c r="J63" s="267">
        <f t="shared" si="13"/>
        <v>694000</v>
      </c>
      <c r="K63" s="267">
        <f t="shared" si="13"/>
        <v>1040000</v>
      </c>
      <c r="L63" s="267">
        <f t="shared" si="13"/>
        <v>1390000</v>
      </c>
      <c r="M63" s="267">
        <f t="shared" si="13"/>
        <v>2080000</v>
      </c>
      <c r="N63" s="267">
        <f t="shared" si="13"/>
        <v>2770000</v>
      </c>
      <c r="R63" s="266">
        <v>36</v>
      </c>
      <c r="S63" s="267">
        <f t="shared" si="14"/>
        <v>4160</v>
      </c>
      <c r="T63" s="267">
        <f t="shared" si="14"/>
        <v>8720</v>
      </c>
      <c r="U63" s="267">
        <f t="shared" si="14"/>
        <v>15300</v>
      </c>
      <c r="V63" s="267">
        <f t="shared" si="14"/>
        <v>18200</v>
      </c>
      <c r="W63" s="267">
        <f t="shared" si="14"/>
        <v>26700</v>
      </c>
      <c r="X63" s="267">
        <f t="shared" si="14"/>
        <v>46800</v>
      </c>
      <c r="Y63" s="267">
        <f t="shared" si="14"/>
        <v>64900</v>
      </c>
      <c r="Z63" s="267">
        <f t="shared" si="14"/>
        <v>81900</v>
      </c>
      <c r="AA63" s="267">
        <f t="shared" si="14"/>
        <v>98100</v>
      </c>
      <c r="AB63" s="267">
        <f t="shared" si="14"/>
        <v>136000</v>
      </c>
      <c r="AC63" s="267">
        <f t="shared" si="14"/>
        <v>172000</v>
      </c>
      <c r="AD63" s="267">
        <f t="shared" si="14"/>
        <v>238000</v>
      </c>
      <c r="AE63" s="267">
        <f t="shared" si="14"/>
        <v>301000</v>
      </c>
      <c r="AI63" s="266">
        <v>36</v>
      </c>
      <c r="AJ63" s="267">
        <f t="shared" si="15"/>
        <v>7420</v>
      </c>
      <c r="AK63" s="267">
        <f t="shared" si="15"/>
        <v>15700</v>
      </c>
      <c r="AL63" s="267">
        <f t="shared" si="15"/>
        <v>27800</v>
      </c>
      <c r="AM63" s="267">
        <f t="shared" si="15"/>
        <v>33200</v>
      </c>
      <c r="AN63" s="267">
        <f t="shared" si="15"/>
        <v>49000</v>
      </c>
      <c r="AO63" s="267">
        <f t="shared" si="15"/>
        <v>86600</v>
      </c>
      <c r="AP63" s="267">
        <f t="shared" si="15"/>
        <v>121000</v>
      </c>
      <c r="AQ63" s="267">
        <f t="shared" si="15"/>
        <v>153000</v>
      </c>
      <c r="AR63" s="267">
        <f t="shared" si="15"/>
        <v>183000</v>
      </c>
      <c r="AS63" s="267">
        <f t="shared" si="15"/>
        <v>256000</v>
      </c>
      <c r="AT63" s="267">
        <f t="shared" si="15"/>
        <v>324000</v>
      </c>
      <c r="AU63" s="267">
        <f t="shared" si="15"/>
        <v>452000</v>
      </c>
      <c r="AV63" s="267">
        <f t="shared" si="15"/>
        <v>572000</v>
      </c>
    </row>
    <row r="64" spans="1:48" x14ac:dyDescent="0.4">
      <c r="A64" s="266">
        <v>42</v>
      </c>
      <c r="B64" s="267">
        <f t="shared" si="13"/>
        <v>17700</v>
      </c>
      <c r="C64" s="267">
        <f t="shared" si="13"/>
        <v>43700</v>
      </c>
      <c r="D64" s="267">
        <f t="shared" si="13"/>
        <v>87100</v>
      </c>
      <c r="E64" s="267">
        <f t="shared" si="13"/>
        <v>108000</v>
      </c>
      <c r="F64" s="267">
        <f t="shared" si="13"/>
        <v>174000</v>
      </c>
      <c r="G64" s="267">
        <f t="shared" si="13"/>
        <v>347000</v>
      </c>
      <c r="H64" s="267">
        <f t="shared" si="13"/>
        <v>521000</v>
      </c>
      <c r="I64" s="267">
        <f t="shared" si="13"/>
        <v>694000</v>
      </c>
      <c r="J64" s="267">
        <f t="shared" si="13"/>
        <v>868000</v>
      </c>
      <c r="K64" s="267">
        <f t="shared" si="13"/>
        <v>1300000</v>
      </c>
      <c r="L64" s="267">
        <f t="shared" si="13"/>
        <v>1730000</v>
      </c>
      <c r="M64" s="267">
        <f t="shared" si="13"/>
        <v>2600000</v>
      </c>
      <c r="N64" s="267">
        <f t="shared" si="13"/>
        <v>3470000</v>
      </c>
      <c r="R64" s="266">
        <v>42</v>
      </c>
      <c r="S64" s="267">
        <f t="shared" si="14"/>
        <v>4790</v>
      </c>
      <c r="T64" s="267">
        <f t="shared" si="14"/>
        <v>10000</v>
      </c>
      <c r="U64" s="267">
        <f t="shared" si="14"/>
        <v>17600</v>
      </c>
      <c r="V64" s="267">
        <f t="shared" si="14"/>
        <v>21000</v>
      </c>
      <c r="W64" s="267">
        <f t="shared" si="14"/>
        <v>30800</v>
      </c>
      <c r="X64" s="267">
        <f t="shared" si="14"/>
        <v>53900</v>
      </c>
      <c r="Y64" s="267">
        <f t="shared" si="14"/>
        <v>74800</v>
      </c>
      <c r="Z64" s="267">
        <f t="shared" si="14"/>
        <v>94400</v>
      </c>
      <c r="AA64" s="267">
        <f t="shared" si="14"/>
        <v>113000</v>
      </c>
      <c r="AB64" s="267">
        <f t="shared" si="14"/>
        <v>157000</v>
      </c>
      <c r="AC64" s="267">
        <f t="shared" si="14"/>
        <v>198000</v>
      </c>
      <c r="AD64" s="267">
        <f t="shared" si="14"/>
        <v>275000</v>
      </c>
      <c r="AE64" s="267">
        <f t="shared" si="14"/>
        <v>347000</v>
      </c>
      <c r="AI64" s="266">
        <v>42</v>
      </c>
      <c r="AJ64" s="267">
        <f t="shared" si="15"/>
        <v>8580</v>
      </c>
      <c r="AK64" s="267">
        <f t="shared" si="15"/>
        <v>18200</v>
      </c>
      <c r="AL64" s="267">
        <f t="shared" si="15"/>
        <v>32100</v>
      </c>
      <c r="AM64" s="267">
        <f t="shared" si="15"/>
        <v>38300</v>
      </c>
      <c r="AN64" s="267">
        <f t="shared" si="15"/>
        <v>56700</v>
      </c>
      <c r="AO64" s="267">
        <f t="shared" si="15"/>
        <v>100000</v>
      </c>
      <c r="AP64" s="267">
        <f t="shared" si="15"/>
        <v>140000</v>
      </c>
      <c r="AQ64" s="267">
        <f t="shared" si="15"/>
        <v>177000</v>
      </c>
      <c r="AR64" s="267">
        <f t="shared" si="15"/>
        <v>212000</v>
      </c>
      <c r="AS64" s="267">
        <f t="shared" si="15"/>
        <v>296000</v>
      </c>
      <c r="AT64" s="267">
        <f t="shared" si="15"/>
        <v>374000</v>
      </c>
      <c r="AU64" s="267">
        <f t="shared" si="15"/>
        <v>522000</v>
      </c>
      <c r="AV64" s="267">
        <f t="shared" si="15"/>
        <v>661000</v>
      </c>
    </row>
    <row r="65" spans="1:48" x14ac:dyDescent="0.4">
      <c r="A65" s="268">
        <v>48</v>
      </c>
      <c r="B65" s="269">
        <f t="shared" si="13"/>
        <v>21700</v>
      </c>
      <c r="C65" s="269">
        <f t="shared" si="13"/>
        <v>53700</v>
      </c>
      <c r="D65" s="269">
        <f t="shared" si="13"/>
        <v>107000</v>
      </c>
      <c r="E65" s="269">
        <f t="shared" si="13"/>
        <v>133000</v>
      </c>
      <c r="F65" s="269">
        <f t="shared" si="13"/>
        <v>214000</v>
      </c>
      <c r="G65" s="269">
        <f t="shared" si="13"/>
        <v>427000</v>
      </c>
      <c r="H65" s="269">
        <f t="shared" si="13"/>
        <v>640000</v>
      </c>
      <c r="I65" s="269">
        <f t="shared" si="13"/>
        <v>853000</v>
      </c>
      <c r="J65" s="269">
        <f t="shared" si="13"/>
        <v>1070000</v>
      </c>
      <c r="K65" s="269">
        <f t="shared" si="13"/>
        <v>1600000</v>
      </c>
      <c r="L65" s="269">
        <f t="shared" si="13"/>
        <v>2130000</v>
      </c>
      <c r="M65" s="269">
        <f t="shared" si="13"/>
        <v>3200000</v>
      </c>
      <c r="N65" s="269">
        <f t="shared" si="13"/>
        <v>4260000</v>
      </c>
      <c r="R65" s="268">
        <v>48</v>
      </c>
      <c r="S65" s="269">
        <f t="shared" si="14"/>
        <v>5420</v>
      </c>
      <c r="T65" s="269">
        <f t="shared" si="14"/>
        <v>11400</v>
      </c>
      <c r="U65" s="269">
        <f t="shared" si="14"/>
        <v>19900</v>
      </c>
      <c r="V65" s="269">
        <f t="shared" si="14"/>
        <v>23700</v>
      </c>
      <c r="W65" s="269">
        <f t="shared" si="14"/>
        <v>34800</v>
      </c>
      <c r="X65" s="269">
        <f t="shared" si="14"/>
        <v>60900</v>
      </c>
      <c r="Y65" s="269">
        <f t="shared" si="14"/>
        <v>84600</v>
      </c>
      <c r="Z65" s="269">
        <f t="shared" si="14"/>
        <v>107000</v>
      </c>
      <c r="AA65" s="269">
        <f t="shared" si="14"/>
        <v>128000</v>
      </c>
      <c r="AB65" s="269">
        <f t="shared" si="14"/>
        <v>177000</v>
      </c>
      <c r="AC65" s="269">
        <f t="shared" si="14"/>
        <v>224000</v>
      </c>
      <c r="AD65" s="269">
        <f t="shared" si="14"/>
        <v>310000</v>
      </c>
      <c r="AE65" s="269">
        <f t="shared" si="14"/>
        <v>392000</v>
      </c>
      <c r="AI65" s="268">
        <v>48</v>
      </c>
      <c r="AJ65" s="269">
        <f t="shared" si="15"/>
        <v>9730</v>
      </c>
      <c r="AK65" s="269">
        <f t="shared" si="15"/>
        <v>20600</v>
      </c>
      <c r="AL65" s="269">
        <f t="shared" si="15"/>
        <v>36400</v>
      </c>
      <c r="AM65" s="269">
        <f t="shared" si="15"/>
        <v>43500</v>
      </c>
      <c r="AN65" s="269">
        <f t="shared" si="15"/>
        <v>64300</v>
      </c>
      <c r="AO65" s="269">
        <f t="shared" si="15"/>
        <v>113000</v>
      </c>
      <c r="AP65" s="269">
        <f t="shared" si="15"/>
        <v>158000</v>
      </c>
      <c r="AQ65" s="269">
        <f t="shared" si="15"/>
        <v>200000</v>
      </c>
      <c r="AR65" s="269">
        <f t="shared" si="15"/>
        <v>240000</v>
      </c>
      <c r="AS65" s="269">
        <f t="shared" si="15"/>
        <v>335000</v>
      </c>
      <c r="AT65" s="269">
        <f t="shared" si="15"/>
        <v>425000</v>
      </c>
      <c r="AU65" s="269">
        <f t="shared" si="15"/>
        <v>592000</v>
      </c>
      <c r="AV65" s="269">
        <f t="shared" si="15"/>
        <v>749000</v>
      </c>
    </row>
    <row r="67" spans="1:48" x14ac:dyDescent="0.4">
      <c r="A67" s="258" t="s">
        <v>466</v>
      </c>
      <c r="R67" s="258" t="s">
        <v>467</v>
      </c>
      <c r="AI67" s="258" t="s">
        <v>468</v>
      </c>
    </row>
    <row r="68" spans="1:48" x14ac:dyDescent="0.4">
      <c r="A68" s="270" t="s">
        <v>335</v>
      </c>
      <c r="B68" s="271" t="s">
        <v>288</v>
      </c>
      <c r="R68" s="270" t="s">
        <v>335</v>
      </c>
      <c r="S68" s="271" t="s">
        <v>288</v>
      </c>
      <c r="AI68" s="270" t="s">
        <v>335</v>
      </c>
      <c r="AJ68" s="271" t="s">
        <v>288</v>
      </c>
    </row>
    <row r="69" spans="1:48" x14ac:dyDescent="0.4">
      <c r="A69" s="259" t="s">
        <v>337</v>
      </c>
      <c r="B69" s="260" t="s">
        <v>338</v>
      </c>
      <c r="C69" s="261"/>
      <c r="D69" s="261"/>
      <c r="E69" s="261"/>
      <c r="F69" s="261"/>
      <c r="G69" s="261"/>
      <c r="H69" s="261"/>
      <c r="I69" s="261"/>
      <c r="J69" s="261"/>
      <c r="K69" s="261"/>
      <c r="L69" s="261"/>
      <c r="M69" s="261"/>
      <c r="N69" s="262"/>
      <c r="R69" s="259" t="s">
        <v>337</v>
      </c>
      <c r="S69" s="260" t="s">
        <v>338</v>
      </c>
      <c r="T69" s="261"/>
      <c r="U69" s="261"/>
      <c r="V69" s="261"/>
      <c r="W69" s="261"/>
      <c r="X69" s="261"/>
      <c r="Y69" s="261"/>
      <c r="Z69" s="261"/>
      <c r="AA69" s="261"/>
      <c r="AB69" s="261"/>
      <c r="AC69" s="261"/>
      <c r="AD69" s="261"/>
      <c r="AE69" s="262"/>
      <c r="AI69" s="259" t="s">
        <v>337</v>
      </c>
      <c r="AJ69" s="260" t="s">
        <v>338</v>
      </c>
      <c r="AK69" s="261"/>
      <c r="AL69" s="261"/>
      <c r="AM69" s="261"/>
      <c r="AN69" s="261"/>
      <c r="AO69" s="261"/>
      <c r="AP69" s="261"/>
      <c r="AQ69" s="261"/>
      <c r="AR69" s="261"/>
      <c r="AS69" s="261"/>
      <c r="AT69" s="261"/>
      <c r="AU69" s="261"/>
      <c r="AV69" s="262"/>
    </row>
    <row r="70" spans="1:48" ht="15" thickBot="1" x14ac:dyDescent="0.45">
      <c r="A70" s="263"/>
      <c r="B70" s="263">
        <v>10</v>
      </c>
      <c r="C70" s="263">
        <v>25</v>
      </c>
      <c r="D70" s="263">
        <v>50</v>
      </c>
      <c r="E70" s="263">
        <v>62.1</v>
      </c>
      <c r="F70" s="263">
        <v>100</v>
      </c>
      <c r="G70" s="263">
        <v>200</v>
      </c>
      <c r="H70" s="263">
        <v>300</v>
      </c>
      <c r="I70" s="263">
        <v>400</v>
      </c>
      <c r="J70" s="263">
        <v>500</v>
      </c>
      <c r="K70" s="263">
        <v>750</v>
      </c>
      <c r="L70" s="263">
        <v>1000</v>
      </c>
      <c r="M70" s="263">
        <v>1500</v>
      </c>
      <c r="N70" s="263">
        <v>2000</v>
      </c>
      <c r="R70" s="263"/>
      <c r="S70" s="263">
        <v>10</v>
      </c>
      <c r="T70" s="263">
        <v>25</v>
      </c>
      <c r="U70" s="263">
        <v>50</v>
      </c>
      <c r="V70" s="263">
        <v>62.1</v>
      </c>
      <c r="W70" s="263">
        <v>100</v>
      </c>
      <c r="X70" s="263">
        <v>200</v>
      </c>
      <c r="Y70" s="263">
        <v>300</v>
      </c>
      <c r="Z70" s="263">
        <v>400</v>
      </c>
      <c r="AA70" s="263">
        <v>500</v>
      </c>
      <c r="AB70" s="263">
        <v>750</v>
      </c>
      <c r="AC70" s="263">
        <v>1000</v>
      </c>
      <c r="AD70" s="263">
        <v>1500</v>
      </c>
      <c r="AE70" s="263">
        <v>2000</v>
      </c>
      <c r="AI70" s="263"/>
      <c r="AJ70" s="263">
        <v>10</v>
      </c>
      <c r="AK70" s="263">
        <v>25</v>
      </c>
      <c r="AL70" s="263">
        <v>50</v>
      </c>
      <c r="AM70" s="263">
        <v>62.1</v>
      </c>
      <c r="AN70" s="263">
        <v>100</v>
      </c>
      <c r="AO70" s="263">
        <v>200</v>
      </c>
      <c r="AP70" s="263">
        <v>300</v>
      </c>
      <c r="AQ70" s="263">
        <v>400</v>
      </c>
      <c r="AR70" s="263">
        <v>500</v>
      </c>
      <c r="AS70" s="263">
        <v>750</v>
      </c>
      <c r="AT70" s="263">
        <v>1000</v>
      </c>
      <c r="AU70" s="263">
        <v>1500</v>
      </c>
      <c r="AV70" s="263">
        <v>2000</v>
      </c>
    </row>
    <row r="71" spans="1:48" x14ac:dyDescent="0.4">
      <c r="A71" s="264">
        <v>8</v>
      </c>
      <c r="B71" s="265">
        <f t="shared" ref="B71:N80" si="16">sigfig(CpParker($A71,B$70,$B$68,$B$5),$B$3)*0.001</f>
        <v>493</v>
      </c>
      <c r="C71" s="265">
        <f t="shared" si="16"/>
        <v>1150</v>
      </c>
      <c r="D71" s="265">
        <f t="shared" si="16"/>
        <v>2260</v>
      </c>
      <c r="E71" s="265">
        <f t="shared" si="16"/>
        <v>2790</v>
      </c>
      <c r="F71" s="265">
        <f t="shared" si="16"/>
        <v>4470</v>
      </c>
      <c r="G71" s="265">
        <f t="shared" si="16"/>
        <v>8880</v>
      </c>
      <c r="H71" s="265">
        <f t="shared" si="16"/>
        <v>13300</v>
      </c>
      <c r="I71" s="265">
        <f t="shared" si="16"/>
        <v>17700</v>
      </c>
      <c r="J71" s="265">
        <f t="shared" si="16"/>
        <v>22100</v>
      </c>
      <c r="K71" s="265">
        <f t="shared" si="16"/>
        <v>33200</v>
      </c>
      <c r="L71" s="265">
        <f t="shared" si="16"/>
        <v>44200</v>
      </c>
      <c r="M71" s="265">
        <f t="shared" si="16"/>
        <v>66300</v>
      </c>
      <c r="N71" s="265">
        <f t="shared" si="16"/>
        <v>88300</v>
      </c>
      <c r="R71" s="264">
        <v>8</v>
      </c>
      <c r="S71" s="265">
        <f t="shared" ref="S71:AE80" si="17">sigfig(CpRui($R71,S$70,$S$4,$S$68,$S$5),$S$3)*0.001</f>
        <v>214</v>
      </c>
      <c r="T71" s="265">
        <f t="shared" si="17"/>
        <v>548</v>
      </c>
      <c r="U71" s="265">
        <f t="shared" si="17"/>
        <v>1120</v>
      </c>
      <c r="V71" s="265">
        <f t="shared" si="17"/>
        <v>1400</v>
      </c>
      <c r="W71" s="265">
        <f t="shared" si="17"/>
        <v>2280</v>
      </c>
      <c r="X71" s="265">
        <f t="shared" si="17"/>
        <v>4640</v>
      </c>
      <c r="Y71" s="265">
        <f t="shared" si="17"/>
        <v>7040</v>
      </c>
      <c r="Z71" s="265">
        <f t="shared" si="17"/>
        <v>9450</v>
      </c>
      <c r="AA71" s="265">
        <f t="shared" si="17"/>
        <v>11900</v>
      </c>
      <c r="AB71" s="265">
        <f t="shared" si="17"/>
        <v>18000</v>
      </c>
      <c r="AC71" s="265">
        <f t="shared" si="17"/>
        <v>24200</v>
      </c>
      <c r="AD71" s="265">
        <f t="shared" si="17"/>
        <v>36700</v>
      </c>
      <c r="AE71" s="265">
        <f t="shared" si="17"/>
        <v>49400</v>
      </c>
      <c r="AI71" s="264">
        <v>8</v>
      </c>
      <c r="AJ71" s="265">
        <f t="shared" ref="AJ71:AV80" si="18">sigfig(Cpmccoy($AI71,AJ$70,$AJ$4,$AJ$68,$AJ$5),$AJ$3)*0.001</f>
        <v>185</v>
      </c>
      <c r="AK71" s="265">
        <f t="shared" si="18"/>
        <v>485</v>
      </c>
      <c r="AL71" s="265">
        <f t="shared" si="18"/>
        <v>1000</v>
      </c>
      <c r="AM71" s="265">
        <f t="shared" si="18"/>
        <v>1260</v>
      </c>
      <c r="AN71" s="265">
        <f t="shared" si="18"/>
        <v>2080</v>
      </c>
      <c r="AO71" s="265">
        <f t="shared" si="18"/>
        <v>4290</v>
      </c>
      <c r="AP71" s="265">
        <f t="shared" si="18"/>
        <v>6570</v>
      </c>
      <c r="AQ71" s="265">
        <f t="shared" si="18"/>
        <v>8890</v>
      </c>
      <c r="AR71" s="265">
        <f t="shared" si="18"/>
        <v>11200</v>
      </c>
      <c r="AS71" s="265">
        <f t="shared" si="18"/>
        <v>17200</v>
      </c>
      <c r="AT71" s="265">
        <f t="shared" si="18"/>
        <v>23200</v>
      </c>
      <c r="AU71" s="265">
        <f t="shared" si="18"/>
        <v>35600</v>
      </c>
      <c r="AV71" s="265">
        <f t="shared" si="18"/>
        <v>48100</v>
      </c>
    </row>
    <row r="72" spans="1:48" x14ac:dyDescent="0.4">
      <c r="A72" s="266">
        <v>10</v>
      </c>
      <c r="B72" s="267">
        <f t="shared" si="16"/>
        <v>508</v>
      </c>
      <c r="C72" s="267">
        <f t="shared" si="16"/>
        <v>1190</v>
      </c>
      <c r="D72" s="267">
        <f t="shared" si="16"/>
        <v>2330</v>
      </c>
      <c r="E72" s="267">
        <f t="shared" si="16"/>
        <v>2880</v>
      </c>
      <c r="F72" s="267">
        <f t="shared" si="16"/>
        <v>4610</v>
      </c>
      <c r="G72" s="267">
        <f t="shared" si="16"/>
        <v>9180</v>
      </c>
      <c r="H72" s="267">
        <f t="shared" si="16"/>
        <v>13700</v>
      </c>
      <c r="I72" s="267">
        <f t="shared" si="16"/>
        <v>18300</v>
      </c>
      <c r="J72" s="267">
        <f t="shared" si="16"/>
        <v>22900</v>
      </c>
      <c r="K72" s="267">
        <f t="shared" si="16"/>
        <v>34300</v>
      </c>
      <c r="L72" s="267">
        <f t="shared" si="16"/>
        <v>45700</v>
      </c>
      <c r="M72" s="267">
        <f t="shared" si="16"/>
        <v>68500</v>
      </c>
      <c r="N72" s="267">
        <f t="shared" si="16"/>
        <v>91300</v>
      </c>
      <c r="R72" s="266">
        <v>10</v>
      </c>
      <c r="S72" s="267">
        <f t="shared" si="17"/>
        <v>233</v>
      </c>
      <c r="T72" s="267">
        <f t="shared" si="17"/>
        <v>597</v>
      </c>
      <c r="U72" s="267">
        <f t="shared" si="17"/>
        <v>1220</v>
      </c>
      <c r="V72" s="267">
        <f t="shared" si="17"/>
        <v>1520</v>
      </c>
      <c r="W72" s="267">
        <f t="shared" si="17"/>
        <v>2480</v>
      </c>
      <c r="X72" s="267">
        <f t="shared" si="17"/>
        <v>5050</v>
      </c>
      <c r="Y72" s="267">
        <f t="shared" si="17"/>
        <v>7660</v>
      </c>
      <c r="Z72" s="267">
        <f t="shared" si="17"/>
        <v>10300</v>
      </c>
      <c r="AA72" s="267">
        <f t="shared" si="17"/>
        <v>12900</v>
      </c>
      <c r="AB72" s="267">
        <f t="shared" si="17"/>
        <v>19600</v>
      </c>
      <c r="AC72" s="267">
        <f t="shared" si="17"/>
        <v>26400</v>
      </c>
      <c r="AD72" s="267">
        <f t="shared" si="17"/>
        <v>40000</v>
      </c>
      <c r="AE72" s="267">
        <f t="shared" si="17"/>
        <v>53800</v>
      </c>
      <c r="AI72" s="266">
        <v>10</v>
      </c>
      <c r="AJ72" s="267">
        <f t="shared" si="18"/>
        <v>203</v>
      </c>
      <c r="AK72" s="267">
        <f t="shared" si="18"/>
        <v>530</v>
      </c>
      <c r="AL72" s="267">
        <f t="shared" si="18"/>
        <v>1100</v>
      </c>
      <c r="AM72" s="267">
        <f t="shared" si="18"/>
        <v>1380</v>
      </c>
      <c r="AN72" s="267">
        <f t="shared" si="18"/>
        <v>2270</v>
      </c>
      <c r="AO72" s="267">
        <f t="shared" si="18"/>
        <v>4700</v>
      </c>
      <c r="AP72" s="267">
        <f t="shared" si="18"/>
        <v>7190</v>
      </c>
      <c r="AQ72" s="267">
        <f t="shared" si="18"/>
        <v>9720</v>
      </c>
      <c r="AR72" s="267">
        <f t="shared" si="18"/>
        <v>12300</v>
      </c>
      <c r="AS72" s="267">
        <f t="shared" si="18"/>
        <v>18800</v>
      </c>
      <c r="AT72" s="267">
        <f t="shared" si="18"/>
        <v>25400</v>
      </c>
      <c r="AU72" s="267">
        <f t="shared" si="18"/>
        <v>38900</v>
      </c>
      <c r="AV72" s="267">
        <f t="shared" si="18"/>
        <v>52600</v>
      </c>
    </row>
    <row r="73" spans="1:48" x14ac:dyDescent="0.4">
      <c r="A73" s="266">
        <v>12</v>
      </c>
      <c r="B73" s="267">
        <f t="shared" si="16"/>
        <v>522</v>
      </c>
      <c r="C73" s="267">
        <f t="shared" si="16"/>
        <v>1230</v>
      </c>
      <c r="D73" s="267">
        <f t="shared" si="16"/>
        <v>2410</v>
      </c>
      <c r="E73" s="267">
        <f t="shared" si="16"/>
        <v>2980</v>
      </c>
      <c r="F73" s="267">
        <f t="shared" si="16"/>
        <v>4760</v>
      </c>
      <c r="G73" s="267">
        <f t="shared" si="16"/>
        <v>9470</v>
      </c>
      <c r="H73" s="267">
        <f t="shared" si="16"/>
        <v>14200</v>
      </c>
      <c r="I73" s="267">
        <f t="shared" si="16"/>
        <v>18900</v>
      </c>
      <c r="J73" s="267">
        <f t="shared" si="16"/>
        <v>23600</v>
      </c>
      <c r="K73" s="267">
        <f t="shared" si="16"/>
        <v>35400</v>
      </c>
      <c r="L73" s="267">
        <f t="shared" si="16"/>
        <v>47200</v>
      </c>
      <c r="M73" s="267">
        <f t="shared" si="16"/>
        <v>70700</v>
      </c>
      <c r="N73" s="267">
        <f t="shared" si="16"/>
        <v>94300</v>
      </c>
      <c r="R73" s="266">
        <v>12</v>
      </c>
      <c r="S73" s="267">
        <f t="shared" si="17"/>
        <v>250</v>
      </c>
      <c r="T73" s="267">
        <f t="shared" si="17"/>
        <v>640</v>
      </c>
      <c r="U73" s="267">
        <f t="shared" si="17"/>
        <v>1300</v>
      </c>
      <c r="V73" s="267">
        <f t="shared" si="17"/>
        <v>1630</v>
      </c>
      <c r="W73" s="267">
        <f t="shared" si="17"/>
        <v>2660</v>
      </c>
      <c r="X73" s="267">
        <f t="shared" si="17"/>
        <v>5420</v>
      </c>
      <c r="Y73" s="267">
        <f t="shared" si="17"/>
        <v>8210</v>
      </c>
      <c r="Z73" s="267">
        <f t="shared" si="17"/>
        <v>11000</v>
      </c>
      <c r="AA73" s="267">
        <f t="shared" si="17"/>
        <v>13900</v>
      </c>
      <c r="AB73" s="267">
        <f t="shared" si="17"/>
        <v>21100</v>
      </c>
      <c r="AC73" s="267">
        <f t="shared" si="17"/>
        <v>28300</v>
      </c>
      <c r="AD73" s="267">
        <f t="shared" si="17"/>
        <v>42900</v>
      </c>
      <c r="AE73" s="267">
        <f t="shared" si="17"/>
        <v>57600</v>
      </c>
      <c r="AI73" s="266">
        <v>12</v>
      </c>
      <c r="AJ73" s="267">
        <f t="shared" si="18"/>
        <v>218</v>
      </c>
      <c r="AK73" s="267">
        <f t="shared" si="18"/>
        <v>571</v>
      </c>
      <c r="AL73" s="267">
        <f t="shared" si="18"/>
        <v>1180</v>
      </c>
      <c r="AM73" s="267">
        <f t="shared" si="18"/>
        <v>1480</v>
      </c>
      <c r="AN73" s="267">
        <f t="shared" si="18"/>
        <v>2440</v>
      </c>
      <c r="AO73" s="267">
        <f t="shared" si="18"/>
        <v>5060</v>
      </c>
      <c r="AP73" s="267">
        <f t="shared" si="18"/>
        <v>7740</v>
      </c>
      <c r="AQ73" s="267">
        <f t="shared" si="18"/>
        <v>10500</v>
      </c>
      <c r="AR73" s="267">
        <f t="shared" si="18"/>
        <v>13200</v>
      </c>
      <c r="AS73" s="267">
        <f t="shared" si="18"/>
        <v>20200</v>
      </c>
      <c r="AT73" s="267">
        <f t="shared" si="18"/>
        <v>27400</v>
      </c>
      <c r="AU73" s="267">
        <f t="shared" si="18"/>
        <v>41900</v>
      </c>
      <c r="AV73" s="267">
        <f t="shared" si="18"/>
        <v>56600</v>
      </c>
    </row>
    <row r="74" spans="1:48" x14ac:dyDescent="0.4">
      <c r="A74" s="266">
        <v>16</v>
      </c>
      <c r="B74" s="267">
        <f t="shared" si="16"/>
        <v>552</v>
      </c>
      <c r="C74" s="267">
        <f t="shared" si="16"/>
        <v>1300</v>
      </c>
      <c r="D74" s="267">
        <f t="shared" si="16"/>
        <v>2550</v>
      </c>
      <c r="E74" s="267">
        <f t="shared" si="16"/>
        <v>3160</v>
      </c>
      <c r="F74" s="267">
        <f t="shared" si="16"/>
        <v>5060</v>
      </c>
      <c r="G74" s="267">
        <f t="shared" si="16"/>
        <v>10100</v>
      </c>
      <c r="H74" s="267">
        <f t="shared" si="16"/>
        <v>15100</v>
      </c>
      <c r="I74" s="267">
        <f t="shared" si="16"/>
        <v>20100</v>
      </c>
      <c r="J74" s="267">
        <f t="shared" si="16"/>
        <v>25100</v>
      </c>
      <c r="K74" s="267">
        <f t="shared" si="16"/>
        <v>37600</v>
      </c>
      <c r="L74" s="267">
        <f t="shared" si="16"/>
        <v>50100</v>
      </c>
      <c r="M74" s="267">
        <f t="shared" si="16"/>
        <v>75100</v>
      </c>
      <c r="N74" s="267">
        <f t="shared" si="16"/>
        <v>100000</v>
      </c>
      <c r="R74" s="266">
        <v>16</v>
      </c>
      <c r="S74" s="267">
        <f t="shared" si="17"/>
        <v>279</v>
      </c>
      <c r="T74" s="267">
        <f t="shared" si="17"/>
        <v>715</v>
      </c>
      <c r="U74" s="267">
        <f t="shared" si="17"/>
        <v>1460</v>
      </c>
      <c r="V74" s="267">
        <f t="shared" si="17"/>
        <v>1820</v>
      </c>
      <c r="W74" s="267">
        <f t="shared" si="17"/>
        <v>2970</v>
      </c>
      <c r="X74" s="267">
        <f t="shared" si="17"/>
        <v>6050</v>
      </c>
      <c r="Y74" s="267">
        <f t="shared" si="17"/>
        <v>9170</v>
      </c>
      <c r="Z74" s="267">
        <f t="shared" si="17"/>
        <v>12300</v>
      </c>
      <c r="AA74" s="267">
        <f t="shared" si="17"/>
        <v>15500</v>
      </c>
      <c r="AB74" s="267">
        <f t="shared" si="17"/>
        <v>23500</v>
      </c>
      <c r="AC74" s="267">
        <f t="shared" si="17"/>
        <v>31600</v>
      </c>
      <c r="AD74" s="267">
        <f t="shared" si="17"/>
        <v>47900</v>
      </c>
      <c r="AE74" s="267">
        <f t="shared" si="17"/>
        <v>64300</v>
      </c>
      <c r="AI74" s="266">
        <v>16</v>
      </c>
      <c r="AJ74" s="267">
        <f t="shared" si="18"/>
        <v>245</v>
      </c>
      <c r="AK74" s="267">
        <f t="shared" si="18"/>
        <v>641</v>
      </c>
      <c r="AL74" s="267">
        <f t="shared" si="18"/>
        <v>1330</v>
      </c>
      <c r="AM74" s="267">
        <f t="shared" si="18"/>
        <v>1660</v>
      </c>
      <c r="AN74" s="267">
        <f t="shared" si="18"/>
        <v>2740</v>
      </c>
      <c r="AO74" s="267">
        <f t="shared" si="18"/>
        <v>5680</v>
      </c>
      <c r="AP74" s="267">
        <f t="shared" si="18"/>
        <v>8690</v>
      </c>
      <c r="AQ74" s="267">
        <f t="shared" si="18"/>
        <v>11700</v>
      </c>
      <c r="AR74" s="267">
        <f t="shared" si="18"/>
        <v>14800</v>
      </c>
      <c r="AS74" s="267">
        <f t="shared" si="18"/>
        <v>22700</v>
      </c>
      <c r="AT74" s="267">
        <f t="shared" si="18"/>
        <v>30700</v>
      </c>
      <c r="AU74" s="267">
        <f t="shared" si="18"/>
        <v>47000</v>
      </c>
      <c r="AV74" s="267">
        <f t="shared" si="18"/>
        <v>63600</v>
      </c>
    </row>
    <row r="75" spans="1:48" x14ac:dyDescent="0.4">
      <c r="A75" s="266">
        <v>20</v>
      </c>
      <c r="B75" s="267">
        <f t="shared" si="16"/>
        <v>582</v>
      </c>
      <c r="C75" s="267">
        <f t="shared" si="16"/>
        <v>1380</v>
      </c>
      <c r="D75" s="267">
        <f t="shared" si="16"/>
        <v>2700</v>
      </c>
      <c r="E75" s="267">
        <f t="shared" si="16"/>
        <v>3340</v>
      </c>
      <c r="F75" s="267">
        <f t="shared" si="16"/>
        <v>5350</v>
      </c>
      <c r="G75" s="267">
        <f t="shared" si="16"/>
        <v>10700</v>
      </c>
      <c r="H75" s="267">
        <f t="shared" si="16"/>
        <v>16000</v>
      </c>
      <c r="I75" s="267">
        <f t="shared" si="16"/>
        <v>21300</v>
      </c>
      <c r="J75" s="267">
        <f t="shared" si="16"/>
        <v>26600</v>
      </c>
      <c r="K75" s="267">
        <f t="shared" si="16"/>
        <v>39800</v>
      </c>
      <c r="L75" s="267">
        <f t="shared" si="16"/>
        <v>53100</v>
      </c>
      <c r="M75" s="267">
        <f t="shared" si="16"/>
        <v>79600</v>
      </c>
      <c r="N75" s="267">
        <f t="shared" si="16"/>
        <v>106000</v>
      </c>
      <c r="R75" s="266">
        <v>20</v>
      </c>
      <c r="S75" s="267">
        <f t="shared" si="17"/>
        <v>304</v>
      </c>
      <c r="T75" s="267">
        <f t="shared" si="17"/>
        <v>778</v>
      </c>
      <c r="U75" s="267">
        <f t="shared" si="17"/>
        <v>1590</v>
      </c>
      <c r="V75" s="267">
        <f t="shared" si="17"/>
        <v>1980</v>
      </c>
      <c r="W75" s="267">
        <f t="shared" si="17"/>
        <v>3230</v>
      </c>
      <c r="X75" s="267">
        <f t="shared" si="17"/>
        <v>6580</v>
      </c>
      <c r="Y75" s="267">
        <f t="shared" si="17"/>
        <v>9980</v>
      </c>
      <c r="Z75" s="267">
        <f t="shared" si="17"/>
        <v>13400</v>
      </c>
      <c r="AA75" s="267">
        <f t="shared" si="17"/>
        <v>16900</v>
      </c>
      <c r="AB75" s="267">
        <f t="shared" si="17"/>
        <v>25600</v>
      </c>
      <c r="AC75" s="267">
        <f t="shared" si="17"/>
        <v>34400</v>
      </c>
      <c r="AD75" s="267">
        <f t="shared" si="17"/>
        <v>52100</v>
      </c>
      <c r="AE75" s="267">
        <f t="shared" si="17"/>
        <v>70100</v>
      </c>
      <c r="AI75" s="266">
        <v>20</v>
      </c>
      <c r="AJ75" s="267">
        <f t="shared" si="18"/>
        <v>268</v>
      </c>
      <c r="AK75" s="267">
        <f t="shared" si="18"/>
        <v>701</v>
      </c>
      <c r="AL75" s="267">
        <f t="shared" si="18"/>
        <v>1450</v>
      </c>
      <c r="AM75" s="267">
        <f t="shared" si="18"/>
        <v>1820</v>
      </c>
      <c r="AN75" s="267">
        <f t="shared" si="18"/>
        <v>3000</v>
      </c>
      <c r="AO75" s="267">
        <f t="shared" si="18"/>
        <v>6210</v>
      </c>
      <c r="AP75" s="267">
        <f t="shared" si="18"/>
        <v>9510</v>
      </c>
      <c r="AQ75" s="267">
        <f t="shared" si="18"/>
        <v>12900</v>
      </c>
      <c r="AR75" s="267">
        <f t="shared" si="18"/>
        <v>16200</v>
      </c>
      <c r="AS75" s="267">
        <f t="shared" si="18"/>
        <v>24900</v>
      </c>
      <c r="AT75" s="267">
        <f t="shared" si="18"/>
        <v>33600</v>
      </c>
      <c r="AU75" s="267">
        <f t="shared" si="18"/>
        <v>51400</v>
      </c>
      <c r="AV75" s="267">
        <f t="shared" si="18"/>
        <v>69500</v>
      </c>
    </row>
    <row r="76" spans="1:48" x14ac:dyDescent="0.4">
      <c r="A76" s="266">
        <v>24</v>
      </c>
      <c r="B76" s="267">
        <f t="shared" si="16"/>
        <v>611</v>
      </c>
      <c r="C76" s="267">
        <f t="shared" si="16"/>
        <v>1450</v>
      </c>
      <c r="D76" s="267">
        <f t="shared" si="16"/>
        <v>2850</v>
      </c>
      <c r="E76" s="267">
        <f t="shared" si="16"/>
        <v>3530</v>
      </c>
      <c r="F76" s="267">
        <f t="shared" si="16"/>
        <v>5650</v>
      </c>
      <c r="G76" s="267">
        <f t="shared" si="16"/>
        <v>11200</v>
      </c>
      <c r="H76" s="267">
        <f t="shared" si="16"/>
        <v>16800</v>
      </c>
      <c r="I76" s="267">
        <f t="shared" si="16"/>
        <v>22400</v>
      </c>
      <c r="J76" s="267">
        <f t="shared" si="16"/>
        <v>28000</v>
      </c>
      <c r="K76" s="267">
        <f t="shared" si="16"/>
        <v>42000</v>
      </c>
      <c r="L76" s="267">
        <f t="shared" si="16"/>
        <v>56000</v>
      </c>
      <c r="M76" s="267">
        <f t="shared" si="16"/>
        <v>84000</v>
      </c>
      <c r="N76" s="267">
        <f t="shared" si="16"/>
        <v>112000</v>
      </c>
      <c r="R76" s="266">
        <v>24</v>
      </c>
      <c r="S76" s="267">
        <f t="shared" si="17"/>
        <v>326</v>
      </c>
      <c r="T76" s="267">
        <f t="shared" si="17"/>
        <v>834</v>
      </c>
      <c r="U76" s="267">
        <f t="shared" si="17"/>
        <v>1700</v>
      </c>
      <c r="V76" s="267">
        <f t="shared" si="17"/>
        <v>2120</v>
      </c>
      <c r="W76" s="267">
        <f t="shared" si="17"/>
        <v>3460</v>
      </c>
      <c r="X76" s="267">
        <f t="shared" si="17"/>
        <v>7060</v>
      </c>
      <c r="Y76" s="267">
        <f t="shared" si="17"/>
        <v>10700</v>
      </c>
      <c r="Z76" s="267">
        <f t="shared" si="17"/>
        <v>14400</v>
      </c>
      <c r="AA76" s="267">
        <f t="shared" si="17"/>
        <v>18100</v>
      </c>
      <c r="AB76" s="267">
        <f t="shared" si="17"/>
        <v>27400</v>
      </c>
      <c r="AC76" s="267">
        <f t="shared" si="17"/>
        <v>36900</v>
      </c>
      <c r="AD76" s="267">
        <f t="shared" si="17"/>
        <v>55900</v>
      </c>
      <c r="AE76" s="267">
        <f t="shared" si="17"/>
        <v>75100</v>
      </c>
      <c r="AI76" s="266">
        <v>24</v>
      </c>
      <c r="AJ76" s="267">
        <f t="shared" si="18"/>
        <v>289</v>
      </c>
      <c r="AK76" s="267">
        <f t="shared" si="18"/>
        <v>755</v>
      </c>
      <c r="AL76" s="267">
        <f t="shared" si="18"/>
        <v>1560</v>
      </c>
      <c r="AM76" s="267">
        <f t="shared" si="18"/>
        <v>1960</v>
      </c>
      <c r="AN76" s="267">
        <f t="shared" si="18"/>
        <v>3230</v>
      </c>
      <c r="AO76" s="267">
        <f t="shared" si="18"/>
        <v>6690</v>
      </c>
      <c r="AP76" s="267">
        <f t="shared" si="18"/>
        <v>10200</v>
      </c>
      <c r="AQ76" s="267">
        <f t="shared" si="18"/>
        <v>13800</v>
      </c>
      <c r="AR76" s="267">
        <f t="shared" si="18"/>
        <v>17500</v>
      </c>
      <c r="AS76" s="267">
        <f t="shared" si="18"/>
        <v>26800</v>
      </c>
      <c r="AT76" s="267">
        <f t="shared" si="18"/>
        <v>36200</v>
      </c>
      <c r="AU76" s="267">
        <f t="shared" si="18"/>
        <v>55400</v>
      </c>
      <c r="AV76" s="267">
        <f t="shared" si="18"/>
        <v>74800</v>
      </c>
    </row>
    <row r="77" spans="1:48" x14ac:dyDescent="0.4">
      <c r="A77" s="266">
        <v>30</v>
      </c>
      <c r="B77" s="267">
        <f t="shared" si="16"/>
        <v>656</v>
      </c>
      <c r="C77" s="267">
        <f t="shared" si="16"/>
        <v>1560</v>
      </c>
      <c r="D77" s="267">
        <f t="shared" si="16"/>
        <v>3070</v>
      </c>
      <c r="E77" s="267">
        <f t="shared" si="16"/>
        <v>3800</v>
      </c>
      <c r="F77" s="267">
        <f t="shared" si="16"/>
        <v>6090</v>
      </c>
      <c r="G77" s="267">
        <f t="shared" si="16"/>
        <v>12100</v>
      </c>
      <c r="H77" s="267">
        <f t="shared" si="16"/>
        <v>18200</v>
      </c>
      <c r="I77" s="267">
        <f t="shared" si="16"/>
        <v>24200</v>
      </c>
      <c r="J77" s="267">
        <f t="shared" si="16"/>
        <v>30300</v>
      </c>
      <c r="K77" s="267">
        <f t="shared" si="16"/>
        <v>45400</v>
      </c>
      <c r="L77" s="267">
        <f t="shared" si="16"/>
        <v>60500</v>
      </c>
      <c r="M77" s="267">
        <f t="shared" si="16"/>
        <v>90700</v>
      </c>
      <c r="N77" s="267">
        <f t="shared" si="16"/>
        <v>121000</v>
      </c>
      <c r="R77" s="266">
        <v>30</v>
      </c>
      <c r="S77" s="267">
        <f t="shared" si="17"/>
        <v>354</v>
      </c>
      <c r="T77" s="267">
        <f t="shared" si="17"/>
        <v>908</v>
      </c>
      <c r="U77" s="267">
        <f t="shared" si="17"/>
        <v>1850</v>
      </c>
      <c r="V77" s="267">
        <f t="shared" si="17"/>
        <v>2310</v>
      </c>
      <c r="W77" s="267">
        <f t="shared" si="17"/>
        <v>3770</v>
      </c>
      <c r="X77" s="267">
        <f t="shared" si="17"/>
        <v>7690</v>
      </c>
      <c r="Y77" s="267">
        <f t="shared" si="17"/>
        <v>11700</v>
      </c>
      <c r="Z77" s="267">
        <f t="shared" si="17"/>
        <v>15700</v>
      </c>
      <c r="AA77" s="267">
        <f t="shared" si="17"/>
        <v>19700</v>
      </c>
      <c r="AB77" s="267">
        <f t="shared" si="17"/>
        <v>29900</v>
      </c>
      <c r="AC77" s="267">
        <f t="shared" si="17"/>
        <v>40100</v>
      </c>
      <c r="AD77" s="267">
        <f t="shared" si="17"/>
        <v>60900</v>
      </c>
      <c r="AE77" s="267">
        <f t="shared" si="17"/>
        <v>81800</v>
      </c>
      <c r="AI77" s="266">
        <v>30</v>
      </c>
      <c r="AJ77" s="267">
        <f t="shared" si="18"/>
        <v>316</v>
      </c>
      <c r="AK77" s="267">
        <f t="shared" si="18"/>
        <v>826</v>
      </c>
      <c r="AL77" s="267">
        <f t="shared" si="18"/>
        <v>1710</v>
      </c>
      <c r="AM77" s="267">
        <f t="shared" si="18"/>
        <v>2140</v>
      </c>
      <c r="AN77" s="267">
        <f t="shared" si="18"/>
        <v>3540</v>
      </c>
      <c r="AO77" s="267">
        <f t="shared" si="18"/>
        <v>7320</v>
      </c>
      <c r="AP77" s="267">
        <f t="shared" si="18"/>
        <v>11200</v>
      </c>
      <c r="AQ77" s="267">
        <f t="shared" si="18"/>
        <v>15100</v>
      </c>
      <c r="AR77" s="267">
        <f t="shared" si="18"/>
        <v>19100</v>
      </c>
      <c r="AS77" s="267">
        <f t="shared" si="18"/>
        <v>29300</v>
      </c>
      <c r="AT77" s="267">
        <f t="shared" si="18"/>
        <v>39600</v>
      </c>
      <c r="AU77" s="267">
        <f t="shared" si="18"/>
        <v>60600</v>
      </c>
      <c r="AV77" s="267">
        <f t="shared" si="18"/>
        <v>81900</v>
      </c>
    </row>
    <row r="78" spans="1:48" x14ac:dyDescent="0.4">
      <c r="A78" s="266">
        <v>36</v>
      </c>
      <c r="B78" s="267">
        <f t="shared" si="16"/>
        <v>700</v>
      </c>
      <c r="C78" s="267">
        <f t="shared" si="16"/>
        <v>1670</v>
      </c>
      <c r="D78" s="267">
        <f t="shared" si="16"/>
        <v>3290</v>
      </c>
      <c r="E78" s="267">
        <f t="shared" si="16"/>
        <v>4080</v>
      </c>
      <c r="F78" s="267">
        <f t="shared" si="16"/>
        <v>6540</v>
      </c>
      <c r="G78" s="267">
        <f t="shared" si="16"/>
        <v>13000</v>
      </c>
      <c r="H78" s="267">
        <f t="shared" si="16"/>
        <v>19500</v>
      </c>
      <c r="I78" s="267">
        <f t="shared" si="16"/>
        <v>26000</v>
      </c>
      <c r="J78" s="267">
        <f t="shared" si="16"/>
        <v>32500</v>
      </c>
      <c r="K78" s="267">
        <f t="shared" si="16"/>
        <v>48700</v>
      </c>
      <c r="L78" s="267">
        <f t="shared" si="16"/>
        <v>64900</v>
      </c>
      <c r="M78" s="267">
        <f t="shared" si="16"/>
        <v>97400</v>
      </c>
      <c r="N78" s="267">
        <f t="shared" si="16"/>
        <v>130000</v>
      </c>
      <c r="R78" s="266">
        <v>36</v>
      </c>
      <c r="S78" s="267">
        <f t="shared" si="17"/>
        <v>380</v>
      </c>
      <c r="T78" s="267">
        <f t="shared" si="17"/>
        <v>974</v>
      </c>
      <c r="U78" s="267">
        <f t="shared" si="17"/>
        <v>1980</v>
      </c>
      <c r="V78" s="267">
        <f t="shared" si="17"/>
        <v>2480</v>
      </c>
      <c r="W78" s="267">
        <f t="shared" si="17"/>
        <v>4040</v>
      </c>
      <c r="X78" s="267">
        <f t="shared" si="17"/>
        <v>8240</v>
      </c>
      <c r="Y78" s="267">
        <f t="shared" si="17"/>
        <v>12500</v>
      </c>
      <c r="Z78" s="267">
        <f t="shared" si="17"/>
        <v>16800</v>
      </c>
      <c r="AA78" s="267">
        <f t="shared" si="17"/>
        <v>21100</v>
      </c>
      <c r="AB78" s="267">
        <f t="shared" si="17"/>
        <v>32000</v>
      </c>
      <c r="AC78" s="267">
        <f t="shared" si="17"/>
        <v>43000</v>
      </c>
      <c r="AD78" s="267">
        <f t="shared" si="17"/>
        <v>65300</v>
      </c>
      <c r="AE78" s="267">
        <f t="shared" si="17"/>
        <v>87700</v>
      </c>
      <c r="AI78" s="266">
        <v>36</v>
      </c>
      <c r="AJ78" s="267">
        <f t="shared" si="18"/>
        <v>340</v>
      </c>
      <c r="AK78" s="267">
        <f t="shared" si="18"/>
        <v>889</v>
      </c>
      <c r="AL78" s="267">
        <f t="shared" si="18"/>
        <v>1840</v>
      </c>
      <c r="AM78" s="267">
        <f t="shared" si="18"/>
        <v>2310</v>
      </c>
      <c r="AN78" s="267">
        <f t="shared" si="18"/>
        <v>3810</v>
      </c>
      <c r="AO78" s="267">
        <f t="shared" si="18"/>
        <v>7870</v>
      </c>
      <c r="AP78" s="267">
        <f t="shared" si="18"/>
        <v>12000</v>
      </c>
      <c r="AQ78" s="267">
        <f t="shared" si="18"/>
        <v>16300</v>
      </c>
      <c r="AR78" s="267">
        <f t="shared" si="18"/>
        <v>20600</v>
      </c>
      <c r="AS78" s="267">
        <f t="shared" si="18"/>
        <v>31500</v>
      </c>
      <c r="AT78" s="267">
        <f t="shared" si="18"/>
        <v>42600</v>
      </c>
      <c r="AU78" s="267">
        <f t="shared" si="18"/>
        <v>65200</v>
      </c>
      <c r="AV78" s="267">
        <f t="shared" si="18"/>
        <v>88100</v>
      </c>
    </row>
    <row r="79" spans="1:48" x14ac:dyDescent="0.4">
      <c r="A79" s="266">
        <v>42</v>
      </c>
      <c r="B79" s="267">
        <f t="shared" si="16"/>
        <v>744</v>
      </c>
      <c r="C79" s="267">
        <f t="shared" si="16"/>
        <v>1780</v>
      </c>
      <c r="D79" s="267">
        <f t="shared" si="16"/>
        <v>3520</v>
      </c>
      <c r="E79" s="267">
        <f t="shared" si="16"/>
        <v>4360</v>
      </c>
      <c r="F79" s="267">
        <f t="shared" si="16"/>
        <v>6980</v>
      </c>
      <c r="G79" s="267">
        <f t="shared" si="16"/>
        <v>13900</v>
      </c>
      <c r="H79" s="267">
        <f t="shared" si="16"/>
        <v>20800</v>
      </c>
      <c r="I79" s="267">
        <f t="shared" si="16"/>
        <v>27800</v>
      </c>
      <c r="J79" s="267">
        <f t="shared" si="16"/>
        <v>34700</v>
      </c>
      <c r="K79" s="267">
        <f t="shared" si="16"/>
        <v>52000</v>
      </c>
      <c r="L79" s="267">
        <f t="shared" si="16"/>
        <v>69400</v>
      </c>
      <c r="M79" s="267">
        <f t="shared" si="16"/>
        <v>104000</v>
      </c>
      <c r="N79" s="267">
        <f t="shared" si="16"/>
        <v>139000</v>
      </c>
      <c r="R79" s="266">
        <v>42</v>
      </c>
      <c r="S79" s="267">
        <f t="shared" si="17"/>
        <v>403</v>
      </c>
      <c r="T79" s="267">
        <f t="shared" si="17"/>
        <v>1030</v>
      </c>
      <c r="U79" s="267">
        <f t="shared" si="17"/>
        <v>2110</v>
      </c>
      <c r="V79" s="267">
        <f t="shared" si="17"/>
        <v>2630</v>
      </c>
      <c r="W79" s="267">
        <f t="shared" si="17"/>
        <v>4290</v>
      </c>
      <c r="X79" s="267">
        <f t="shared" si="17"/>
        <v>8740</v>
      </c>
      <c r="Y79" s="267">
        <f t="shared" si="17"/>
        <v>13300</v>
      </c>
      <c r="Z79" s="267">
        <f t="shared" si="17"/>
        <v>17800</v>
      </c>
      <c r="AA79" s="267">
        <f t="shared" si="17"/>
        <v>22400</v>
      </c>
      <c r="AB79" s="267">
        <f t="shared" si="17"/>
        <v>34000</v>
      </c>
      <c r="AC79" s="267">
        <f t="shared" si="17"/>
        <v>45600</v>
      </c>
      <c r="AD79" s="267">
        <f t="shared" si="17"/>
        <v>69200</v>
      </c>
      <c r="AE79" s="267">
        <f t="shared" si="17"/>
        <v>93000</v>
      </c>
      <c r="AI79" s="266">
        <v>42</v>
      </c>
      <c r="AJ79" s="267">
        <f t="shared" si="18"/>
        <v>362</v>
      </c>
      <c r="AK79" s="267">
        <f t="shared" si="18"/>
        <v>946</v>
      </c>
      <c r="AL79" s="267">
        <f t="shared" si="18"/>
        <v>1960</v>
      </c>
      <c r="AM79" s="267">
        <f t="shared" si="18"/>
        <v>2460</v>
      </c>
      <c r="AN79" s="267">
        <f t="shared" si="18"/>
        <v>4050</v>
      </c>
      <c r="AO79" s="267">
        <f t="shared" si="18"/>
        <v>8380</v>
      </c>
      <c r="AP79" s="267">
        <f t="shared" si="18"/>
        <v>12800</v>
      </c>
      <c r="AQ79" s="267">
        <f t="shared" si="18"/>
        <v>17300</v>
      </c>
      <c r="AR79" s="267">
        <f t="shared" si="18"/>
        <v>21900</v>
      </c>
      <c r="AS79" s="267">
        <f t="shared" si="18"/>
        <v>33500</v>
      </c>
      <c r="AT79" s="267">
        <f t="shared" si="18"/>
        <v>45300</v>
      </c>
      <c r="AU79" s="267">
        <f t="shared" si="18"/>
        <v>69400</v>
      </c>
      <c r="AV79" s="267">
        <f t="shared" si="18"/>
        <v>93800</v>
      </c>
    </row>
    <row r="80" spans="1:48" x14ac:dyDescent="0.4">
      <c r="A80" s="268">
        <v>48</v>
      </c>
      <c r="B80" s="269">
        <f t="shared" si="16"/>
        <v>789</v>
      </c>
      <c r="C80" s="269">
        <f t="shared" si="16"/>
        <v>1900</v>
      </c>
      <c r="D80" s="269">
        <f t="shared" si="16"/>
        <v>3740</v>
      </c>
      <c r="E80" s="269">
        <f t="shared" si="16"/>
        <v>4630</v>
      </c>
      <c r="F80" s="269">
        <f t="shared" si="16"/>
        <v>7430</v>
      </c>
      <c r="G80" s="269">
        <f t="shared" si="16"/>
        <v>14800</v>
      </c>
      <c r="H80" s="269">
        <f t="shared" si="16"/>
        <v>22200</v>
      </c>
      <c r="I80" s="269">
        <f t="shared" si="16"/>
        <v>29600</v>
      </c>
      <c r="J80" s="269">
        <f t="shared" si="16"/>
        <v>36900</v>
      </c>
      <c r="K80" s="269">
        <f t="shared" si="16"/>
        <v>55400</v>
      </c>
      <c r="L80" s="269">
        <f t="shared" si="16"/>
        <v>73800</v>
      </c>
      <c r="M80" s="269">
        <f t="shared" si="16"/>
        <v>111000</v>
      </c>
      <c r="N80" s="269">
        <f t="shared" si="16"/>
        <v>148000</v>
      </c>
      <c r="R80" s="268">
        <v>48</v>
      </c>
      <c r="S80" s="269">
        <f t="shared" si="17"/>
        <v>424</v>
      </c>
      <c r="T80" s="269">
        <f t="shared" si="17"/>
        <v>1090</v>
      </c>
      <c r="U80" s="269">
        <f t="shared" si="17"/>
        <v>2220</v>
      </c>
      <c r="V80" s="269">
        <f t="shared" si="17"/>
        <v>2770</v>
      </c>
      <c r="W80" s="269">
        <f t="shared" si="17"/>
        <v>4510</v>
      </c>
      <c r="X80" s="269">
        <f t="shared" si="17"/>
        <v>9200</v>
      </c>
      <c r="Y80" s="269">
        <f t="shared" si="17"/>
        <v>14000</v>
      </c>
      <c r="Z80" s="269">
        <f t="shared" si="17"/>
        <v>18700</v>
      </c>
      <c r="AA80" s="269">
        <f t="shared" si="17"/>
        <v>23600</v>
      </c>
      <c r="AB80" s="269">
        <f t="shared" si="17"/>
        <v>35700</v>
      </c>
      <c r="AC80" s="269">
        <f t="shared" si="17"/>
        <v>48000</v>
      </c>
      <c r="AD80" s="269">
        <f t="shared" si="17"/>
        <v>72800</v>
      </c>
      <c r="AE80" s="269">
        <f t="shared" si="17"/>
        <v>97900</v>
      </c>
      <c r="AI80" s="268">
        <v>48</v>
      </c>
      <c r="AJ80" s="269">
        <f t="shared" si="18"/>
        <v>382</v>
      </c>
      <c r="AK80" s="269">
        <f t="shared" si="18"/>
        <v>998</v>
      </c>
      <c r="AL80" s="269">
        <f t="shared" si="18"/>
        <v>2070</v>
      </c>
      <c r="AM80" s="269">
        <f t="shared" si="18"/>
        <v>2590</v>
      </c>
      <c r="AN80" s="269">
        <f t="shared" si="18"/>
        <v>4270</v>
      </c>
      <c r="AO80" s="269">
        <f t="shared" si="18"/>
        <v>8840</v>
      </c>
      <c r="AP80" s="269">
        <f t="shared" si="18"/>
        <v>13500</v>
      </c>
      <c r="AQ80" s="269">
        <f t="shared" si="18"/>
        <v>18300</v>
      </c>
      <c r="AR80" s="269">
        <f t="shared" si="18"/>
        <v>23100</v>
      </c>
      <c r="AS80" s="269">
        <f t="shared" si="18"/>
        <v>35400</v>
      </c>
      <c r="AT80" s="269">
        <f t="shared" si="18"/>
        <v>47800</v>
      </c>
      <c r="AU80" s="269">
        <f t="shared" si="18"/>
        <v>73200</v>
      </c>
      <c r="AV80" s="269">
        <f t="shared" si="18"/>
        <v>99000</v>
      </c>
    </row>
    <row r="82" spans="1:48" x14ac:dyDescent="0.4">
      <c r="A82" s="258" t="s">
        <v>466</v>
      </c>
      <c r="R82" s="258" t="s">
        <v>467</v>
      </c>
      <c r="AI82" s="258" t="s">
        <v>468</v>
      </c>
    </row>
    <row r="83" spans="1:48" x14ac:dyDescent="0.4">
      <c r="A83" s="270" t="s">
        <v>335</v>
      </c>
      <c r="B83" s="271" t="s">
        <v>18</v>
      </c>
      <c r="R83" s="270" t="s">
        <v>335</v>
      </c>
      <c r="S83" s="271" t="s">
        <v>18</v>
      </c>
      <c r="AI83" s="270" t="s">
        <v>335</v>
      </c>
      <c r="AJ83" s="271" t="s">
        <v>18</v>
      </c>
    </row>
    <row r="84" spans="1:48" x14ac:dyDescent="0.4">
      <c r="A84" s="259" t="s">
        <v>337</v>
      </c>
      <c r="B84" s="260" t="s">
        <v>338</v>
      </c>
      <c r="C84" s="261"/>
      <c r="D84" s="261"/>
      <c r="E84" s="261"/>
      <c r="F84" s="261"/>
      <c r="G84" s="261"/>
      <c r="H84" s="261"/>
      <c r="I84" s="261"/>
      <c r="J84" s="261"/>
      <c r="K84" s="261"/>
      <c r="L84" s="261"/>
      <c r="M84" s="261"/>
      <c r="N84" s="262"/>
      <c r="R84" s="259" t="s">
        <v>337</v>
      </c>
      <c r="S84" s="260" t="s">
        <v>338</v>
      </c>
      <c r="T84" s="261"/>
      <c r="U84" s="261"/>
      <c r="V84" s="261"/>
      <c r="W84" s="261"/>
      <c r="X84" s="261"/>
      <c r="Y84" s="261"/>
      <c r="Z84" s="261"/>
      <c r="AA84" s="261"/>
      <c r="AB84" s="261"/>
      <c r="AC84" s="261"/>
      <c r="AD84" s="261"/>
      <c r="AE84" s="262"/>
      <c r="AI84" s="259" t="s">
        <v>337</v>
      </c>
      <c r="AJ84" s="260" t="s">
        <v>338</v>
      </c>
      <c r="AK84" s="261"/>
      <c r="AL84" s="261"/>
      <c r="AM84" s="261"/>
      <c r="AN84" s="261"/>
      <c r="AO84" s="261"/>
      <c r="AP84" s="261"/>
      <c r="AQ84" s="261"/>
      <c r="AR84" s="261"/>
      <c r="AS84" s="261"/>
      <c r="AT84" s="261"/>
      <c r="AU84" s="261"/>
      <c r="AV84" s="262"/>
    </row>
    <row r="85" spans="1:48" ht="15" thickBot="1" x14ac:dyDescent="0.45">
      <c r="A85" s="263"/>
      <c r="B85" s="263">
        <v>10</v>
      </c>
      <c r="C85" s="263">
        <v>25</v>
      </c>
      <c r="D85" s="263">
        <v>50</v>
      </c>
      <c r="E85" s="263">
        <v>62.1</v>
      </c>
      <c r="F85" s="263">
        <v>100</v>
      </c>
      <c r="G85" s="263">
        <v>200</v>
      </c>
      <c r="H85" s="263">
        <v>300</v>
      </c>
      <c r="I85" s="263">
        <v>400</v>
      </c>
      <c r="J85" s="263">
        <v>500</v>
      </c>
      <c r="K85" s="263">
        <v>750</v>
      </c>
      <c r="L85" s="263">
        <v>1000</v>
      </c>
      <c r="M85" s="263">
        <v>1500</v>
      </c>
      <c r="N85" s="263">
        <v>2000</v>
      </c>
      <c r="R85" s="263"/>
      <c r="S85" s="263">
        <v>10</v>
      </c>
      <c r="T85" s="263">
        <v>25</v>
      </c>
      <c r="U85" s="263">
        <v>50</v>
      </c>
      <c r="V85" s="263">
        <v>62.1</v>
      </c>
      <c r="W85" s="263">
        <v>100</v>
      </c>
      <c r="X85" s="263">
        <v>200</v>
      </c>
      <c r="Y85" s="263">
        <v>300</v>
      </c>
      <c r="Z85" s="263">
        <v>400</v>
      </c>
      <c r="AA85" s="263">
        <v>500</v>
      </c>
      <c r="AB85" s="263">
        <v>750</v>
      </c>
      <c r="AC85" s="263">
        <v>1000</v>
      </c>
      <c r="AD85" s="263">
        <v>1500</v>
      </c>
      <c r="AE85" s="263">
        <v>2000</v>
      </c>
      <c r="AI85" s="263"/>
      <c r="AJ85" s="263">
        <v>10</v>
      </c>
      <c r="AK85" s="263">
        <v>25</v>
      </c>
      <c r="AL85" s="263">
        <v>50</v>
      </c>
      <c r="AM85" s="263">
        <v>62.1</v>
      </c>
      <c r="AN85" s="263">
        <v>100</v>
      </c>
      <c r="AO85" s="263">
        <v>200</v>
      </c>
      <c r="AP85" s="263">
        <v>300</v>
      </c>
      <c r="AQ85" s="263">
        <v>400</v>
      </c>
      <c r="AR85" s="263">
        <v>500</v>
      </c>
      <c r="AS85" s="263">
        <v>750</v>
      </c>
      <c r="AT85" s="263">
        <v>1000</v>
      </c>
      <c r="AU85" s="263">
        <v>1500</v>
      </c>
      <c r="AV85" s="263">
        <v>2000</v>
      </c>
    </row>
    <row r="86" spans="1:48" x14ac:dyDescent="0.4">
      <c r="A86" s="264">
        <v>8</v>
      </c>
      <c r="B86" s="265">
        <f t="shared" ref="B86:N95" si="19">sigfig(CpParker($A86,B$85,$B$83,$B$5),$B$3)*0.001</f>
        <v>1310</v>
      </c>
      <c r="C86" s="265">
        <f t="shared" si="19"/>
        <v>3060</v>
      </c>
      <c r="D86" s="265">
        <f t="shared" si="19"/>
        <v>5980</v>
      </c>
      <c r="E86" s="265">
        <f t="shared" si="19"/>
        <v>7390</v>
      </c>
      <c r="F86" s="265">
        <f t="shared" si="19"/>
        <v>11800</v>
      </c>
      <c r="G86" s="265">
        <f t="shared" si="19"/>
        <v>23500</v>
      </c>
      <c r="H86" s="265">
        <f t="shared" si="19"/>
        <v>35100</v>
      </c>
      <c r="I86" s="265">
        <f t="shared" si="19"/>
        <v>46800</v>
      </c>
      <c r="J86" s="265">
        <f t="shared" si="19"/>
        <v>58400</v>
      </c>
      <c r="K86" s="265">
        <f t="shared" si="19"/>
        <v>87600</v>
      </c>
      <c r="L86" s="265">
        <f t="shared" si="19"/>
        <v>117000</v>
      </c>
      <c r="M86" s="265">
        <f t="shared" si="19"/>
        <v>175000</v>
      </c>
      <c r="N86" s="265">
        <f t="shared" si="19"/>
        <v>233000</v>
      </c>
      <c r="R86" s="264">
        <v>8</v>
      </c>
      <c r="S86" s="265">
        <f t="shared" ref="S86:AE95" si="20">sigfig(CpRui($R86,S$85,$S$4,$S$83,$S$5),$S$3)*0.001</f>
        <v>653</v>
      </c>
      <c r="T86" s="265">
        <f t="shared" si="20"/>
        <v>1320</v>
      </c>
      <c r="U86" s="265">
        <f t="shared" si="20"/>
        <v>2240</v>
      </c>
      <c r="V86" s="265">
        <f t="shared" si="20"/>
        <v>2640</v>
      </c>
      <c r="W86" s="265">
        <f t="shared" si="20"/>
        <v>3800</v>
      </c>
      <c r="X86" s="265">
        <f t="shared" si="20"/>
        <v>6460</v>
      </c>
      <c r="Y86" s="265">
        <f t="shared" si="20"/>
        <v>8800</v>
      </c>
      <c r="Z86" s="265">
        <f t="shared" si="20"/>
        <v>11000</v>
      </c>
      <c r="AA86" s="265">
        <f t="shared" si="20"/>
        <v>13000</v>
      </c>
      <c r="AB86" s="265">
        <f t="shared" si="20"/>
        <v>17700</v>
      </c>
      <c r="AC86" s="265">
        <f t="shared" si="20"/>
        <v>22100</v>
      </c>
      <c r="AD86" s="265">
        <f t="shared" si="20"/>
        <v>30200</v>
      </c>
      <c r="AE86" s="265">
        <f t="shared" si="20"/>
        <v>37600</v>
      </c>
      <c r="AI86" s="264">
        <v>8</v>
      </c>
      <c r="AJ86" s="265">
        <f t="shared" ref="AJ86:AV95" si="21">sigfig(Cpmccoy($AI86,AJ$85,$AJ$4,$AJ$83,$AJ$5),$AJ$3)*0.001</f>
        <v>655</v>
      </c>
      <c r="AK86" s="265">
        <f t="shared" si="21"/>
        <v>1340</v>
      </c>
      <c r="AL86" s="265">
        <f t="shared" si="21"/>
        <v>2310</v>
      </c>
      <c r="AM86" s="265">
        <f t="shared" si="21"/>
        <v>2740</v>
      </c>
      <c r="AN86" s="265">
        <f t="shared" si="21"/>
        <v>3970</v>
      </c>
      <c r="AO86" s="265">
        <f t="shared" si="21"/>
        <v>6840</v>
      </c>
      <c r="AP86" s="265">
        <f t="shared" si="21"/>
        <v>9390</v>
      </c>
      <c r="AQ86" s="265">
        <f t="shared" si="21"/>
        <v>11800</v>
      </c>
      <c r="AR86" s="265">
        <f t="shared" si="21"/>
        <v>14000</v>
      </c>
      <c r="AS86" s="265">
        <f t="shared" si="21"/>
        <v>19200</v>
      </c>
      <c r="AT86" s="265">
        <f t="shared" si="21"/>
        <v>24100</v>
      </c>
      <c r="AU86" s="265">
        <f t="shared" si="21"/>
        <v>33100</v>
      </c>
      <c r="AV86" s="265">
        <f t="shared" si="21"/>
        <v>41500</v>
      </c>
    </row>
    <row r="87" spans="1:48" x14ac:dyDescent="0.4">
      <c r="A87" s="266">
        <v>10</v>
      </c>
      <c r="B87" s="267">
        <f t="shared" si="19"/>
        <v>1580</v>
      </c>
      <c r="C87" s="267">
        <f t="shared" si="19"/>
        <v>3720</v>
      </c>
      <c r="D87" s="267">
        <f t="shared" si="19"/>
        <v>7290</v>
      </c>
      <c r="E87" s="267">
        <f t="shared" si="19"/>
        <v>9020</v>
      </c>
      <c r="F87" s="267">
        <f t="shared" si="19"/>
        <v>14400</v>
      </c>
      <c r="G87" s="267">
        <f t="shared" si="19"/>
        <v>28700</v>
      </c>
      <c r="H87" s="267">
        <f t="shared" si="19"/>
        <v>43000</v>
      </c>
      <c r="I87" s="267">
        <f t="shared" si="19"/>
        <v>57300</v>
      </c>
      <c r="J87" s="267">
        <f t="shared" si="19"/>
        <v>71600</v>
      </c>
      <c r="K87" s="267">
        <f t="shared" si="19"/>
        <v>107000</v>
      </c>
      <c r="L87" s="267">
        <f t="shared" si="19"/>
        <v>143000</v>
      </c>
      <c r="M87" s="267">
        <f t="shared" si="19"/>
        <v>214000</v>
      </c>
      <c r="N87" s="267">
        <f t="shared" si="19"/>
        <v>286000</v>
      </c>
      <c r="R87" s="266">
        <v>10</v>
      </c>
      <c r="S87" s="267">
        <f t="shared" si="20"/>
        <v>801</v>
      </c>
      <c r="T87" s="267">
        <f t="shared" si="20"/>
        <v>1610</v>
      </c>
      <c r="U87" s="267">
        <f t="shared" si="20"/>
        <v>2740</v>
      </c>
      <c r="V87" s="267">
        <f t="shared" si="20"/>
        <v>3240</v>
      </c>
      <c r="W87" s="267">
        <f t="shared" si="20"/>
        <v>4660</v>
      </c>
      <c r="X87" s="267">
        <f t="shared" si="20"/>
        <v>7920</v>
      </c>
      <c r="Y87" s="267">
        <f t="shared" si="20"/>
        <v>10800</v>
      </c>
      <c r="Z87" s="267">
        <f t="shared" si="20"/>
        <v>13500</v>
      </c>
      <c r="AA87" s="267">
        <f t="shared" si="20"/>
        <v>16000</v>
      </c>
      <c r="AB87" s="267">
        <f t="shared" si="20"/>
        <v>21800</v>
      </c>
      <c r="AC87" s="267">
        <f t="shared" si="20"/>
        <v>27100</v>
      </c>
      <c r="AD87" s="267">
        <f t="shared" si="20"/>
        <v>37000</v>
      </c>
      <c r="AE87" s="267">
        <f t="shared" si="20"/>
        <v>46100</v>
      </c>
      <c r="AI87" s="266">
        <v>10</v>
      </c>
      <c r="AJ87" s="267">
        <f t="shared" si="21"/>
        <v>781</v>
      </c>
      <c r="AK87" s="267">
        <f t="shared" si="21"/>
        <v>1600</v>
      </c>
      <c r="AL87" s="267">
        <f t="shared" si="21"/>
        <v>2750</v>
      </c>
      <c r="AM87" s="267">
        <f t="shared" si="21"/>
        <v>3260</v>
      </c>
      <c r="AN87" s="267">
        <f t="shared" si="21"/>
        <v>4740</v>
      </c>
      <c r="AO87" s="267">
        <f t="shared" si="21"/>
        <v>8160</v>
      </c>
      <c r="AP87" s="267">
        <f t="shared" si="21"/>
        <v>11200</v>
      </c>
      <c r="AQ87" s="267">
        <f t="shared" si="21"/>
        <v>14000</v>
      </c>
      <c r="AR87" s="267">
        <f t="shared" si="21"/>
        <v>16700</v>
      </c>
      <c r="AS87" s="267">
        <f t="shared" si="21"/>
        <v>23000</v>
      </c>
      <c r="AT87" s="267">
        <f t="shared" si="21"/>
        <v>28800</v>
      </c>
      <c r="AU87" s="267">
        <f t="shared" si="21"/>
        <v>39500</v>
      </c>
      <c r="AV87" s="267">
        <f t="shared" si="21"/>
        <v>49500</v>
      </c>
    </row>
    <row r="88" spans="1:48" x14ac:dyDescent="0.4">
      <c r="A88" s="266">
        <v>12</v>
      </c>
      <c r="B88" s="267">
        <f t="shared" si="19"/>
        <v>1840</v>
      </c>
      <c r="C88" s="267">
        <f t="shared" si="19"/>
        <v>4380</v>
      </c>
      <c r="D88" s="267">
        <f t="shared" si="19"/>
        <v>8600</v>
      </c>
      <c r="E88" s="267">
        <f t="shared" si="19"/>
        <v>10600</v>
      </c>
      <c r="F88" s="267">
        <f t="shared" si="19"/>
        <v>17100</v>
      </c>
      <c r="G88" s="267">
        <f t="shared" si="19"/>
        <v>34000</v>
      </c>
      <c r="H88" s="267">
        <f t="shared" si="19"/>
        <v>50900</v>
      </c>
      <c r="I88" s="267">
        <f t="shared" si="19"/>
        <v>67800</v>
      </c>
      <c r="J88" s="267">
        <f t="shared" si="19"/>
        <v>84700</v>
      </c>
      <c r="K88" s="267">
        <f t="shared" si="19"/>
        <v>127000</v>
      </c>
      <c r="L88" s="267">
        <f t="shared" si="19"/>
        <v>169000</v>
      </c>
      <c r="M88" s="267">
        <f t="shared" si="19"/>
        <v>254000</v>
      </c>
      <c r="N88" s="267">
        <f t="shared" si="19"/>
        <v>338000</v>
      </c>
      <c r="R88" s="266">
        <v>12</v>
      </c>
      <c r="S88" s="267">
        <f t="shared" si="20"/>
        <v>946</v>
      </c>
      <c r="T88" s="267">
        <f t="shared" si="20"/>
        <v>1910</v>
      </c>
      <c r="U88" s="267">
        <f t="shared" si="20"/>
        <v>3240</v>
      </c>
      <c r="V88" s="267">
        <f t="shared" si="20"/>
        <v>3830</v>
      </c>
      <c r="W88" s="267">
        <f t="shared" si="20"/>
        <v>5510</v>
      </c>
      <c r="X88" s="267">
        <f t="shared" si="20"/>
        <v>9360</v>
      </c>
      <c r="Y88" s="267">
        <f t="shared" si="20"/>
        <v>12800</v>
      </c>
      <c r="Z88" s="267">
        <f t="shared" si="20"/>
        <v>15900</v>
      </c>
      <c r="AA88" s="267">
        <f t="shared" si="20"/>
        <v>18900</v>
      </c>
      <c r="AB88" s="267">
        <f t="shared" si="20"/>
        <v>25700</v>
      </c>
      <c r="AC88" s="267">
        <f t="shared" si="20"/>
        <v>32100</v>
      </c>
      <c r="AD88" s="267">
        <f t="shared" si="20"/>
        <v>43700</v>
      </c>
      <c r="AE88" s="267">
        <f t="shared" si="20"/>
        <v>54500</v>
      </c>
      <c r="AI88" s="266">
        <v>12</v>
      </c>
      <c r="AJ88" s="267">
        <f t="shared" si="21"/>
        <v>902</v>
      </c>
      <c r="AK88" s="267">
        <f t="shared" si="21"/>
        <v>1850</v>
      </c>
      <c r="AL88" s="267">
        <f t="shared" si="21"/>
        <v>3180</v>
      </c>
      <c r="AM88" s="267">
        <f t="shared" si="21"/>
        <v>3770</v>
      </c>
      <c r="AN88" s="267">
        <f t="shared" si="21"/>
        <v>5470</v>
      </c>
      <c r="AO88" s="267">
        <f t="shared" si="21"/>
        <v>9420</v>
      </c>
      <c r="AP88" s="267">
        <f t="shared" si="21"/>
        <v>12900</v>
      </c>
      <c r="AQ88" s="267">
        <f t="shared" si="21"/>
        <v>16200</v>
      </c>
      <c r="AR88" s="267">
        <f t="shared" si="21"/>
        <v>19300</v>
      </c>
      <c r="AS88" s="267">
        <f t="shared" si="21"/>
        <v>26500</v>
      </c>
      <c r="AT88" s="267">
        <f t="shared" si="21"/>
        <v>33200</v>
      </c>
      <c r="AU88" s="267">
        <f t="shared" si="21"/>
        <v>45600</v>
      </c>
      <c r="AV88" s="267">
        <f t="shared" si="21"/>
        <v>57200</v>
      </c>
    </row>
    <row r="89" spans="1:48" x14ac:dyDescent="0.4">
      <c r="A89" s="266">
        <v>16</v>
      </c>
      <c r="B89" s="267">
        <f t="shared" si="19"/>
        <v>2360</v>
      </c>
      <c r="C89" s="267">
        <f t="shared" si="19"/>
        <v>5690</v>
      </c>
      <c r="D89" s="267">
        <f t="shared" si="19"/>
        <v>11200</v>
      </c>
      <c r="E89" s="267">
        <f t="shared" si="19"/>
        <v>13900</v>
      </c>
      <c r="F89" s="267">
        <f t="shared" si="19"/>
        <v>22300</v>
      </c>
      <c r="G89" s="267">
        <f t="shared" si="19"/>
        <v>44500</v>
      </c>
      <c r="H89" s="267">
        <f t="shared" si="19"/>
        <v>66600</v>
      </c>
      <c r="I89" s="267">
        <f t="shared" si="19"/>
        <v>88800</v>
      </c>
      <c r="J89" s="267">
        <f t="shared" si="19"/>
        <v>111000</v>
      </c>
      <c r="K89" s="267">
        <f t="shared" si="19"/>
        <v>166000</v>
      </c>
      <c r="L89" s="267">
        <f t="shared" si="19"/>
        <v>222000</v>
      </c>
      <c r="M89" s="267">
        <f t="shared" si="19"/>
        <v>333000</v>
      </c>
      <c r="N89" s="267">
        <f t="shared" si="19"/>
        <v>443000</v>
      </c>
      <c r="R89" s="266">
        <v>16</v>
      </c>
      <c r="S89" s="267">
        <f t="shared" si="20"/>
        <v>1230</v>
      </c>
      <c r="T89" s="267">
        <f t="shared" si="20"/>
        <v>2480</v>
      </c>
      <c r="U89" s="267">
        <f t="shared" si="20"/>
        <v>4220</v>
      </c>
      <c r="V89" s="267">
        <f t="shared" si="20"/>
        <v>4980</v>
      </c>
      <c r="W89" s="267">
        <f t="shared" si="20"/>
        <v>7170</v>
      </c>
      <c r="X89" s="267">
        <f t="shared" si="20"/>
        <v>12200</v>
      </c>
      <c r="Y89" s="267">
        <f t="shared" si="20"/>
        <v>16600</v>
      </c>
      <c r="Z89" s="267">
        <f t="shared" si="20"/>
        <v>20700</v>
      </c>
      <c r="AA89" s="267">
        <f t="shared" si="20"/>
        <v>24600</v>
      </c>
      <c r="AB89" s="267">
        <f t="shared" si="20"/>
        <v>33500</v>
      </c>
      <c r="AC89" s="267">
        <f t="shared" si="20"/>
        <v>41700</v>
      </c>
      <c r="AD89" s="267">
        <f t="shared" si="20"/>
        <v>56900</v>
      </c>
      <c r="AE89" s="267">
        <f t="shared" si="20"/>
        <v>70900</v>
      </c>
      <c r="AI89" s="266">
        <v>16</v>
      </c>
      <c r="AJ89" s="267">
        <f t="shared" si="21"/>
        <v>1130</v>
      </c>
      <c r="AK89" s="267">
        <f t="shared" si="21"/>
        <v>2320</v>
      </c>
      <c r="AL89" s="267">
        <f t="shared" si="21"/>
        <v>3990</v>
      </c>
      <c r="AM89" s="267">
        <f t="shared" si="21"/>
        <v>4730</v>
      </c>
      <c r="AN89" s="267">
        <f t="shared" si="21"/>
        <v>6870</v>
      </c>
      <c r="AO89" s="267">
        <f t="shared" si="21"/>
        <v>11800</v>
      </c>
      <c r="AP89" s="267">
        <f t="shared" si="21"/>
        <v>16200</v>
      </c>
      <c r="AQ89" s="267">
        <f t="shared" si="21"/>
        <v>20400</v>
      </c>
      <c r="AR89" s="267">
        <f t="shared" si="21"/>
        <v>24200</v>
      </c>
      <c r="AS89" s="267">
        <f t="shared" si="21"/>
        <v>33300</v>
      </c>
      <c r="AT89" s="267">
        <f t="shared" si="21"/>
        <v>41700</v>
      </c>
      <c r="AU89" s="267">
        <f t="shared" si="21"/>
        <v>57300</v>
      </c>
      <c r="AV89" s="267">
        <f t="shared" si="21"/>
        <v>71800</v>
      </c>
    </row>
    <row r="90" spans="1:48" x14ac:dyDescent="0.4">
      <c r="A90" s="266">
        <v>20</v>
      </c>
      <c r="B90" s="267">
        <f t="shared" si="19"/>
        <v>2890</v>
      </c>
      <c r="C90" s="267">
        <f t="shared" si="19"/>
        <v>7000</v>
      </c>
      <c r="D90" s="267">
        <f t="shared" si="19"/>
        <v>13900</v>
      </c>
      <c r="E90" s="267">
        <f t="shared" si="19"/>
        <v>17200</v>
      </c>
      <c r="F90" s="267">
        <f t="shared" si="19"/>
        <v>27600</v>
      </c>
      <c r="G90" s="267">
        <f t="shared" si="19"/>
        <v>55000</v>
      </c>
      <c r="H90" s="267">
        <f t="shared" si="19"/>
        <v>82400</v>
      </c>
      <c r="I90" s="267">
        <f t="shared" si="19"/>
        <v>110000</v>
      </c>
      <c r="J90" s="267">
        <f t="shared" si="19"/>
        <v>137000</v>
      </c>
      <c r="K90" s="267">
        <f t="shared" si="19"/>
        <v>206000</v>
      </c>
      <c r="L90" s="267">
        <f t="shared" si="19"/>
        <v>274000</v>
      </c>
      <c r="M90" s="267">
        <f t="shared" si="19"/>
        <v>411000</v>
      </c>
      <c r="N90" s="267">
        <f t="shared" si="19"/>
        <v>549000</v>
      </c>
      <c r="R90" s="266">
        <v>20</v>
      </c>
      <c r="S90" s="267">
        <f t="shared" si="20"/>
        <v>1510</v>
      </c>
      <c r="T90" s="267">
        <f t="shared" si="20"/>
        <v>3050</v>
      </c>
      <c r="U90" s="267">
        <f t="shared" si="20"/>
        <v>5180</v>
      </c>
      <c r="V90" s="267">
        <f t="shared" si="20"/>
        <v>6110</v>
      </c>
      <c r="W90" s="267">
        <f t="shared" si="20"/>
        <v>8790</v>
      </c>
      <c r="X90" s="267">
        <f t="shared" si="20"/>
        <v>14900</v>
      </c>
      <c r="Y90" s="267">
        <f t="shared" si="20"/>
        <v>20400</v>
      </c>
      <c r="Z90" s="267">
        <f t="shared" si="20"/>
        <v>25400</v>
      </c>
      <c r="AA90" s="267">
        <f t="shared" si="20"/>
        <v>30100</v>
      </c>
      <c r="AB90" s="267">
        <f t="shared" si="20"/>
        <v>41100</v>
      </c>
      <c r="AC90" s="267">
        <f t="shared" si="20"/>
        <v>51200</v>
      </c>
      <c r="AD90" s="267">
        <f t="shared" si="20"/>
        <v>69800</v>
      </c>
      <c r="AE90" s="267">
        <f t="shared" si="20"/>
        <v>87000</v>
      </c>
      <c r="AI90" s="266">
        <v>20</v>
      </c>
      <c r="AJ90" s="267">
        <f t="shared" si="21"/>
        <v>1350</v>
      </c>
      <c r="AK90" s="267">
        <f t="shared" si="21"/>
        <v>2770</v>
      </c>
      <c r="AL90" s="267">
        <f t="shared" si="21"/>
        <v>4770</v>
      </c>
      <c r="AM90" s="267">
        <f t="shared" si="21"/>
        <v>5650</v>
      </c>
      <c r="AN90" s="267">
        <f t="shared" si="21"/>
        <v>8200</v>
      </c>
      <c r="AO90" s="267">
        <f t="shared" si="21"/>
        <v>14100</v>
      </c>
      <c r="AP90" s="267">
        <f t="shared" si="21"/>
        <v>19400</v>
      </c>
      <c r="AQ90" s="267">
        <f t="shared" si="21"/>
        <v>24300</v>
      </c>
      <c r="AR90" s="267">
        <f t="shared" si="21"/>
        <v>28900</v>
      </c>
      <c r="AS90" s="267">
        <f t="shared" si="21"/>
        <v>39700</v>
      </c>
      <c r="AT90" s="267">
        <f t="shared" si="21"/>
        <v>49800</v>
      </c>
      <c r="AU90" s="267">
        <f t="shared" si="21"/>
        <v>68300</v>
      </c>
      <c r="AV90" s="267">
        <f t="shared" si="21"/>
        <v>85600</v>
      </c>
    </row>
    <row r="91" spans="1:48" x14ac:dyDescent="0.4">
      <c r="A91" s="266">
        <v>24</v>
      </c>
      <c r="B91" s="267">
        <f t="shared" si="19"/>
        <v>3420</v>
      </c>
      <c r="C91" s="267">
        <f t="shared" si="19"/>
        <v>8320</v>
      </c>
      <c r="D91" s="267">
        <f t="shared" si="19"/>
        <v>16500</v>
      </c>
      <c r="E91" s="267">
        <f t="shared" si="19"/>
        <v>20400</v>
      </c>
      <c r="F91" s="267">
        <f t="shared" si="19"/>
        <v>32800</v>
      </c>
      <c r="G91" s="267">
        <f t="shared" si="19"/>
        <v>65500</v>
      </c>
      <c r="H91" s="267">
        <f t="shared" si="19"/>
        <v>98200</v>
      </c>
      <c r="I91" s="267">
        <f t="shared" si="19"/>
        <v>131000</v>
      </c>
      <c r="J91" s="267">
        <f t="shared" si="19"/>
        <v>164000</v>
      </c>
      <c r="K91" s="267">
        <f t="shared" si="19"/>
        <v>245000</v>
      </c>
      <c r="L91" s="267">
        <f t="shared" si="19"/>
        <v>327000</v>
      </c>
      <c r="M91" s="267">
        <f t="shared" si="19"/>
        <v>490000</v>
      </c>
      <c r="N91" s="267">
        <f t="shared" si="19"/>
        <v>654000</v>
      </c>
      <c r="R91" s="266">
        <v>24</v>
      </c>
      <c r="S91" s="267">
        <f t="shared" si="20"/>
        <v>1790</v>
      </c>
      <c r="T91" s="267">
        <f t="shared" si="20"/>
        <v>3600</v>
      </c>
      <c r="U91" s="267">
        <f t="shared" si="20"/>
        <v>6120</v>
      </c>
      <c r="V91" s="267">
        <f t="shared" si="20"/>
        <v>7220</v>
      </c>
      <c r="W91" s="267">
        <f t="shared" si="20"/>
        <v>10400</v>
      </c>
      <c r="X91" s="267">
        <f t="shared" si="20"/>
        <v>17700</v>
      </c>
      <c r="Y91" s="267">
        <f t="shared" si="20"/>
        <v>24100</v>
      </c>
      <c r="Z91" s="267">
        <f t="shared" si="20"/>
        <v>30000</v>
      </c>
      <c r="AA91" s="267">
        <f t="shared" si="20"/>
        <v>35600</v>
      </c>
      <c r="AB91" s="267">
        <f t="shared" si="20"/>
        <v>48500</v>
      </c>
      <c r="AC91" s="267">
        <f t="shared" si="20"/>
        <v>60500</v>
      </c>
      <c r="AD91" s="267">
        <f t="shared" si="20"/>
        <v>82500</v>
      </c>
      <c r="AE91" s="267">
        <f t="shared" si="20"/>
        <v>103000</v>
      </c>
      <c r="AI91" s="266">
        <v>24</v>
      </c>
      <c r="AJ91" s="267">
        <f t="shared" si="21"/>
        <v>1560</v>
      </c>
      <c r="AK91" s="267">
        <f t="shared" si="21"/>
        <v>3200</v>
      </c>
      <c r="AL91" s="267">
        <f t="shared" si="21"/>
        <v>5510</v>
      </c>
      <c r="AM91" s="267">
        <f t="shared" si="21"/>
        <v>6520</v>
      </c>
      <c r="AN91" s="267">
        <f t="shared" si="21"/>
        <v>9470</v>
      </c>
      <c r="AO91" s="267">
        <f t="shared" si="21"/>
        <v>16300</v>
      </c>
      <c r="AP91" s="267">
        <f t="shared" si="21"/>
        <v>22400</v>
      </c>
      <c r="AQ91" s="267">
        <f t="shared" si="21"/>
        <v>28000</v>
      </c>
      <c r="AR91" s="267">
        <f t="shared" si="21"/>
        <v>33400</v>
      </c>
      <c r="AS91" s="267">
        <f t="shared" si="21"/>
        <v>45900</v>
      </c>
      <c r="AT91" s="267">
        <f t="shared" si="21"/>
        <v>57500</v>
      </c>
      <c r="AU91" s="267">
        <f t="shared" si="21"/>
        <v>79000</v>
      </c>
      <c r="AV91" s="267">
        <f t="shared" si="21"/>
        <v>98900</v>
      </c>
    </row>
    <row r="92" spans="1:48" x14ac:dyDescent="0.4">
      <c r="A92" s="266">
        <v>30</v>
      </c>
      <c r="B92" s="267">
        <f t="shared" si="19"/>
        <v>4200</v>
      </c>
      <c r="C92" s="267">
        <f t="shared" si="19"/>
        <v>10300</v>
      </c>
      <c r="D92" s="267">
        <f t="shared" si="19"/>
        <v>20400</v>
      </c>
      <c r="E92" s="267">
        <f t="shared" si="19"/>
        <v>25300</v>
      </c>
      <c r="F92" s="267">
        <f t="shared" si="19"/>
        <v>40700</v>
      </c>
      <c r="G92" s="267">
        <f t="shared" si="19"/>
        <v>81300</v>
      </c>
      <c r="H92" s="267">
        <f t="shared" si="19"/>
        <v>122000</v>
      </c>
      <c r="I92" s="267">
        <f t="shared" si="19"/>
        <v>162000</v>
      </c>
      <c r="J92" s="267">
        <f t="shared" si="19"/>
        <v>203000</v>
      </c>
      <c r="K92" s="267">
        <f t="shared" si="19"/>
        <v>304000</v>
      </c>
      <c r="L92" s="267">
        <f t="shared" si="19"/>
        <v>406000</v>
      </c>
      <c r="M92" s="267">
        <f t="shared" si="19"/>
        <v>609000</v>
      </c>
      <c r="N92" s="267">
        <f t="shared" si="19"/>
        <v>811000</v>
      </c>
      <c r="R92" s="266">
        <v>30</v>
      </c>
      <c r="S92" s="267">
        <f t="shared" si="20"/>
        <v>2190</v>
      </c>
      <c r="T92" s="267">
        <f t="shared" si="20"/>
        <v>4420</v>
      </c>
      <c r="U92" s="267">
        <f t="shared" si="20"/>
        <v>7500</v>
      </c>
      <c r="V92" s="267">
        <f t="shared" si="20"/>
        <v>8860</v>
      </c>
      <c r="W92" s="267">
        <f t="shared" si="20"/>
        <v>12800</v>
      </c>
      <c r="X92" s="267">
        <f t="shared" si="20"/>
        <v>21700</v>
      </c>
      <c r="Y92" s="267">
        <f t="shared" si="20"/>
        <v>29500</v>
      </c>
      <c r="Z92" s="267">
        <f t="shared" si="20"/>
        <v>36800</v>
      </c>
      <c r="AA92" s="267">
        <f t="shared" si="20"/>
        <v>43700</v>
      </c>
      <c r="AB92" s="267">
        <f t="shared" si="20"/>
        <v>59600</v>
      </c>
      <c r="AC92" s="267">
        <f t="shared" si="20"/>
        <v>74200</v>
      </c>
      <c r="AD92" s="267">
        <f t="shared" si="20"/>
        <v>101000</v>
      </c>
      <c r="AE92" s="267">
        <f t="shared" si="20"/>
        <v>126000</v>
      </c>
      <c r="AI92" s="266">
        <v>30</v>
      </c>
      <c r="AJ92" s="267">
        <f t="shared" si="21"/>
        <v>1860</v>
      </c>
      <c r="AK92" s="267">
        <f t="shared" si="21"/>
        <v>3820</v>
      </c>
      <c r="AL92" s="267">
        <f t="shared" si="21"/>
        <v>6570</v>
      </c>
      <c r="AM92" s="267">
        <f t="shared" si="21"/>
        <v>7780</v>
      </c>
      <c r="AN92" s="267">
        <f t="shared" si="21"/>
        <v>11300</v>
      </c>
      <c r="AO92" s="267">
        <f t="shared" si="21"/>
        <v>19400</v>
      </c>
      <c r="AP92" s="267">
        <f t="shared" si="21"/>
        <v>26700</v>
      </c>
      <c r="AQ92" s="267">
        <f t="shared" si="21"/>
        <v>33500</v>
      </c>
      <c r="AR92" s="267">
        <f t="shared" si="21"/>
        <v>39800</v>
      </c>
      <c r="AS92" s="267">
        <f t="shared" si="21"/>
        <v>54700</v>
      </c>
      <c r="AT92" s="267">
        <f t="shared" si="21"/>
        <v>68600</v>
      </c>
      <c r="AU92" s="267">
        <f t="shared" si="21"/>
        <v>94200</v>
      </c>
      <c r="AV92" s="267">
        <f t="shared" si="21"/>
        <v>118000</v>
      </c>
    </row>
    <row r="93" spans="1:48" x14ac:dyDescent="0.4">
      <c r="A93" s="266">
        <v>36</v>
      </c>
      <c r="B93" s="267">
        <f t="shared" si="19"/>
        <v>4990</v>
      </c>
      <c r="C93" s="267">
        <f t="shared" si="19"/>
        <v>12300</v>
      </c>
      <c r="D93" s="267">
        <f t="shared" si="19"/>
        <v>24400</v>
      </c>
      <c r="E93" s="267">
        <f t="shared" si="19"/>
        <v>30200</v>
      </c>
      <c r="F93" s="267">
        <f t="shared" si="19"/>
        <v>48600</v>
      </c>
      <c r="G93" s="267">
        <f t="shared" si="19"/>
        <v>97000</v>
      </c>
      <c r="H93" s="267">
        <f t="shared" si="19"/>
        <v>145000</v>
      </c>
      <c r="I93" s="267">
        <f t="shared" si="19"/>
        <v>194000</v>
      </c>
      <c r="J93" s="267">
        <f t="shared" si="19"/>
        <v>242000</v>
      </c>
      <c r="K93" s="267">
        <f t="shared" si="19"/>
        <v>363000</v>
      </c>
      <c r="L93" s="267">
        <f t="shared" si="19"/>
        <v>485000</v>
      </c>
      <c r="M93" s="267">
        <f t="shared" si="19"/>
        <v>727000</v>
      </c>
      <c r="N93" s="267">
        <f t="shared" si="19"/>
        <v>969000</v>
      </c>
      <c r="R93" s="266">
        <v>36</v>
      </c>
      <c r="S93" s="267">
        <f t="shared" si="20"/>
        <v>2590</v>
      </c>
      <c r="T93" s="267">
        <f t="shared" si="20"/>
        <v>5220</v>
      </c>
      <c r="U93" s="267">
        <f t="shared" si="20"/>
        <v>8870</v>
      </c>
      <c r="V93" s="267">
        <f t="shared" si="20"/>
        <v>10500</v>
      </c>
      <c r="W93" s="267">
        <f t="shared" si="20"/>
        <v>15100</v>
      </c>
      <c r="X93" s="267">
        <f t="shared" si="20"/>
        <v>25600</v>
      </c>
      <c r="Y93" s="267">
        <f t="shared" si="20"/>
        <v>34900</v>
      </c>
      <c r="Z93" s="267">
        <f t="shared" si="20"/>
        <v>43500</v>
      </c>
      <c r="AA93" s="267">
        <f t="shared" si="20"/>
        <v>51600</v>
      </c>
      <c r="AB93" s="267">
        <f t="shared" si="20"/>
        <v>70400</v>
      </c>
      <c r="AC93" s="267">
        <f t="shared" si="20"/>
        <v>87700</v>
      </c>
      <c r="AD93" s="267">
        <f t="shared" si="20"/>
        <v>120000</v>
      </c>
      <c r="AE93" s="267">
        <f t="shared" si="20"/>
        <v>149000</v>
      </c>
      <c r="AI93" s="266">
        <v>36</v>
      </c>
      <c r="AJ93" s="267">
        <f t="shared" si="21"/>
        <v>2150</v>
      </c>
      <c r="AK93" s="267">
        <f t="shared" si="21"/>
        <v>4410</v>
      </c>
      <c r="AL93" s="267">
        <f t="shared" si="21"/>
        <v>7590</v>
      </c>
      <c r="AM93" s="267">
        <f t="shared" si="21"/>
        <v>8990</v>
      </c>
      <c r="AN93" s="267">
        <f t="shared" si="21"/>
        <v>13100</v>
      </c>
      <c r="AO93" s="267">
        <f t="shared" si="21"/>
        <v>22500</v>
      </c>
      <c r="AP93" s="267">
        <f t="shared" si="21"/>
        <v>30900</v>
      </c>
      <c r="AQ93" s="267">
        <f t="shared" si="21"/>
        <v>38700</v>
      </c>
      <c r="AR93" s="267">
        <f t="shared" si="21"/>
        <v>46000</v>
      </c>
      <c r="AS93" s="267">
        <f t="shared" si="21"/>
        <v>63200</v>
      </c>
      <c r="AT93" s="267">
        <f t="shared" si="21"/>
        <v>79200</v>
      </c>
      <c r="AU93" s="267">
        <f t="shared" si="21"/>
        <v>109000</v>
      </c>
      <c r="AV93" s="267">
        <f t="shared" si="21"/>
        <v>136000</v>
      </c>
    </row>
    <row r="94" spans="1:48" x14ac:dyDescent="0.4">
      <c r="A94" s="266">
        <v>42</v>
      </c>
      <c r="B94" s="267">
        <f t="shared" si="19"/>
        <v>5780</v>
      </c>
      <c r="C94" s="267">
        <f t="shared" si="19"/>
        <v>14200</v>
      </c>
      <c r="D94" s="267">
        <f t="shared" si="19"/>
        <v>28300</v>
      </c>
      <c r="E94" s="267">
        <f t="shared" si="19"/>
        <v>35100</v>
      </c>
      <c r="F94" s="267">
        <f t="shared" si="19"/>
        <v>56500</v>
      </c>
      <c r="G94" s="267">
        <f t="shared" si="19"/>
        <v>113000</v>
      </c>
      <c r="H94" s="267">
        <f t="shared" si="19"/>
        <v>169000</v>
      </c>
      <c r="I94" s="267">
        <f t="shared" si="19"/>
        <v>225000</v>
      </c>
      <c r="J94" s="267">
        <f t="shared" si="19"/>
        <v>282000</v>
      </c>
      <c r="K94" s="267">
        <f t="shared" si="19"/>
        <v>423000</v>
      </c>
      <c r="L94" s="267">
        <f t="shared" si="19"/>
        <v>563000</v>
      </c>
      <c r="M94" s="267">
        <f t="shared" si="19"/>
        <v>845000</v>
      </c>
      <c r="N94" s="267">
        <f t="shared" si="19"/>
        <v>1130000</v>
      </c>
      <c r="R94" s="266">
        <v>42</v>
      </c>
      <c r="S94" s="267">
        <f t="shared" si="20"/>
        <v>2980</v>
      </c>
      <c r="T94" s="267">
        <f t="shared" si="20"/>
        <v>6010</v>
      </c>
      <c r="U94" s="267">
        <f t="shared" si="20"/>
        <v>10200</v>
      </c>
      <c r="V94" s="267">
        <f t="shared" si="20"/>
        <v>12100</v>
      </c>
      <c r="W94" s="267">
        <f t="shared" si="20"/>
        <v>17400</v>
      </c>
      <c r="X94" s="267">
        <f t="shared" si="20"/>
        <v>29500</v>
      </c>
      <c r="Y94" s="267">
        <f t="shared" si="20"/>
        <v>40200</v>
      </c>
      <c r="Z94" s="267">
        <f t="shared" si="20"/>
        <v>50100</v>
      </c>
      <c r="AA94" s="267">
        <f t="shared" si="20"/>
        <v>59400</v>
      </c>
      <c r="AB94" s="267">
        <f t="shared" si="20"/>
        <v>81100</v>
      </c>
      <c r="AC94" s="267">
        <f t="shared" si="20"/>
        <v>101000</v>
      </c>
      <c r="AD94" s="267">
        <f t="shared" si="20"/>
        <v>138000</v>
      </c>
      <c r="AE94" s="267">
        <f t="shared" si="20"/>
        <v>172000</v>
      </c>
      <c r="AI94" s="266">
        <v>42</v>
      </c>
      <c r="AJ94" s="267">
        <f t="shared" si="21"/>
        <v>2430</v>
      </c>
      <c r="AK94" s="267">
        <f t="shared" si="21"/>
        <v>4980</v>
      </c>
      <c r="AL94" s="267">
        <f t="shared" si="21"/>
        <v>8570</v>
      </c>
      <c r="AM94" s="267">
        <f t="shared" si="21"/>
        <v>10200</v>
      </c>
      <c r="AN94" s="267">
        <f t="shared" si="21"/>
        <v>14700</v>
      </c>
      <c r="AO94" s="267">
        <f t="shared" si="21"/>
        <v>25400</v>
      </c>
      <c r="AP94" s="267">
        <f t="shared" si="21"/>
        <v>34900</v>
      </c>
      <c r="AQ94" s="267">
        <f t="shared" si="21"/>
        <v>43700</v>
      </c>
      <c r="AR94" s="267">
        <f t="shared" si="21"/>
        <v>52000</v>
      </c>
      <c r="AS94" s="267">
        <f t="shared" si="21"/>
        <v>71400</v>
      </c>
      <c r="AT94" s="267">
        <f t="shared" si="21"/>
        <v>89500</v>
      </c>
      <c r="AU94" s="267">
        <f t="shared" si="21"/>
        <v>123000</v>
      </c>
      <c r="AV94" s="267">
        <f t="shared" si="21"/>
        <v>154000</v>
      </c>
    </row>
    <row r="95" spans="1:48" x14ac:dyDescent="0.4">
      <c r="A95" s="268">
        <v>48</v>
      </c>
      <c r="B95" s="269">
        <f t="shared" si="19"/>
        <v>6570</v>
      </c>
      <c r="C95" s="269">
        <f t="shared" si="19"/>
        <v>16200</v>
      </c>
      <c r="D95" s="269">
        <f t="shared" si="19"/>
        <v>32300</v>
      </c>
      <c r="E95" s="269">
        <f t="shared" si="19"/>
        <v>40000</v>
      </c>
      <c r="F95" s="269">
        <f t="shared" si="19"/>
        <v>64400</v>
      </c>
      <c r="G95" s="269">
        <f t="shared" si="19"/>
        <v>129000</v>
      </c>
      <c r="H95" s="269">
        <f t="shared" si="19"/>
        <v>193000</v>
      </c>
      <c r="I95" s="269">
        <f t="shared" si="19"/>
        <v>257000</v>
      </c>
      <c r="J95" s="269">
        <f t="shared" si="19"/>
        <v>321000</v>
      </c>
      <c r="K95" s="269">
        <f t="shared" si="19"/>
        <v>482000</v>
      </c>
      <c r="L95" s="269">
        <f t="shared" si="19"/>
        <v>642000</v>
      </c>
      <c r="M95" s="269">
        <f t="shared" si="19"/>
        <v>963000</v>
      </c>
      <c r="N95" s="269">
        <f t="shared" si="19"/>
        <v>1280000</v>
      </c>
      <c r="R95" s="268">
        <v>48</v>
      </c>
      <c r="S95" s="269">
        <f t="shared" si="20"/>
        <v>3370</v>
      </c>
      <c r="T95" s="269">
        <f t="shared" si="20"/>
        <v>6790</v>
      </c>
      <c r="U95" s="269">
        <f t="shared" si="20"/>
        <v>11500</v>
      </c>
      <c r="V95" s="269">
        <f t="shared" si="20"/>
        <v>13600</v>
      </c>
      <c r="W95" s="269">
        <f t="shared" si="20"/>
        <v>19600</v>
      </c>
      <c r="X95" s="269">
        <f t="shared" si="20"/>
        <v>33300</v>
      </c>
      <c r="Y95" s="269">
        <f t="shared" si="20"/>
        <v>45400</v>
      </c>
      <c r="Z95" s="269">
        <f t="shared" si="20"/>
        <v>56600</v>
      </c>
      <c r="AA95" s="269">
        <f t="shared" si="20"/>
        <v>67200</v>
      </c>
      <c r="AB95" s="269">
        <f t="shared" si="20"/>
        <v>91600</v>
      </c>
      <c r="AC95" s="269">
        <f t="shared" si="20"/>
        <v>114000</v>
      </c>
      <c r="AD95" s="269">
        <f t="shared" si="20"/>
        <v>156000</v>
      </c>
      <c r="AE95" s="269">
        <f t="shared" si="20"/>
        <v>194000</v>
      </c>
      <c r="AI95" s="268">
        <v>48</v>
      </c>
      <c r="AJ95" s="269">
        <f t="shared" si="21"/>
        <v>2700</v>
      </c>
      <c r="AK95" s="269">
        <f t="shared" si="21"/>
        <v>5540</v>
      </c>
      <c r="AL95" s="269">
        <f t="shared" si="21"/>
        <v>9530</v>
      </c>
      <c r="AM95" s="269">
        <f t="shared" si="21"/>
        <v>11300</v>
      </c>
      <c r="AN95" s="269">
        <f t="shared" si="21"/>
        <v>16400</v>
      </c>
      <c r="AO95" s="269">
        <f t="shared" si="21"/>
        <v>28200</v>
      </c>
      <c r="AP95" s="269">
        <f t="shared" si="21"/>
        <v>38700</v>
      </c>
      <c r="AQ95" s="269">
        <f t="shared" si="21"/>
        <v>48500</v>
      </c>
      <c r="AR95" s="269">
        <f t="shared" si="21"/>
        <v>57800</v>
      </c>
      <c r="AS95" s="269">
        <f t="shared" si="21"/>
        <v>79400</v>
      </c>
      <c r="AT95" s="269">
        <f t="shared" si="21"/>
        <v>99400</v>
      </c>
      <c r="AU95" s="269">
        <f t="shared" si="21"/>
        <v>137000</v>
      </c>
      <c r="AV95" s="269">
        <f t="shared" si="21"/>
        <v>171000</v>
      </c>
    </row>
  </sheetData>
  <pageMargins left="0.7" right="0.7" top="0.75" bottom="0.75" header="0.3" footer="0.3"/>
  <pageSetup scale="80" orientation="landscape" r:id="rId1"/>
  <rowBreaks count="2" manualBreakCount="2">
    <brk id="36" max="49" man="1"/>
    <brk id="66" max="49" man="1"/>
  </rowBreaks>
  <colBreaks count="2" manualBreakCount="2">
    <brk id="17" max="94" man="1"/>
    <brk id="34" max="94"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20"/>
  <sheetViews>
    <sheetView view="pageBreakPreview" zoomScale="80" zoomScaleSheetLayoutView="80" workbookViewId="0"/>
  </sheetViews>
  <sheetFormatPr defaultColWidth="8.84375" defaultRowHeight="14.6" x14ac:dyDescent="0.4"/>
  <cols>
    <col min="1" max="1" width="13.69140625" customWidth="1"/>
    <col min="2" max="6" width="9.69140625" customWidth="1"/>
    <col min="7" max="7" width="1.69140625" customWidth="1"/>
    <col min="8" max="8" width="13.69140625" customWidth="1"/>
    <col min="9" max="13" width="9.69140625" customWidth="1"/>
    <col min="14" max="14" width="1.69140625" customWidth="1"/>
    <col min="15" max="15" width="13.69140625" customWidth="1"/>
    <col min="16" max="20" width="9.69140625" customWidth="1"/>
    <col min="21" max="21" width="1.69140625" customWidth="1"/>
  </cols>
  <sheetData>
    <row r="1" spans="1:22" x14ac:dyDescent="0.4">
      <c r="A1" s="52" t="s">
        <v>586</v>
      </c>
    </row>
    <row r="3" spans="1:22" x14ac:dyDescent="0.4">
      <c r="A3" s="4" t="s">
        <v>334</v>
      </c>
      <c r="B3" s="4">
        <v>3</v>
      </c>
      <c r="H3" s="4" t="s">
        <v>334</v>
      </c>
      <c r="I3" s="4">
        <f>B3</f>
        <v>3</v>
      </c>
      <c r="O3" s="4" t="s">
        <v>334</v>
      </c>
      <c r="P3" s="4">
        <f>B3</f>
        <v>3</v>
      </c>
    </row>
    <row r="4" spans="1:22" x14ac:dyDescent="0.4">
      <c r="A4" s="4" t="s">
        <v>429</v>
      </c>
      <c r="B4" s="388" t="str">
        <f>Main!E83</f>
        <v>Cen</v>
      </c>
      <c r="H4" s="4" t="s">
        <v>429</v>
      </c>
      <c r="I4" s="394" t="str">
        <f>B4</f>
        <v>Cen</v>
      </c>
      <c r="O4" s="4" t="s">
        <v>429</v>
      </c>
      <c r="P4" s="388" t="str">
        <f>B4</f>
        <v>Cen</v>
      </c>
    </row>
    <row r="5" spans="1:22" x14ac:dyDescent="0.4">
      <c r="A5" s="4" t="s">
        <v>430</v>
      </c>
      <c r="B5" s="395">
        <v>2011</v>
      </c>
      <c r="C5" s="4"/>
      <c r="D5" s="4"/>
      <c r="E5" s="4"/>
      <c r="F5" s="4"/>
      <c r="G5" s="4"/>
      <c r="H5" s="4" t="s">
        <v>430</v>
      </c>
      <c r="I5" s="4">
        <f>B5</f>
        <v>2011</v>
      </c>
      <c r="J5" s="4"/>
      <c r="O5" s="4" t="s">
        <v>430</v>
      </c>
      <c r="P5" s="395">
        <f>B5</f>
        <v>2011</v>
      </c>
      <c r="Q5" s="4"/>
    </row>
    <row r="6" spans="1:22" x14ac:dyDescent="0.4">
      <c r="A6" s="4" t="s">
        <v>505</v>
      </c>
      <c r="B6" s="395">
        <v>0.15</v>
      </c>
      <c r="C6" s="4"/>
      <c r="D6" s="395"/>
      <c r="E6" s="4"/>
      <c r="F6" s="4"/>
      <c r="G6" s="4"/>
      <c r="H6" s="4" t="s">
        <v>505</v>
      </c>
      <c r="I6" s="4">
        <v>0.15</v>
      </c>
      <c r="J6" s="4"/>
      <c r="O6" s="4" t="s">
        <v>505</v>
      </c>
      <c r="P6" s="4">
        <v>0.15</v>
      </c>
      <c r="Q6" s="4"/>
    </row>
    <row r="7" spans="1:22" x14ac:dyDescent="0.4">
      <c r="A7" s="4" t="s">
        <v>507</v>
      </c>
      <c r="B7" s="4">
        <v>0.8</v>
      </c>
      <c r="C7" s="4"/>
      <c r="D7" s="4"/>
      <c r="E7" s="4"/>
      <c r="F7" s="4"/>
      <c r="G7" s="4"/>
      <c r="H7" s="4" t="s">
        <v>507</v>
      </c>
      <c r="I7" s="4">
        <v>0.72</v>
      </c>
      <c r="J7" s="4"/>
      <c r="O7" s="4" t="s">
        <v>507</v>
      </c>
      <c r="P7" s="4">
        <v>0.72</v>
      </c>
      <c r="Q7" s="4"/>
    </row>
    <row r="8" spans="1:22" x14ac:dyDescent="0.4">
      <c r="A8" s="4"/>
      <c r="B8" s="395"/>
      <c r="C8" s="4"/>
      <c r="D8" s="4"/>
      <c r="E8" s="4"/>
      <c r="F8" s="4"/>
      <c r="G8" s="4"/>
      <c r="H8" s="4"/>
      <c r="I8" s="4"/>
      <c r="J8" s="4"/>
      <c r="O8" s="4"/>
      <c r="P8" s="395"/>
      <c r="Q8" s="4"/>
    </row>
    <row r="9" spans="1:22" x14ac:dyDescent="0.4">
      <c r="A9" s="258" t="s">
        <v>499</v>
      </c>
      <c r="H9" s="258" t="s">
        <v>501</v>
      </c>
      <c r="O9" s="258" t="s">
        <v>500</v>
      </c>
    </row>
    <row r="10" spans="1:22" x14ac:dyDescent="0.4">
      <c r="A10" s="270" t="s">
        <v>335</v>
      </c>
      <c r="B10" s="271" t="s">
        <v>336</v>
      </c>
      <c r="C10" s="4" t="str">
        <f>IF(B$5=2011,"  Costs in 2011 dollars/in-mi","  Costs in 2000 dollars/in-mi")</f>
        <v xml:space="preserve">  Costs in 2011 dollars/in-mi</v>
      </c>
      <c r="H10" s="270" t="s">
        <v>335</v>
      </c>
      <c r="I10" s="271" t="str">
        <f>B10</f>
        <v>Tot</v>
      </c>
      <c r="J10" s="4" t="str">
        <f>IF(I$5=2011,"  Costs in 2011 dollars/in-mi","  Costs in 2004 dollars/in-mi")</f>
        <v xml:space="preserve">  Costs in 2011 dollars/in-mi</v>
      </c>
      <c r="O10" s="270" t="s">
        <v>335</v>
      </c>
      <c r="P10" s="271" t="str">
        <f>B10</f>
        <v>Tot</v>
      </c>
      <c r="Q10" s="4" t="str">
        <f>IF(P$5=2011,"  Costs in 2011 dollars/in-mi","  Costs in 2008 dollars/in-mi")</f>
        <v xml:space="preserve">  Costs in 2011 dollars/in-mi</v>
      </c>
    </row>
    <row r="11" spans="1:22" x14ac:dyDescent="0.4">
      <c r="A11" s="411" t="s">
        <v>337</v>
      </c>
      <c r="B11" s="412" t="s">
        <v>338</v>
      </c>
      <c r="C11" s="413"/>
      <c r="D11" s="413"/>
      <c r="E11" s="413"/>
      <c r="F11" s="414"/>
      <c r="H11" s="411" t="s">
        <v>337</v>
      </c>
      <c r="I11" s="412" t="s">
        <v>338</v>
      </c>
      <c r="J11" s="413"/>
      <c r="K11" s="413"/>
      <c r="L11" s="413"/>
      <c r="M11" s="414"/>
      <c r="O11" s="411" t="s">
        <v>337</v>
      </c>
      <c r="P11" s="412" t="s">
        <v>338</v>
      </c>
      <c r="Q11" s="413"/>
      <c r="R11" s="413"/>
      <c r="S11" s="413"/>
      <c r="T11" s="414"/>
    </row>
    <row r="12" spans="1:22" ht="15" thickBot="1" x14ac:dyDescent="0.45">
      <c r="A12" s="263"/>
      <c r="B12" s="263">
        <v>50</v>
      </c>
      <c r="C12" s="263">
        <v>100</v>
      </c>
      <c r="D12" s="263">
        <v>200</v>
      </c>
      <c r="E12" s="263">
        <v>300</v>
      </c>
      <c r="F12" s="263">
        <v>500</v>
      </c>
      <c r="H12" s="263"/>
      <c r="I12" s="263">
        <v>50</v>
      </c>
      <c r="J12" s="263">
        <v>100</v>
      </c>
      <c r="K12" s="263">
        <v>200</v>
      </c>
      <c r="L12" s="263">
        <v>300</v>
      </c>
      <c r="M12" s="263">
        <v>500</v>
      </c>
      <c r="O12" s="263"/>
      <c r="P12" s="263">
        <v>50</v>
      </c>
      <c r="Q12" s="263">
        <v>100</v>
      </c>
      <c r="R12" s="263">
        <v>200</v>
      </c>
      <c r="S12" s="263">
        <v>300</v>
      </c>
      <c r="T12" s="263">
        <v>500</v>
      </c>
      <c r="V12" s="28"/>
    </row>
    <row r="13" spans="1:22" x14ac:dyDescent="0.4">
      <c r="A13" s="264">
        <v>12</v>
      </c>
      <c r="B13" s="265">
        <f t="shared" ref="B13:F18" si="0">sigfig(CpParker($A13,B$12,$B$10,$B$5)*(1+$B$6)*((1-$B$7)+$B$7*Pres_Fact($A13))/(B$12*$A13),$B$3)</f>
        <v>85000</v>
      </c>
      <c r="C13" s="265">
        <f t="shared" si="0"/>
        <v>84400</v>
      </c>
      <c r="D13" s="265">
        <f t="shared" si="0"/>
        <v>84100</v>
      </c>
      <c r="E13" s="265">
        <f t="shared" si="0"/>
        <v>84000</v>
      </c>
      <c r="F13" s="265">
        <f t="shared" si="0"/>
        <v>83900</v>
      </c>
      <c r="H13" s="264">
        <v>12</v>
      </c>
      <c r="I13" s="265">
        <f t="shared" ref="I13:M18" si="1">sigfig(Cpmccoy($H13,I$12,$I$4,$I$10,$I$5)*(1+$I$6)*((1-$I$7)+$I$7*Pres_Fact($H13))/(I$12*$H13),$I$3)</f>
        <v>36100</v>
      </c>
      <c r="J13" s="265">
        <f t="shared" si="1"/>
        <v>32600</v>
      </c>
      <c r="K13" s="265">
        <f t="shared" si="1"/>
        <v>29400</v>
      </c>
      <c r="L13" s="265">
        <f t="shared" si="1"/>
        <v>27700</v>
      </c>
      <c r="M13" s="265">
        <f t="shared" si="1"/>
        <v>25800</v>
      </c>
      <c r="O13" s="264">
        <v>12</v>
      </c>
      <c r="P13" s="265">
        <f t="shared" ref="P13:T18" si="2">sigfig(CpRui($O13,P$12,$P$4,$P$10,$P$5)*(1+$P$6)*((1-$P$7)+$P$7*Pres_Fact($O13))/(P$12*$O13),$P$3)</f>
        <v>28700</v>
      </c>
      <c r="Q13" s="265">
        <f t="shared" si="2"/>
        <v>25700</v>
      </c>
      <c r="R13" s="265">
        <f t="shared" si="2"/>
        <v>23100</v>
      </c>
      <c r="S13" s="265">
        <f t="shared" si="2"/>
        <v>21700</v>
      </c>
      <c r="T13" s="265">
        <f t="shared" si="2"/>
        <v>20100</v>
      </c>
      <c r="V13" s="272"/>
    </row>
    <row r="14" spans="1:22" x14ac:dyDescent="0.4">
      <c r="A14" s="266">
        <v>16</v>
      </c>
      <c r="B14" s="267">
        <f t="shared" si="0"/>
        <v>87900</v>
      </c>
      <c r="C14" s="267">
        <f t="shared" si="0"/>
        <v>87400</v>
      </c>
      <c r="D14" s="267">
        <f t="shared" si="0"/>
        <v>87200</v>
      </c>
      <c r="E14" s="267">
        <f t="shared" si="0"/>
        <v>87100</v>
      </c>
      <c r="F14" s="267">
        <f t="shared" si="0"/>
        <v>87000</v>
      </c>
      <c r="H14" s="266">
        <v>16</v>
      </c>
      <c r="I14" s="267">
        <f t="shared" si="1"/>
        <v>39900</v>
      </c>
      <c r="J14" s="267">
        <f t="shared" si="1"/>
        <v>36000</v>
      </c>
      <c r="K14" s="267">
        <f t="shared" si="1"/>
        <v>32500</v>
      </c>
      <c r="L14" s="267">
        <f t="shared" si="1"/>
        <v>30700</v>
      </c>
      <c r="M14" s="267">
        <f t="shared" si="1"/>
        <v>28500</v>
      </c>
      <c r="O14" s="266">
        <v>16</v>
      </c>
      <c r="P14" s="267">
        <f t="shared" si="2"/>
        <v>31700</v>
      </c>
      <c r="Q14" s="267">
        <f t="shared" si="2"/>
        <v>28400</v>
      </c>
      <c r="R14" s="267">
        <f t="shared" si="2"/>
        <v>25500</v>
      </c>
      <c r="S14" s="267">
        <f t="shared" si="2"/>
        <v>23900</v>
      </c>
      <c r="T14" s="267">
        <f t="shared" si="2"/>
        <v>22200</v>
      </c>
      <c r="V14" s="272"/>
    </row>
    <row r="15" spans="1:22" x14ac:dyDescent="0.4">
      <c r="A15" s="266">
        <v>20</v>
      </c>
      <c r="B15" s="267">
        <f t="shared" si="0"/>
        <v>91400</v>
      </c>
      <c r="C15" s="267">
        <f t="shared" si="0"/>
        <v>91000</v>
      </c>
      <c r="D15" s="267">
        <f t="shared" si="0"/>
        <v>90800</v>
      </c>
      <c r="E15" s="267">
        <f t="shared" si="0"/>
        <v>90700</v>
      </c>
      <c r="F15" s="267">
        <f t="shared" si="0"/>
        <v>90600</v>
      </c>
      <c r="H15" s="266">
        <v>20</v>
      </c>
      <c r="I15" s="267">
        <f t="shared" si="1"/>
        <v>42300</v>
      </c>
      <c r="J15" s="267">
        <f t="shared" si="1"/>
        <v>38200</v>
      </c>
      <c r="K15" s="267">
        <f t="shared" si="1"/>
        <v>34500</v>
      </c>
      <c r="L15" s="267">
        <f t="shared" si="1"/>
        <v>32600</v>
      </c>
      <c r="M15" s="267">
        <f t="shared" si="1"/>
        <v>30300</v>
      </c>
      <c r="O15" s="266">
        <v>20</v>
      </c>
      <c r="P15" s="267">
        <f t="shared" si="2"/>
        <v>33700</v>
      </c>
      <c r="Q15" s="267">
        <f t="shared" si="2"/>
        <v>30100</v>
      </c>
      <c r="R15" s="267">
        <f t="shared" si="2"/>
        <v>27000</v>
      </c>
      <c r="S15" s="267">
        <f t="shared" si="2"/>
        <v>25400</v>
      </c>
      <c r="T15" s="267">
        <f t="shared" si="2"/>
        <v>23500</v>
      </c>
      <c r="V15" s="272"/>
    </row>
    <row r="16" spans="1:22" x14ac:dyDescent="0.4">
      <c r="A16" s="266">
        <v>24</v>
      </c>
      <c r="B16" s="267">
        <f t="shared" si="0"/>
        <v>98100</v>
      </c>
      <c r="C16" s="267">
        <f t="shared" si="0"/>
        <v>97700</v>
      </c>
      <c r="D16" s="267">
        <f t="shared" si="0"/>
        <v>97500</v>
      </c>
      <c r="E16" s="267">
        <f t="shared" si="0"/>
        <v>97400</v>
      </c>
      <c r="F16" s="267">
        <f t="shared" si="0"/>
        <v>97400</v>
      </c>
      <c r="H16" s="266">
        <v>24</v>
      </c>
      <c r="I16" s="267">
        <f t="shared" si="1"/>
        <v>45100</v>
      </c>
      <c r="J16" s="267">
        <f t="shared" si="1"/>
        <v>40700</v>
      </c>
      <c r="K16" s="267">
        <f t="shared" si="1"/>
        <v>36900</v>
      </c>
      <c r="L16" s="267">
        <f t="shared" si="1"/>
        <v>34800</v>
      </c>
      <c r="M16" s="267">
        <f t="shared" si="1"/>
        <v>32400</v>
      </c>
      <c r="O16" s="266">
        <v>24</v>
      </c>
      <c r="P16" s="267">
        <f t="shared" si="2"/>
        <v>35900</v>
      </c>
      <c r="Q16" s="267">
        <f t="shared" si="2"/>
        <v>32200</v>
      </c>
      <c r="R16" s="267">
        <f t="shared" si="2"/>
        <v>28800</v>
      </c>
      <c r="S16" s="267">
        <f t="shared" si="2"/>
        <v>27100</v>
      </c>
      <c r="T16" s="267">
        <f t="shared" si="2"/>
        <v>25000</v>
      </c>
      <c r="V16" s="272"/>
    </row>
    <row r="17" spans="1:22" x14ac:dyDescent="0.4">
      <c r="A17" s="266">
        <v>30</v>
      </c>
      <c r="B17" s="267">
        <f t="shared" si="0"/>
        <v>104000</v>
      </c>
      <c r="C17" s="267">
        <f t="shared" si="0"/>
        <v>104000</v>
      </c>
      <c r="D17" s="267">
        <f t="shared" si="0"/>
        <v>104000</v>
      </c>
      <c r="E17" s="267">
        <f t="shared" si="0"/>
        <v>104000</v>
      </c>
      <c r="F17" s="267">
        <f t="shared" si="0"/>
        <v>103000</v>
      </c>
      <c r="H17" s="266">
        <v>30</v>
      </c>
      <c r="I17" s="267">
        <f t="shared" si="1"/>
        <v>46500</v>
      </c>
      <c r="J17" s="267">
        <f t="shared" si="1"/>
        <v>42100</v>
      </c>
      <c r="K17" s="267">
        <f t="shared" si="1"/>
        <v>38100</v>
      </c>
      <c r="L17" s="267">
        <f t="shared" si="1"/>
        <v>36000</v>
      </c>
      <c r="M17" s="267">
        <f t="shared" si="1"/>
        <v>33600</v>
      </c>
      <c r="O17" s="266">
        <v>30</v>
      </c>
      <c r="P17" s="267">
        <f t="shared" si="2"/>
        <v>37000</v>
      </c>
      <c r="Q17" s="267">
        <f t="shared" si="2"/>
        <v>33100</v>
      </c>
      <c r="R17" s="267">
        <f t="shared" si="2"/>
        <v>29700</v>
      </c>
      <c r="S17" s="267">
        <f t="shared" si="2"/>
        <v>27900</v>
      </c>
      <c r="T17" s="267">
        <f t="shared" si="2"/>
        <v>25800</v>
      </c>
      <c r="V17" s="272"/>
    </row>
    <row r="18" spans="1:22" x14ac:dyDescent="0.4">
      <c r="A18" s="268">
        <v>42</v>
      </c>
      <c r="B18" s="269">
        <f t="shared" si="0"/>
        <v>120000</v>
      </c>
      <c r="C18" s="269">
        <f t="shared" si="0"/>
        <v>120000</v>
      </c>
      <c r="D18" s="269">
        <f t="shared" si="0"/>
        <v>120000</v>
      </c>
      <c r="E18" s="269">
        <f t="shared" si="0"/>
        <v>120000</v>
      </c>
      <c r="F18" s="269">
        <f t="shared" si="0"/>
        <v>120000</v>
      </c>
      <c r="H18" s="268">
        <v>42</v>
      </c>
      <c r="I18" s="269">
        <f t="shared" si="1"/>
        <v>49300</v>
      </c>
      <c r="J18" s="269">
        <f t="shared" si="1"/>
        <v>44700</v>
      </c>
      <c r="K18" s="269">
        <f t="shared" si="1"/>
        <v>40600</v>
      </c>
      <c r="L18" s="269">
        <f t="shared" si="1"/>
        <v>38400</v>
      </c>
      <c r="M18" s="269">
        <f t="shared" si="1"/>
        <v>35800</v>
      </c>
      <c r="O18" s="268">
        <v>42</v>
      </c>
      <c r="P18" s="269">
        <f t="shared" si="2"/>
        <v>39000</v>
      </c>
      <c r="Q18" s="269">
        <f t="shared" si="2"/>
        <v>35000</v>
      </c>
      <c r="R18" s="269">
        <f t="shared" si="2"/>
        <v>31400</v>
      </c>
      <c r="S18" s="269">
        <f t="shared" si="2"/>
        <v>29500</v>
      </c>
      <c r="T18" s="269">
        <f t="shared" si="2"/>
        <v>27300</v>
      </c>
      <c r="V18" s="272"/>
    </row>
    <row r="20" spans="1:22" x14ac:dyDescent="0.4">
      <c r="A20" s="418"/>
      <c r="B20" s="419"/>
      <c r="C20" s="419"/>
      <c r="D20" s="419"/>
      <c r="E20" s="419"/>
      <c r="F20" s="419"/>
      <c r="H20" s="418"/>
      <c r="I20" s="419"/>
      <c r="J20" s="419"/>
      <c r="K20" s="419"/>
      <c r="L20" s="419"/>
      <c r="M20" s="419"/>
      <c r="O20" s="418"/>
      <c r="P20" s="419"/>
      <c r="Q20" s="419"/>
      <c r="R20" s="419"/>
      <c r="S20" s="419"/>
      <c r="T20" s="419"/>
    </row>
  </sheetData>
  <pageMargins left="0.7" right="0.7" top="0.75" bottom="0.75" header="0.3" footer="0.3"/>
  <pageSetup scale="80" orientation="landscape" r:id="rId1"/>
  <colBreaks count="1" manualBreakCount="1">
    <brk id="1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Cover Sheet</vt:lpstr>
      <vt:lpstr>Pipeline Network</vt:lpstr>
      <vt:lpstr>Main</vt:lpstr>
      <vt:lpstr>Eng Mod</vt:lpstr>
      <vt:lpstr>Cost Indices</vt:lpstr>
      <vt:lpstr>PL Pressure Relation</vt:lpstr>
      <vt:lpstr>Pipe Cap plot1</vt:lpstr>
      <vt:lpstr>Pipe Cap</vt:lpstr>
      <vt:lpstr>Pipe Cap plot2</vt:lpstr>
      <vt:lpstr>L_PL</vt:lpstr>
      <vt:lpstr>Len_PL</vt:lpstr>
      <vt:lpstr>Len_PL_U</vt:lpstr>
      <vt:lpstr>n_pumps</vt:lpstr>
      <vt:lpstr>P_in</vt:lpstr>
      <vt:lpstr>P_out</vt:lpstr>
      <vt:lpstr>PL_d</vt:lpstr>
      <vt:lpstr>Pr_in</vt:lpstr>
      <vt:lpstr>Pr_out</vt:lpstr>
      <vt:lpstr>Pr_units</vt:lpstr>
      <vt:lpstr>'Eng Mod'!Print_Area</vt:lpstr>
      <vt:lpstr>Main!Print_Area</vt:lpstr>
      <vt:lpstr>'Pipe Cap'!Print_Area</vt:lpstr>
      <vt:lpstr>'Pipe Cap plot1'!Print_Area</vt:lpstr>
      <vt:lpstr>'Pipe Cap plot2'!Print_Area</vt:lpstr>
      <vt:lpstr>'Eng Mod'!Print_Titles</vt:lpstr>
      <vt:lpstr>Main!Print_Titles</vt:lpstr>
      <vt:lpstr>pump_power</vt:lpstr>
      <vt:lpstr>T_Pipeline</vt:lpstr>
      <vt:lpstr>T_Pipeline_U</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2021-10-27T04:11:20Z</dcterms:created>
  <dcterms:modified xsi:type="dcterms:W3CDTF">2021-10-27T04:11:48Z</dcterms:modified>
</cp:coreProperties>
</file>