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1891" windowHeight="10946"/>
  </bookViews>
  <sheets>
    <sheet name="Cover Sheet" sheetId="9" r:id="rId1"/>
    <sheet name="Main" sheetId="2" r:id="rId2"/>
    <sheet name="Facility Databank" sheetId="5" r:id="rId3"/>
    <sheet name="Facility Tariffs" sheetId="8" r:id="rId4"/>
  </sheets>
  <externalReferences>
    <externalReference r:id="rId5"/>
  </externalReferences>
  <definedNames>
    <definedName name="L_PL">'[1]Eng Mod'!$D$16</definedName>
    <definedName name="Len_PL_U">'[1]Eng Mod'!$E$16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7" i="2" l="1"/>
  <c r="M27" i="2"/>
  <c r="E186" i="2"/>
  <c r="F186" i="2" s="1"/>
  <c r="G186" i="2" s="1"/>
  <c r="H186" i="2" s="1"/>
  <c r="I186" i="2" s="1"/>
  <c r="J186" i="2" s="1"/>
  <c r="K186" i="2" s="1"/>
  <c r="L186" i="2" s="1"/>
  <c r="M186" i="2" s="1"/>
  <c r="N186" i="2" s="1"/>
  <c r="O186" i="2" s="1"/>
  <c r="P186" i="2" s="1"/>
  <c r="Q186" i="2" s="1"/>
  <c r="R186" i="2" s="1"/>
  <c r="S186" i="2" s="1"/>
  <c r="T186" i="2" s="1"/>
  <c r="U186" i="2" s="1"/>
  <c r="V186" i="2" s="1"/>
  <c r="W186" i="2" s="1"/>
  <c r="X186" i="2" s="1"/>
  <c r="Y186" i="2" s="1"/>
  <c r="Z186" i="2" s="1"/>
  <c r="AA186" i="2" s="1"/>
  <c r="AB186" i="2" s="1"/>
  <c r="AC186" i="2" s="1"/>
  <c r="AD186" i="2" s="1"/>
  <c r="AE186" i="2" s="1"/>
  <c r="AF186" i="2" s="1"/>
  <c r="AG186" i="2" s="1"/>
  <c r="AH186" i="2" s="1"/>
  <c r="AI186" i="2" s="1"/>
  <c r="AJ186" i="2" s="1"/>
  <c r="AK186" i="2" s="1"/>
  <c r="AL186" i="2" s="1"/>
  <c r="AM186" i="2" s="1"/>
  <c r="AN186" i="2" s="1"/>
  <c r="AO186" i="2" s="1"/>
  <c r="AP186" i="2" s="1"/>
  <c r="AQ186" i="2" s="1"/>
  <c r="AR186" i="2" s="1"/>
  <c r="AS186" i="2" s="1"/>
  <c r="AT186" i="2" s="1"/>
  <c r="AU186" i="2" s="1"/>
  <c r="AV186" i="2" s="1"/>
  <c r="AW186" i="2" s="1"/>
  <c r="AX186" i="2" s="1"/>
  <c r="AY186" i="2" s="1"/>
  <c r="AZ186" i="2" s="1"/>
  <c r="BA186" i="2" s="1"/>
  <c r="BB186" i="2" s="1"/>
  <c r="BC186" i="2" s="1"/>
  <c r="BD186" i="2" s="1"/>
  <c r="BE186" i="2" s="1"/>
  <c r="BF186" i="2" s="1"/>
  <c r="BG186" i="2" s="1"/>
  <c r="BH186" i="2" s="1"/>
  <c r="BI186" i="2" s="1"/>
  <c r="BJ186" i="2" s="1"/>
  <c r="BK186" i="2" s="1"/>
  <c r="BL186" i="2" s="1"/>
  <c r="BM186" i="2" s="1"/>
  <c r="BN186" i="2" s="1"/>
  <c r="BO186" i="2" s="1"/>
  <c r="BP186" i="2" s="1"/>
  <c r="BQ186" i="2" s="1"/>
  <c r="BR186" i="2" s="1"/>
  <c r="BS186" i="2" s="1"/>
  <c r="BT186" i="2" s="1"/>
  <c r="BU186" i="2" s="1"/>
  <c r="BV186" i="2" s="1"/>
  <c r="BW186" i="2" s="1"/>
  <c r="BX186" i="2" s="1"/>
  <c r="D60" i="2" l="1"/>
  <c r="D43" i="2" l="1"/>
  <c r="D42" i="2"/>
  <c r="G40" i="2"/>
  <c r="J18" i="2" l="1"/>
  <c r="J16" i="2"/>
  <c r="I19" i="2"/>
  <c r="K19" i="2" s="1"/>
  <c r="I15" i="2"/>
  <c r="K15" i="2" s="1"/>
  <c r="J15" i="2"/>
  <c r="I18" i="2"/>
  <c r="K18" i="2" s="1"/>
  <c r="J19" i="2"/>
  <c r="J17" i="2"/>
  <c r="I16" i="2"/>
  <c r="K16" i="2" s="1"/>
  <c r="I17" i="2"/>
  <c r="K17" i="2" s="1"/>
  <c r="I9" i="2"/>
  <c r="D62" i="2"/>
  <c r="D64" i="2"/>
  <c r="T34" i="2" l="1"/>
  <c r="T35" i="2"/>
  <c r="T36" i="2"/>
  <c r="T37" i="2"/>
  <c r="T38" i="2"/>
  <c r="S39" i="2"/>
  <c r="T39" i="2" s="1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M55" i="2"/>
  <c r="N55" i="2" s="1"/>
  <c r="M56" i="2" l="1"/>
  <c r="S40" i="2"/>
  <c r="Z28" i="2"/>
  <c r="N56" i="2" l="1"/>
  <c r="M57" i="2"/>
  <c r="S41" i="2"/>
  <c r="T40" i="2"/>
  <c r="AG34" i="2"/>
  <c r="AG35" i="2"/>
  <c r="AG36" i="2"/>
  <c r="AG37" i="2"/>
  <c r="AG38" i="2"/>
  <c r="AG30" i="2"/>
  <c r="AG31" i="2"/>
  <c r="AG32" i="2"/>
  <c r="AG33" i="2"/>
  <c r="AG29" i="2"/>
  <c r="AA44" i="2"/>
  <c r="AA45" i="2"/>
  <c r="AA46" i="2"/>
  <c r="AA47" i="2"/>
  <c r="AA48" i="2"/>
  <c r="AA49" i="2"/>
  <c r="AA50" i="2"/>
  <c r="AA51" i="2"/>
  <c r="AA52" i="2"/>
  <c r="AA53" i="2"/>
  <c r="AA54" i="2"/>
  <c r="AA41" i="2"/>
  <c r="AA42" i="2"/>
  <c r="AA43" i="2"/>
  <c r="AA40" i="2"/>
  <c r="Z55" i="2"/>
  <c r="Z56" i="2" s="1"/>
  <c r="AA56" i="2" s="1"/>
  <c r="AF39" i="2"/>
  <c r="AG39" i="2" s="1"/>
  <c r="N57" i="2" l="1"/>
  <c r="M58" i="2"/>
  <c r="T41" i="2"/>
  <c r="S42" i="2"/>
  <c r="AF40" i="2"/>
  <c r="AF41" i="2" s="1"/>
  <c r="AG41" i="2" s="1"/>
  <c r="AA55" i="2"/>
  <c r="Z57" i="2"/>
  <c r="AA57" i="2" s="1"/>
  <c r="D133" i="2"/>
  <c r="D101" i="2" l="1"/>
  <c r="D105" i="2"/>
  <c r="N58" i="2"/>
  <c r="M59" i="2"/>
  <c r="AF42" i="2"/>
  <c r="AG42" i="2" s="1"/>
  <c r="T42" i="2"/>
  <c r="S43" i="2"/>
  <c r="AG40" i="2"/>
  <c r="Z58" i="2"/>
  <c r="AA58" i="2" s="1"/>
  <c r="D106" i="2"/>
  <c r="AF43" i="2" l="1"/>
  <c r="AG43" i="2" s="1"/>
  <c r="M60" i="2"/>
  <c r="N59" i="2"/>
  <c r="S44" i="2"/>
  <c r="T43" i="2"/>
  <c r="Z59" i="2"/>
  <c r="AA59" i="2" s="1"/>
  <c r="AF44" i="2" l="1"/>
  <c r="AG44" i="2" s="1"/>
  <c r="N60" i="2"/>
  <c r="M61" i="2"/>
  <c r="T44" i="2"/>
  <c r="S45" i="2"/>
  <c r="Z60" i="2"/>
  <c r="AA60" i="2" s="1"/>
  <c r="AF45" i="2" l="1"/>
  <c r="AG45" i="2" s="1"/>
  <c r="M62" i="2"/>
  <c r="N61" i="2"/>
  <c r="S46" i="2"/>
  <c r="T45" i="2"/>
  <c r="Z61" i="2"/>
  <c r="AA61" i="2" s="1"/>
  <c r="AF46" i="2" l="1"/>
  <c r="AG46" i="2" s="1"/>
  <c r="N62" i="2"/>
  <c r="M63" i="2"/>
  <c r="S47" i="2"/>
  <c r="T46" i="2"/>
  <c r="Z62" i="2"/>
  <c r="AA62" i="2" s="1"/>
  <c r="AF47" i="2" l="1"/>
  <c r="AG47" i="2" s="1"/>
  <c r="M64" i="2"/>
  <c r="N63" i="2"/>
  <c r="S48" i="2"/>
  <c r="T47" i="2"/>
  <c r="Z63" i="2"/>
  <c r="AA63" i="2" s="1"/>
  <c r="AF48" i="2" l="1"/>
  <c r="AG48" i="2" s="1"/>
  <c r="M65" i="2"/>
  <c r="N64" i="2"/>
  <c r="S49" i="2"/>
  <c r="T48" i="2"/>
  <c r="Z64" i="2"/>
  <c r="AA64" i="2" s="1"/>
  <c r="AJ108" i="2"/>
  <c r="AJ109" i="2" s="1"/>
  <c r="AJ123" i="2" s="1"/>
  <c r="AJ165" i="2" s="1"/>
  <c r="AK108" i="2"/>
  <c r="AL108" i="2"/>
  <c r="AL109" i="2" s="1"/>
  <c r="AL123" i="2" s="1"/>
  <c r="AL165" i="2" s="1"/>
  <c r="AM108" i="2"/>
  <c r="AM109" i="2" s="1"/>
  <c r="AM123" i="2" s="1"/>
  <c r="AM165" i="2" s="1"/>
  <c r="AN108" i="2"/>
  <c r="AN109" i="2" s="1"/>
  <c r="AN123" i="2" s="1"/>
  <c r="AN165" i="2" s="1"/>
  <c r="AO108" i="2"/>
  <c r="AO109" i="2" s="1"/>
  <c r="AO123" i="2" s="1"/>
  <c r="AO165" i="2" s="1"/>
  <c r="AP108" i="2"/>
  <c r="AP109" i="2" s="1"/>
  <c r="AP123" i="2" s="1"/>
  <c r="AP165" i="2" s="1"/>
  <c r="AQ108" i="2"/>
  <c r="AQ109" i="2" s="1"/>
  <c r="AQ123" i="2" s="1"/>
  <c r="AQ165" i="2" s="1"/>
  <c r="AR108" i="2"/>
  <c r="AR109" i="2" s="1"/>
  <c r="AR123" i="2" s="1"/>
  <c r="AR165" i="2" s="1"/>
  <c r="AS108" i="2"/>
  <c r="AS109" i="2" s="1"/>
  <c r="AS123" i="2" s="1"/>
  <c r="AS165" i="2" s="1"/>
  <c r="AT108" i="2"/>
  <c r="AT109" i="2" s="1"/>
  <c r="AT123" i="2" s="1"/>
  <c r="AT165" i="2" s="1"/>
  <c r="AU108" i="2"/>
  <c r="AU109" i="2" s="1"/>
  <c r="AU123" i="2" s="1"/>
  <c r="AU165" i="2" s="1"/>
  <c r="AV108" i="2"/>
  <c r="AV109" i="2" s="1"/>
  <c r="AV123" i="2" s="1"/>
  <c r="AV165" i="2" s="1"/>
  <c r="AW108" i="2"/>
  <c r="AW109" i="2" s="1"/>
  <c r="AW123" i="2" s="1"/>
  <c r="AW165" i="2" s="1"/>
  <c r="AX108" i="2"/>
  <c r="AX109" i="2" s="1"/>
  <c r="AX123" i="2" s="1"/>
  <c r="AX165" i="2" s="1"/>
  <c r="AY108" i="2"/>
  <c r="AY109" i="2" s="1"/>
  <c r="AY123" i="2" s="1"/>
  <c r="AY165" i="2" s="1"/>
  <c r="AZ108" i="2"/>
  <c r="AZ109" i="2" s="1"/>
  <c r="AZ123" i="2" s="1"/>
  <c r="AZ165" i="2" s="1"/>
  <c r="BA108" i="2"/>
  <c r="BA109" i="2" s="1"/>
  <c r="BA123" i="2" s="1"/>
  <c r="BA165" i="2" s="1"/>
  <c r="BB108" i="2"/>
  <c r="BB109" i="2" s="1"/>
  <c r="BB123" i="2" s="1"/>
  <c r="BB165" i="2" s="1"/>
  <c r="BC108" i="2"/>
  <c r="BC109" i="2" s="1"/>
  <c r="BC123" i="2" s="1"/>
  <c r="BC165" i="2" s="1"/>
  <c r="BD108" i="2"/>
  <c r="BD109" i="2" s="1"/>
  <c r="BD123" i="2" s="1"/>
  <c r="BD165" i="2" s="1"/>
  <c r="BE108" i="2"/>
  <c r="BE109" i="2" s="1"/>
  <c r="BE123" i="2" s="1"/>
  <c r="BE165" i="2" s="1"/>
  <c r="BF108" i="2"/>
  <c r="BF109" i="2" s="1"/>
  <c r="BF123" i="2" s="1"/>
  <c r="BF165" i="2" s="1"/>
  <c r="BG108" i="2"/>
  <c r="BG109" i="2" s="1"/>
  <c r="BG123" i="2" s="1"/>
  <c r="BG165" i="2" s="1"/>
  <c r="BH108" i="2"/>
  <c r="BH109" i="2" s="1"/>
  <c r="BH123" i="2" s="1"/>
  <c r="BH165" i="2" s="1"/>
  <c r="BI108" i="2"/>
  <c r="BI109" i="2" s="1"/>
  <c r="BI123" i="2" s="1"/>
  <c r="BI165" i="2" s="1"/>
  <c r="BJ108" i="2"/>
  <c r="BJ109" i="2" s="1"/>
  <c r="BJ123" i="2" s="1"/>
  <c r="BJ165" i="2" s="1"/>
  <c r="BK108" i="2"/>
  <c r="BK109" i="2" s="1"/>
  <c r="BK123" i="2" s="1"/>
  <c r="BK165" i="2" s="1"/>
  <c r="BL108" i="2"/>
  <c r="BL109" i="2" s="1"/>
  <c r="BL123" i="2" s="1"/>
  <c r="BL165" i="2" s="1"/>
  <c r="BM108" i="2"/>
  <c r="BM109" i="2" s="1"/>
  <c r="BM123" i="2" s="1"/>
  <c r="BM165" i="2" s="1"/>
  <c r="BN108" i="2"/>
  <c r="BN109" i="2" s="1"/>
  <c r="BN123" i="2" s="1"/>
  <c r="BN165" i="2" s="1"/>
  <c r="BO108" i="2"/>
  <c r="BO109" i="2" s="1"/>
  <c r="BO123" i="2" s="1"/>
  <c r="BO165" i="2" s="1"/>
  <c r="BP108" i="2"/>
  <c r="BP109" i="2" s="1"/>
  <c r="BP123" i="2" s="1"/>
  <c r="BP165" i="2" s="1"/>
  <c r="BQ108" i="2"/>
  <c r="BQ109" i="2" s="1"/>
  <c r="BQ123" i="2" s="1"/>
  <c r="BQ165" i="2" s="1"/>
  <c r="BR108" i="2"/>
  <c r="BR109" i="2" s="1"/>
  <c r="BR123" i="2" s="1"/>
  <c r="BR165" i="2" s="1"/>
  <c r="BS108" i="2"/>
  <c r="BS109" i="2" s="1"/>
  <c r="BS123" i="2" s="1"/>
  <c r="BS165" i="2" s="1"/>
  <c r="BT108" i="2"/>
  <c r="BT109" i="2" s="1"/>
  <c r="BT123" i="2" s="1"/>
  <c r="BT165" i="2" s="1"/>
  <c r="BU108" i="2"/>
  <c r="BU109" i="2" s="1"/>
  <c r="BU123" i="2" s="1"/>
  <c r="BU165" i="2" s="1"/>
  <c r="BV108" i="2"/>
  <c r="BV109" i="2" s="1"/>
  <c r="BV123" i="2" s="1"/>
  <c r="BV165" i="2" s="1"/>
  <c r="BW108" i="2"/>
  <c r="BW109" i="2" s="1"/>
  <c r="BW123" i="2" s="1"/>
  <c r="BW165" i="2" s="1"/>
  <c r="BX108" i="2"/>
  <c r="BX109" i="2" s="1"/>
  <c r="BX123" i="2" s="1"/>
  <c r="BX165" i="2" s="1"/>
  <c r="AK109" i="2"/>
  <c r="AK123" i="2" s="1"/>
  <c r="AK165" i="2" s="1"/>
  <c r="AF49" i="2" l="1"/>
  <c r="AG49" i="2" s="1"/>
  <c r="N65" i="2"/>
  <c r="M66" i="2"/>
  <c r="S50" i="2"/>
  <c r="T49" i="2"/>
  <c r="Z65" i="2"/>
  <c r="AA65" i="2" s="1"/>
  <c r="AF50" i="2" l="1"/>
  <c r="AG50" i="2" s="1"/>
  <c r="M67" i="2"/>
  <c r="N66" i="2"/>
  <c r="S51" i="2"/>
  <c r="T50" i="2"/>
  <c r="Z66" i="2"/>
  <c r="AA66" i="2" s="1"/>
  <c r="Z108" i="2"/>
  <c r="Z109" i="2" s="1"/>
  <c r="Z123" i="2" s="1"/>
  <c r="Z165" i="2" s="1"/>
  <c r="AA108" i="2"/>
  <c r="AA109" i="2" s="1"/>
  <c r="AA123" i="2" s="1"/>
  <c r="AA165" i="2" s="1"/>
  <c r="AB108" i="2"/>
  <c r="AB109" i="2" s="1"/>
  <c r="AC108" i="2"/>
  <c r="AC109" i="2" s="1"/>
  <c r="AD108" i="2"/>
  <c r="AD109" i="2" s="1"/>
  <c r="AE108" i="2"/>
  <c r="AE109" i="2" s="1"/>
  <c r="AF108" i="2"/>
  <c r="AF109" i="2" s="1"/>
  <c r="AG108" i="2"/>
  <c r="AG109" i="2" s="1"/>
  <c r="AH108" i="2"/>
  <c r="AH109" i="2" s="1"/>
  <c r="AH123" i="2" s="1"/>
  <c r="AH165" i="2" s="1"/>
  <c r="AI108" i="2"/>
  <c r="AI109" i="2" s="1"/>
  <c r="AI123" i="2" s="1"/>
  <c r="AI165" i="2" s="1"/>
  <c r="E144" i="2"/>
  <c r="E154" i="2"/>
  <c r="F154" i="2" s="1"/>
  <c r="G154" i="2" s="1"/>
  <c r="H154" i="2" s="1"/>
  <c r="I154" i="2" s="1"/>
  <c r="J154" i="2" s="1"/>
  <c r="K154" i="2" s="1"/>
  <c r="L154" i="2" s="1"/>
  <c r="M154" i="2" s="1"/>
  <c r="N154" i="2" s="1"/>
  <c r="O154" i="2" s="1"/>
  <c r="P154" i="2" s="1"/>
  <c r="Q154" i="2" s="1"/>
  <c r="R154" i="2" s="1"/>
  <c r="S154" i="2" s="1"/>
  <c r="T154" i="2" s="1"/>
  <c r="U154" i="2" s="1"/>
  <c r="V154" i="2" s="1"/>
  <c r="W154" i="2" s="1"/>
  <c r="X154" i="2" s="1"/>
  <c r="Y154" i="2" s="1"/>
  <c r="Z154" i="2" s="1"/>
  <c r="AA154" i="2" s="1"/>
  <c r="AB154" i="2" s="1"/>
  <c r="AC154" i="2" s="1"/>
  <c r="AD154" i="2" s="1"/>
  <c r="AE154" i="2" s="1"/>
  <c r="AF154" i="2" s="1"/>
  <c r="AG154" i="2" s="1"/>
  <c r="AH154" i="2" s="1"/>
  <c r="AI154" i="2" s="1"/>
  <c r="AJ154" i="2" s="1"/>
  <c r="E130" i="2"/>
  <c r="E133" i="2" s="1"/>
  <c r="E95" i="2"/>
  <c r="E83" i="2"/>
  <c r="F83" i="2" s="1"/>
  <c r="G83" i="2" s="1"/>
  <c r="F72" i="2"/>
  <c r="D66" i="2"/>
  <c r="D65" i="2"/>
  <c r="F108" i="2"/>
  <c r="F109" i="2" s="1"/>
  <c r="F123" i="2" s="1"/>
  <c r="F165" i="2" s="1"/>
  <c r="G108" i="2"/>
  <c r="G109" i="2" s="1"/>
  <c r="G123" i="2" s="1"/>
  <c r="G165" i="2" s="1"/>
  <c r="H108" i="2"/>
  <c r="H109" i="2" s="1"/>
  <c r="I108" i="2"/>
  <c r="I109" i="2" s="1"/>
  <c r="J108" i="2"/>
  <c r="J109" i="2" s="1"/>
  <c r="J123" i="2" s="1"/>
  <c r="J165" i="2" s="1"/>
  <c r="K108" i="2"/>
  <c r="K109" i="2" s="1"/>
  <c r="L108" i="2"/>
  <c r="L109" i="2" s="1"/>
  <c r="M108" i="2"/>
  <c r="M109" i="2" s="1"/>
  <c r="N108" i="2"/>
  <c r="N109" i="2" s="1"/>
  <c r="N123" i="2" s="1"/>
  <c r="N165" i="2" s="1"/>
  <c r="O108" i="2"/>
  <c r="O109" i="2" s="1"/>
  <c r="O123" i="2" s="1"/>
  <c r="O165" i="2" s="1"/>
  <c r="P108" i="2"/>
  <c r="P109" i="2" s="1"/>
  <c r="Q108" i="2"/>
  <c r="Q109" i="2" s="1"/>
  <c r="Q123" i="2" s="1"/>
  <c r="Q165" i="2" s="1"/>
  <c r="R108" i="2"/>
  <c r="R109" i="2" s="1"/>
  <c r="S108" i="2"/>
  <c r="S109" i="2" s="1"/>
  <c r="S123" i="2" s="1"/>
  <c r="S165" i="2" s="1"/>
  <c r="T108" i="2"/>
  <c r="T109" i="2" s="1"/>
  <c r="U108" i="2"/>
  <c r="U109" i="2" s="1"/>
  <c r="V108" i="2"/>
  <c r="V109" i="2" s="1"/>
  <c r="W108" i="2"/>
  <c r="W109" i="2" s="1"/>
  <c r="W123" i="2" s="1"/>
  <c r="W165" i="2" s="1"/>
  <c r="B124" i="2"/>
  <c r="X108" i="2"/>
  <c r="X109" i="2" s="1"/>
  <c r="X123" i="2" s="1"/>
  <c r="X165" i="2" s="1"/>
  <c r="Y108" i="2"/>
  <c r="Y109" i="2" s="1"/>
  <c r="AF51" i="2" l="1"/>
  <c r="AG51" i="2" s="1"/>
  <c r="D68" i="2"/>
  <c r="D67" i="2"/>
  <c r="M68" i="2"/>
  <c r="N67" i="2"/>
  <c r="S52" i="2"/>
  <c r="T51" i="2"/>
  <c r="Z67" i="2"/>
  <c r="AA67" i="2" s="1"/>
  <c r="AF52" i="2"/>
  <c r="AG52" i="2" s="1"/>
  <c r="E101" i="2"/>
  <c r="E106" i="2"/>
  <c r="F95" i="2"/>
  <c r="D86" i="2"/>
  <c r="AK154" i="2"/>
  <c r="F130" i="2"/>
  <c r="F133" i="2" s="1"/>
  <c r="F86" i="2"/>
  <c r="E86" i="2"/>
  <c r="G86" i="2"/>
  <c r="R123" i="2"/>
  <c r="R165" i="2" s="1"/>
  <c r="Y123" i="2"/>
  <c r="Y165" i="2" s="1"/>
  <c r="V123" i="2"/>
  <c r="V165" i="2" s="1"/>
  <c r="M123" i="2"/>
  <c r="M165" i="2" s="1"/>
  <c r="I123" i="2"/>
  <c r="I165" i="2" s="1"/>
  <c r="AG123" i="2"/>
  <c r="AG165" i="2" s="1"/>
  <c r="K123" i="2"/>
  <c r="K165" i="2" s="1"/>
  <c r="L123" i="2"/>
  <c r="L165" i="2" s="1"/>
  <c r="AC123" i="2"/>
  <c r="AC165" i="2" s="1"/>
  <c r="T123" i="2"/>
  <c r="T165" i="2" s="1"/>
  <c r="P123" i="2"/>
  <c r="P165" i="2" s="1"/>
  <c r="AB123" i="2"/>
  <c r="AB165" i="2" s="1"/>
  <c r="U123" i="2"/>
  <c r="U165" i="2" s="1"/>
  <c r="F144" i="2"/>
  <c r="H123" i="2"/>
  <c r="H165" i="2" s="1"/>
  <c r="AF123" i="2"/>
  <c r="AF165" i="2" s="1"/>
  <c r="AE123" i="2"/>
  <c r="AE165" i="2" s="1"/>
  <c r="AD123" i="2"/>
  <c r="AD165" i="2" s="1"/>
  <c r="H83" i="2"/>
  <c r="D41" i="2"/>
  <c r="D72" i="2" s="1"/>
  <c r="D77" i="2" s="1"/>
  <c r="G118" i="2" l="1"/>
  <c r="M69" i="2"/>
  <c r="N68" i="2"/>
  <c r="S53" i="2"/>
  <c r="T52" i="2"/>
  <c r="AF53" i="2"/>
  <c r="AG53" i="2" s="1"/>
  <c r="Z68" i="2"/>
  <c r="AA68" i="2" s="1"/>
  <c r="G95" i="2"/>
  <c r="H95" i="2" s="1"/>
  <c r="E4" i="2"/>
  <c r="G130" i="2"/>
  <c r="G133" i="2" s="1"/>
  <c r="AL154" i="2"/>
  <c r="E19" i="2"/>
  <c r="E7" i="2"/>
  <c r="D82" i="2"/>
  <c r="D185" i="2" s="1"/>
  <c r="F118" i="2"/>
  <c r="I83" i="2"/>
  <c r="H86" i="2"/>
  <c r="G144" i="2"/>
  <c r="H118" i="2" l="1"/>
  <c r="N69" i="2"/>
  <c r="M70" i="2"/>
  <c r="S54" i="2"/>
  <c r="T53" i="2"/>
  <c r="AF54" i="2"/>
  <c r="AG54" i="2" s="1"/>
  <c r="Z69" i="2"/>
  <c r="AA69" i="2" s="1"/>
  <c r="D94" i="2"/>
  <c r="D103" i="2" s="1"/>
  <c r="D104" i="2" s="1"/>
  <c r="D85" i="2"/>
  <c r="I95" i="2"/>
  <c r="D143" i="2"/>
  <c r="D129" i="2"/>
  <c r="AM154" i="2"/>
  <c r="H130" i="2"/>
  <c r="H133" i="2" s="1"/>
  <c r="E82" i="2"/>
  <c r="E185" i="2" s="1"/>
  <c r="D153" i="2"/>
  <c r="I86" i="2"/>
  <c r="J83" i="2"/>
  <c r="H144" i="2"/>
  <c r="D78" i="2"/>
  <c r="D73" i="2"/>
  <c r="D134" i="2" l="1"/>
  <c r="N70" i="2"/>
  <c r="M71" i="2"/>
  <c r="N71" i="2" s="1"/>
  <c r="S55" i="2"/>
  <c r="T54" i="2"/>
  <c r="I118" i="2"/>
  <c r="E85" i="2"/>
  <c r="AF55" i="2"/>
  <c r="AG55" i="2" s="1"/>
  <c r="Z70" i="2"/>
  <c r="AA70" i="2" s="1"/>
  <c r="D120" i="2"/>
  <c r="J95" i="2"/>
  <c r="D119" i="2"/>
  <c r="D99" i="2"/>
  <c r="D114" i="2"/>
  <c r="AN154" i="2"/>
  <c r="I130" i="2"/>
  <c r="I133" i="2" s="1"/>
  <c r="E143" i="2"/>
  <c r="F82" i="2"/>
  <c r="F185" i="2" s="1"/>
  <c r="E94" i="2"/>
  <c r="E103" i="2" s="1"/>
  <c r="E104" i="2" s="1"/>
  <c r="E129" i="2"/>
  <c r="E153" i="2"/>
  <c r="J86" i="2"/>
  <c r="K83" i="2"/>
  <c r="I144" i="2"/>
  <c r="E134" i="2" l="1"/>
  <c r="S56" i="2"/>
  <c r="T55" i="2"/>
  <c r="J118" i="2"/>
  <c r="F85" i="2"/>
  <c r="F101" i="2" s="1"/>
  <c r="Z71" i="2"/>
  <c r="AA71" i="2" s="1"/>
  <c r="AF56" i="2"/>
  <c r="AG56" i="2" s="1"/>
  <c r="D108" i="2"/>
  <c r="D88" i="2"/>
  <c r="D89" i="2" s="1"/>
  <c r="D110" i="2"/>
  <c r="D115" i="2"/>
  <c r="K95" i="2"/>
  <c r="E120" i="2"/>
  <c r="E114" i="2"/>
  <c r="J130" i="2"/>
  <c r="J133" i="2" s="1"/>
  <c r="AO154" i="2"/>
  <c r="E99" i="2"/>
  <c r="B99" i="2" s="1"/>
  <c r="F94" i="2"/>
  <c r="F103" i="2" s="1"/>
  <c r="F104" i="2" s="1"/>
  <c r="F153" i="2"/>
  <c r="F143" i="2"/>
  <c r="F129" i="2"/>
  <c r="G82" i="2"/>
  <c r="G185" i="2" s="1"/>
  <c r="J144" i="2"/>
  <c r="L83" i="2"/>
  <c r="K86" i="2"/>
  <c r="F134" i="2" l="1"/>
  <c r="S57" i="2"/>
  <c r="T56" i="2"/>
  <c r="K118" i="2"/>
  <c r="G85" i="2"/>
  <c r="G101" i="2" s="1"/>
  <c r="AF57" i="2"/>
  <c r="AG57" i="2" s="1"/>
  <c r="Z72" i="2"/>
  <c r="AA72" i="2" s="1"/>
  <c r="D135" i="2"/>
  <c r="D157" i="2"/>
  <c r="D109" i="2"/>
  <c r="D123" i="2" s="1"/>
  <c r="E88" i="2"/>
  <c r="E89" i="2" s="1"/>
  <c r="E105" i="2"/>
  <c r="L95" i="2"/>
  <c r="E115" i="2"/>
  <c r="E119" i="2"/>
  <c r="E110" i="2"/>
  <c r="E157" i="2" s="1"/>
  <c r="AP154" i="2"/>
  <c r="K130" i="2"/>
  <c r="K133" i="2" s="1"/>
  <c r="F113" i="2"/>
  <c r="G143" i="2"/>
  <c r="H82" i="2"/>
  <c r="H185" i="2" s="1"/>
  <c r="G153" i="2"/>
  <c r="G94" i="2"/>
  <c r="G103" i="2" s="1"/>
  <c r="G104" i="2" s="1"/>
  <c r="G129" i="2"/>
  <c r="E108" i="2"/>
  <c r="B108" i="2" s="1"/>
  <c r="K144" i="2"/>
  <c r="L86" i="2"/>
  <c r="M83" i="2"/>
  <c r="G134" i="2" l="1"/>
  <c r="T57" i="2"/>
  <c r="S58" i="2"/>
  <c r="L118" i="2"/>
  <c r="D139" i="2"/>
  <c r="H85" i="2"/>
  <c r="H101" i="2" s="1"/>
  <c r="Z73" i="2"/>
  <c r="AF58" i="2"/>
  <c r="AG58" i="2" s="1"/>
  <c r="D138" i="2"/>
  <c r="D156" i="2"/>
  <c r="D158" i="2" s="1"/>
  <c r="D113" i="2"/>
  <c r="D118" i="2"/>
  <c r="E135" i="2"/>
  <c r="F88" i="2"/>
  <c r="F89" i="2" s="1"/>
  <c r="F105" i="2"/>
  <c r="F106" i="2" s="1"/>
  <c r="M95" i="2"/>
  <c r="G88" i="2"/>
  <c r="G89" i="2" s="1"/>
  <c r="L130" i="2"/>
  <c r="L133" i="2" s="1"/>
  <c r="AQ154" i="2"/>
  <c r="E109" i="2"/>
  <c r="B109" i="2" s="1"/>
  <c r="F8" i="2" s="1"/>
  <c r="F119" i="2"/>
  <c r="F114" i="2"/>
  <c r="H153" i="2"/>
  <c r="H129" i="2"/>
  <c r="H94" i="2"/>
  <c r="H103" i="2" s="1"/>
  <c r="H104" i="2" s="1"/>
  <c r="I82" i="2"/>
  <c r="I185" i="2" s="1"/>
  <c r="H143" i="2"/>
  <c r="G113" i="2"/>
  <c r="M86" i="2"/>
  <c r="N83" i="2"/>
  <c r="L144" i="2"/>
  <c r="D165" i="2"/>
  <c r="H134" i="2" l="1"/>
  <c r="S59" i="2"/>
  <c r="T58" i="2"/>
  <c r="M118" i="2"/>
  <c r="E138" i="2"/>
  <c r="I85" i="2"/>
  <c r="I101" i="2" s="1"/>
  <c r="AA73" i="2"/>
  <c r="F135" i="2"/>
  <c r="AF59" i="2"/>
  <c r="AG59" i="2" s="1"/>
  <c r="E139" i="2"/>
  <c r="E156" i="2"/>
  <c r="E158" i="2" s="1"/>
  <c r="G105" i="2"/>
  <c r="N95" i="2"/>
  <c r="G135" i="2"/>
  <c r="AR154" i="2"/>
  <c r="M130" i="2"/>
  <c r="M133" i="2" s="1"/>
  <c r="H113" i="2"/>
  <c r="I94" i="2"/>
  <c r="I103" i="2" s="1"/>
  <c r="I104" i="2" s="1"/>
  <c r="J82" i="2"/>
  <c r="J185" i="2" s="1"/>
  <c r="I129" i="2"/>
  <c r="I153" i="2"/>
  <c r="I143" i="2"/>
  <c r="G114" i="2"/>
  <c r="G119" i="2"/>
  <c r="E118" i="2"/>
  <c r="E113" i="2"/>
  <c r="E123" i="2"/>
  <c r="M144" i="2"/>
  <c r="N86" i="2"/>
  <c r="O83" i="2"/>
  <c r="I134" i="2" l="1"/>
  <c r="S60" i="2"/>
  <c r="T59" i="2"/>
  <c r="N118" i="2"/>
  <c r="F139" i="2"/>
  <c r="G138" i="2"/>
  <c r="J85" i="2"/>
  <c r="J101" i="2" s="1"/>
  <c r="F138" i="2"/>
  <c r="F156" i="2"/>
  <c r="AF60" i="2"/>
  <c r="AG60" i="2" s="1"/>
  <c r="G106" i="2"/>
  <c r="G115" i="2" s="1"/>
  <c r="H88" i="2"/>
  <c r="H105" i="2"/>
  <c r="F120" i="2"/>
  <c r="F115" i="2"/>
  <c r="F110" i="2"/>
  <c r="O95" i="2"/>
  <c r="G156" i="2"/>
  <c r="G139" i="2"/>
  <c r="N130" i="2"/>
  <c r="N133" i="2" s="1"/>
  <c r="AS154" i="2"/>
  <c r="J143" i="2"/>
  <c r="J129" i="2"/>
  <c r="J153" i="2"/>
  <c r="K82" i="2"/>
  <c r="K185" i="2" s="1"/>
  <c r="J94" i="2"/>
  <c r="J103" i="2" s="1"/>
  <c r="J104" i="2" s="1"/>
  <c r="H114" i="2"/>
  <c r="H119" i="2"/>
  <c r="I113" i="2"/>
  <c r="E165" i="2"/>
  <c r="B123" i="2"/>
  <c r="P83" i="2"/>
  <c r="O86" i="2"/>
  <c r="N144" i="2"/>
  <c r="H135" i="2" l="1"/>
  <c r="H156" i="2" s="1"/>
  <c r="H89" i="2"/>
  <c r="J134" i="2"/>
  <c r="S61" i="2"/>
  <c r="T60" i="2"/>
  <c r="B165" i="2"/>
  <c r="O118" i="2"/>
  <c r="K85" i="2"/>
  <c r="K101" i="2" s="1"/>
  <c r="AF61" i="2"/>
  <c r="AG61" i="2" s="1"/>
  <c r="F157" i="2"/>
  <c r="G120" i="2"/>
  <c r="G110" i="2"/>
  <c r="G157" i="2" s="1"/>
  <c r="H106" i="2"/>
  <c r="H110" i="2" s="1"/>
  <c r="H157" i="2" s="1"/>
  <c r="I88" i="2"/>
  <c r="I89" i="2" s="1"/>
  <c r="I105" i="2"/>
  <c r="J105" i="2" s="1"/>
  <c r="J106" i="2" s="1"/>
  <c r="P95" i="2"/>
  <c r="J88" i="2"/>
  <c r="J89" i="2" s="1"/>
  <c r="O130" i="2"/>
  <c r="O133" i="2" s="1"/>
  <c r="AT154" i="2"/>
  <c r="J113" i="2"/>
  <c r="BL125" i="2"/>
  <c r="BN125" i="2"/>
  <c r="BH125" i="2"/>
  <c r="BB125" i="2"/>
  <c r="AP125" i="2"/>
  <c r="J125" i="2"/>
  <c r="O125" i="2"/>
  <c r="F125" i="2"/>
  <c r="AA125" i="2"/>
  <c r="BT125" i="2"/>
  <c r="BV125" i="2"/>
  <c r="BP125" i="2"/>
  <c r="BJ125" i="2"/>
  <c r="AQ125" i="2"/>
  <c r="AF125" i="2"/>
  <c r="N125" i="2"/>
  <c r="S125" i="2"/>
  <c r="I125" i="2"/>
  <c r="AU125" i="2"/>
  <c r="AW125" i="2"/>
  <c r="AY125" i="2"/>
  <c r="BX125" i="2"/>
  <c r="BR125" i="2"/>
  <c r="AJ125" i="2"/>
  <c r="AG125" i="2"/>
  <c r="R125" i="2"/>
  <c r="W125" i="2"/>
  <c r="M125" i="2"/>
  <c r="BC125" i="2"/>
  <c r="BE125" i="2"/>
  <c r="BG125" i="2"/>
  <c r="AS125" i="2"/>
  <c r="AK125" i="2"/>
  <c r="Z125" i="2"/>
  <c r="V125" i="2"/>
  <c r="H125" i="2"/>
  <c r="Q125" i="2"/>
  <c r="BK125" i="2"/>
  <c r="BM125" i="2"/>
  <c r="BO125" i="2"/>
  <c r="BA125" i="2"/>
  <c r="AL125" i="2"/>
  <c r="AH125" i="2"/>
  <c r="AI125" i="2"/>
  <c r="L125" i="2"/>
  <c r="U125" i="2"/>
  <c r="BS125" i="2"/>
  <c r="BU125" i="2"/>
  <c r="BW125" i="2"/>
  <c r="BI125" i="2"/>
  <c r="AM125" i="2"/>
  <c r="AD125" i="2"/>
  <c r="E125" i="2"/>
  <c r="P125" i="2"/>
  <c r="Y125" i="2"/>
  <c r="AV125" i="2"/>
  <c r="AX125" i="2"/>
  <c r="AR125" i="2"/>
  <c r="BQ125" i="2"/>
  <c r="AN125" i="2"/>
  <c r="G125" i="2"/>
  <c r="AB125" i="2"/>
  <c r="BF125" i="2"/>
  <c r="AO125" i="2"/>
  <c r="AE125" i="2"/>
  <c r="BD125" i="2"/>
  <c r="AT125" i="2"/>
  <c r="K125" i="2"/>
  <c r="T125" i="2"/>
  <c r="AZ125" i="2"/>
  <c r="D125" i="2"/>
  <c r="X125" i="2"/>
  <c r="AC125" i="2"/>
  <c r="K153" i="2"/>
  <c r="K94" i="2"/>
  <c r="K103" i="2" s="1"/>
  <c r="K104" i="2" s="1"/>
  <c r="K143" i="2"/>
  <c r="L82" i="2"/>
  <c r="L185" i="2" s="1"/>
  <c r="K129" i="2"/>
  <c r="I114" i="2"/>
  <c r="I119" i="2"/>
  <c r="P86" i="2"/>
  <c r="Q83" i="2"/>
  <c r="O144" i="2"/>
  <c r="H138" i="2" l="1"/>
  <c r="H139" i="2"/>
  <c r="BO159" i="2"/>
  <c r="BX159" i="2"/>
  <c r="BS159" i="2"/>
  <c r="BP159" i="2"/>
  <c r="BV159" i="2"/>
  <c r="BQ159" i="2"/>
  <c r="BT159" i="2"/>
  <c r="BW159" i="2"/>
  <c r="BU159" i="2"/>
  <c r="BR159" i="2"/>
  <c r="K134" i="2"/>
  <c r="S62" i="2"/>
  <c r="T61" i="2"/>
  <c r="G159" i="2"/>
  <c r="L159" i="2"/>
  <c r="BC159" i="2"/>
  <c r="AN159" i="2"/>
  <c r="AI159" i="2"/>
  <c r="AW159" i="2"/>
  <c r="BB159" i="2"/>
  <c r="AH159" i="2"/>
  <c r="W159" i="2"/>
  <c r="BI159" i="2"/>
  <c r="R159" i="2"/>
  <c r="I159" i="2"/>
  <c r="BN159" i="2"/>
  <c r="E159" i="2"/>
  <c r="E164" i="2" s="1"/>
  <c r="AD159" i="2"/>
  <c r="AT159" i="2"/>
  <c r="V159" i="2"/>
  <c r="AU159" i="2"/>
  <c r="BD159" i="2"/>
  <c r="Z159" i="2"/>
  <c r="AC159" i="2"/>
  <c r="AE159" i="2"/>
  <c r="AX159" i="2"/>
  <c r="BA159" i="2"/>
  <c r="AK159" i="2"/>
  <c r="AG159" i="2"/>
  <c r="S159" i="2"/>
  <c r="AA159" i="2"/>
  <c r="BL159" i="2"/>
  <c r="H159" i="2"/>
  <c r="AL159" i="2"/>
  <c r="X159" i="2"/>
  <c r="AO159" i="2"/>
  <c r="AV159" i="2"/>
  <c r="AS159" i="2"/>
  <c r="AJ159" i="2"/>
  <c r="N159" i="2"/>
  <c r="F159" i="2"/>
  <c r="T159" i="2"/>
  <c r="Q159" i="2"/>
  <c r="AY159" i="2"/>
  <c r="BJ159" i="2"/>
  <c r="AP159" i="2"/>
  <c r="K159" i="2"/>
  <c r="M159" i="2"/>
  <c r="AM159" i="2"/>
  <c r="BH159" i="2"/>
  <c r="BF159" i="2"/>
  <c r="Y159" i="2"/>
  <c r="BM159" i="2"/>
  <c r="BG159" i="2"/>
  <c r="AF159" i="2"/>
  <c r="O159" i="2"/>
  <c r="AR159" i="2"/>
  <c r="AZ159" i="2"/>
  <c r="AB159" i="2"/>
  <c r="P159" i="2"/>
  <c r="U159" i="2"/>
  <c r="BK159" i="2"/>
  <c r="BE159" i="2"/>
  <c r="AQ159" i="2"/>
  <c r="J159" i="2"/>
  <c r="P118" i="2"/>
  <c r="G158" i="2"/>
  <c r="F158" i="2"/>
  <c r="L85" i="2"/>
  <c r="L101" i="2" s="1"/>
  <c r="AF62" i="2"/>
  <c r="AG62" i="2" s="1"/>
  <c r="I135" i="2"/>
  <c r="H120" i="2"/>
  <c r="H115" i="2"/>
  <c r="I106" i="2"/>
  <c r="I120" i="2" s="1"/>
  <c r="H158" i="2"/>
  <c r="Q95" i="2"/>
  <c r="J135" i="2"/>
  <c r="AU154" i="2"/>
  <c r="P130" i="2"/>
  <c r="P133" i="2" s="1"/>
  <c r="L153" i="2"/>
  <c r="M82" i="2"/>
  <c r="M185" i="2" s="1"/>
  <c r="L143" i="2"/>
  <c r="L129" i="2"/>
  <c r="L94" i="2"/>
  <c r="L103" i="2" s="1"/>
  <c r="L104" i="2" s="1"/>
  <c r="D159" i="2"/>
  <c r="B125" i="2"/>
  <c r="K113" i="2"/>
  <c r="J110" i="2"/>
  <c r="J157" i="2" s="1"/>
  <c r="J114" i="2"/>
  <c r="J119" i="2"/>
  <c r="J115" i="2"/>
  <c r="J120" i="2"/>
  <c r="P144" i="2"/>
  <c r="Q86" i="2"/>
  <c r="R83" i="2"/>
  <c r="E189" i="2" l="1"/>
  <c r="E188" i="2"/>
  <c r="F164" i="2"/>
  <c r="L134" i="2"/>
  <c r="G160" i="2"/>
  <c r="G161" i="2" s="1"/>
  <c r="G162" i="2" s="1"/>
  <c r="E160" i="2"/>
  <c r="E161" i="2" s="1"/>
  <c r="E162" i="2" s="1"/>
  <c r="H164" i="2"/>
  <c r="S63" i="2"/>
  <c r="T62" i="2"/>
  <c r="F160" i="2"/>
  <c r="F161" i="2" s="1"/>
  <c r="F162" i="2" s="1"/>
  <c r="G164" i="2"/>
  <c r="Q118" i="2"/>
  <c r="J156" i="2"/>
  <c r="J158" i="2" s="1"/>
  <c r="I138" i="2"/>
  <c r="M85" i="2"/>
  <c r="M101" i="2" s="1"/>
  <c r="AF63" i="2"/>
  <c r="AG63" i="2" s="1"/>
  <c r="I139" i="2"/>
  <c r="I156" i="2"/>
  <c r="H160" i="2"/>
  <c r="H161" i="2" s="1"/>
  <c r="H162" i="2" s="1"/>
  <c r="I110" i="2"/>
  <c r="I115" i="2"/>
  <c r="K88" i="2"/>
  <c r="K89" i="2" s="1"/>
  <c r="K105" i="2"/>
  <c r="K106" i="2" s="1"/>
  <c r="R95" i="2"/>
  <c r="J139" i="2"/>
  <c r="J138" i="2"/>
  <c r="L88" i="2"/>
  <c r="L89" i="2" s="1"/>
  <c r="Q130" i="2"/>
  <c r="Q133" i="2" s="1"/>
  <c r="AV154" i="2"/>
  <c r="L113" i="2"/>
  <c r="K119" i="2"/>
  <c r="K114" i="2"/>
  <c r="N82" i="2"/>
  <c r="N185" i="2" s="1"/>
  <c r="M129" i="2"/>
  <c r="M94" i="2"/>
  <c r="M103" i="2" s="1"/>
  <c r="M104" i="2" s="1"/>
  <c r="M153" i="2"/>
  <c r="M143" i="2"/>
  <c r="D160" i="2"/>
  <c r="D161" i="2" s="1"/>
  <c r="D162" i="2" s="1"/>
  <c r="D164" i="2"/>
  <c r="R86" i="2"/>
  <c r="S83" i="2"/>
  <c r="Q144" i="2"/>
  <c r="D188" i="2" l="1"/>
  <c r="D189" i="2"/>
  <c r="H189" i="2"/>
  <c r="H188" i="2"/>
  <c r="G189" i="2"/>
  <c r="G188" i="2"/>
  <c r="F189" i="2"/>
  <c r="F188" i="2"/>
  <c r="F163" i="2"/>
  <c r="M134" i="2"/>
  <c r="G163" i="2"/>
  <c r="S64" i="2"/>
  <c r="T63" i="2"/>
  <c r="H163" i="2"/>
  <c r="E163" i="2"/>
  <c r="R118" i="2"/>
  <c r="N85" i="2"/>
  <c r="N101" i="2" s="1"/>
  <c r="AF64" i="2"/>
  <c r="AG64" i="2" s="1"/>
  <c r="I157" i="2"/>
  <c r="K135" i="2"/>
  <c r="L105" i="2"/>
  <c r="L106" i="2" s="1"/>
  <c r="S95" i="2"/>
  <c r="M88" i="2"/>
  <c r="M89" i="2" s="1"/>
  <c r="L135" i="2"/>
  <c r="AW154" i="2"/>
  <c r="R130" i="2"/>
  <c r="R133" i="2" s="1"/>
  <c r="D163" i="2"/>
  <c r="J164" i="2"/>
  <c r="J160" i="2"/>
  <c r="J161" i="2" s="1"/>
  <c r="J162" i="2" s="1"/>
  <c r="M113" i="2"/>
  <c r="L119" i="2"/>
  <c r="L114" i="2"/>
  <c r="O82" i="2"/>
  <c r="O185" i="2" s="1"/>
  <c r="N143" i="2"/>
  <c r="N94" i="2"/>
  <c r="N103" i="2" s="1"/>
  <c r="N104" i="2" s="1"/>
  <c r="N129" i="2"/>
  <c r="N153" i="2"/>
  <c r="S86" i="2"/>
  <c r="T83" i="2"/>
  <c r="R144" i="2"/>
  <c r="J189" i="2" l="1"/>
  <c r="J188" i="2"/>
  <c r="N134" i="2"/>
  <c r="T64" i="2"/>
  <c r="S65" i="2"/>
  <c r="J163" i="2"/>
  <c r="S118" i="2"/>
  <c r="K156" i="2"/>
  <c r="L138" i="2"/>
  <c r="I158" i="2"/>
  <c r="I160" i="2" s="1"/>
  <c r="I161" i="2" s="1"/>
  <c r="I162" i="2" s="1"/>
  <c r="O85" i="2"/>
  <c r="O101" i="2" s="1"/>
  <c r="AF65" i="2"/>
  <c r="AG65" i="2" s="1"/>
  <c r="K138" i="2"/>
  <c r="K139" i="2"/>
  <c r="K115" i="2"/>
  <c r="K110" i="2"/>
  <c r="K120" i="2"/>
  <c r="M105" i="2"/>
  <c r="M106" i="2" s="1"/>
  <c r="T95" i="2"/>
  <c r="L156" i="2"/>
  <c r="L139" i="2"/>
  <c r="N88" i="2"/>
  <c r="N89" i="2" s="1"/>
  <c r="M135" i="2"/>
  <c r="AX154" i="2"/>
  <c r="S130" i="2"/>
  <c r="S133" i="2" s="1"/>
  <c r="P82" i="2"/>
  <c r="P185" i="2" s="1"/>
  <c r="O94" i="2"/>
  <c r="O103" i="2" s="1"/>
  <c r="O104" i="2" s="1"/>
  <c r="O153" i="2"/>
  <c r="O143" i="2"/>
  <c r="O129" i="2"/>
  <c r="N113" i="2"/>
  <c r="M114" i="2"/>
  <c r="M119" i="2"/>
  <c r="S144" i="2"/>
  <c r="T86" i="2"/>
  <c r="U83" i="2"/>
  <c r="O134" i="2" l="1"/>
  <c r="S66" i="2"/>
  <c r="T65" i="2"/>
  <c r="I163" i="2"/>
  <c r="T118" i="2"/>
  <c r="M156" i="2"/>
  <c r="I164" i="2"/>
  <c r="P85" i="2"/>
  <c r="P101" i="2" s="1"/>
  <c r="AF66" i="2"/>
  <c r="AG66" i="2" s="1"/>
  <c r="K157" i="2"/>
  <c r="N105" i="2"/>
  <c r="L120" i="2"/>
  <c r="L115" i="2"/>
  <c r="L110" i="2"/>
  <c r="L157" i="2" s="1"/>
  <c r="U95" i="2"/>
  <c r="M138" i="2"/>
  <c r="M139" i="2"/>
  <c r="N135" i="2"/>
  <c r="T130" i="2"/>
  <c r="T133" i="2" s="1"/>
  <c r="AY154" i="2"/>
  <c r="N119" i="2"/>
  <c r="N114" i="2"/>
  <c r="P143" i="2"/>
  <c r="P153" i="2"/>
  <c r="P94" i="2"/>
  <c r="P103" i="2" s="1"/>
  <c r="P104" i="2" s="1"/>
  <c r="Q82" i="2"/>
  <c r="Q185" i="2" s="1"/>
  <c r="P129" i="2"/>
  <c r="O113" i="2"/>
  <c r="M72" i="2"/>
  <c r="T144" i="2"/>
  <c r="U86" i="2"/>
  <c r="V83" i="2"/>
  <c r="I189" i="2" l="1"/>
  <c r="I188" i="2"/>
  <c r="P134" i="2"/>
  <c r="S67" i="2"/>
  <c r="T66" i="2"/>
  <c r="U118" i="2"/>
  <c r="N156" i="2"/>
  <c r="K158" i="2"/>
  <c r="K164" i="2" s="1"/>
  <c r="L158" i="2"/>
  <c r="L164" i="2" s="1"/>
  <c r="Q85" i="2"/>
  <c r="Q101" i="2" s="1"/>
  <c r="AF67" i="2"/>
  <c r="AG67" i="2" s="1"/>
  <c r="N106" i="2"/>
  <c r="N110" i="2" s="1"/>
  <c r="N157" i="2" s="1"/>
  <c r="O88" i="2"/>
  <c r="O89" i="2" s="1"/>
  <c r="O105" i="2"/>
  <c r="M120" i="2"/>
  <c r="M115" i="2"/>
  <c r="M110" i="2"/>
  <c r="M157" i="2" s="1"/>
  <c r="V95" i="2"/>
  <c r="N139" i="2"/>
  <c r="N138" i="2"/>
  <c r="U130" i="2"/>
  <c r="U133" i="2" s="1"/>
  <c r="AZ154" i="2"/>
  <c r="P113" i="2"/>
  <c r="Q143" i="2"/>
  <c r="Q146" i="2" s="1"/>
  <c r="Q153" i="2"/>
  <c r="R82" i="2"/>
  <c r="R185" i="2" s="1"/>
  <c r="Q129" i="2"/>
  <c r="Q94" i="2"/>
  <c r="Q103" i="2" s="1"/>
  <c r="Q104" i="2" s="1"/>
  <c r="O119" i="2"/>
  <c r="O114" i="2"/>
  <c r="M73" i="2"/>
  <c r="P146" i="2" s="1"/>
  <c r="U144" i="2"/>
  <c r="V86" i="2"/>
  <c r="W83" i="2"/>
  <c r="K189" i="2" l="1"/>
  <c r="K188" i="2"/>
  <c r="L189" i="2"/>
  <c r="L188" i="2"/>
  <c r="D146" i="2"/>
  <c r="H146" i="2"/>
  <c r="I146" i="2"/>
  <c r="J146" i="2"/>
  <c r="K146" i="2"/>
  <c r="L146" i="2"/>
  <c r="M146" i="2"/>
  <c r="N146" i="2"/>
  <c r="O146" i="2"/>
  <c r="F146" i="2"/>
  <c r="G146" i="2"/>
  <c r="Q134" i="2"/>
  <c r="S68" i="2"/>
  <c r="T67" i="2"/>
  <c r="V118" i="2"/>
  <c r="L160" i="2"/>
  <c r="L161" i="2" s="1"/>
  <c r="L162" i="2" s="1"/>
  <c r="K160" i="2"/>
  <c r="K161" i="2" s="1"/>
  <c r="K162" i="2" s="1"/>
  <c r="M158" i="2"/>
  <c r="M164" i="2" s="1"/>
  <c r="R85" i="2"/>
  <c r="R101" i="2" s="1"/>
  <c r="N158" i="2"/>
  <c r="N164" i="2" s="1"/>
  <c r="O135" i="2"/>
  <c r="AF68" i="2"/>
  <c r="AG68" i="2" s="1"/>
  <c r="N115" i="2"/>
  <c r="N120" i="2"/>
  <c r="O106" i="2"/>
  <c r="O120" i="2" s="1"/>
  <c r="P88" i="2"/>
  <c r="P89" i="2" s="1"/>
  <c r="P105" i="2"/>
  <c r="P106" i="2" s="1"/>
  <c r="W95" i="2"/>
  <c r="Q88" i="2"/>
  <c r="Q89" i="2" s="1"/>
  <c r="BA154" i="2"/>
  <c r="V130" i="2"/>
  <c r="V133" i="2" s="1"/>
  <c r="P119" i="2"/>
  <c r="P114" i="2"/>
  <c r="Q113" i="2"/>
  <c r="R153" i="2"/>
  <c r="R94" i="2"/>
  <c r="R103" i="2" s="1"/>
  <c r="R104" i="2" s="1"/>
  <c r="R143" i="2"/>
  <c r="R146" i="2" s="1"/>
  <c r="S82" i="2"/>
  <c r="S185" i="2" s="1"/>
  <c r="R129" i="2"/>
  <c r="V144" i="2"/>
  <c r="W86" i="2"/>
  <c r="X83" i="2"/>
  <c r="N189" i="2" l="1"/>
  <c r="N188" i="2"/>
  <c r="M189" i="2"/>
  <c r="M188" i="2"/>
  <c r="R134" i="2"/>
  <c r="S69" i="2"/>
  <c r="T68" i="2"/>
  <c r="K163" i="2"/>
  <c r="L163" i="2"/>
  <c r="M160" i="2"/>
  <c r="M161" i="2" s="1"/>
  <c r="M162" i="2" s="1"/>
  <c r="W118" i="2"/>
  <c r="N160" i="2"/>
  <c r="N161" i="2" s="1"/>
  <c r="N162" i="2" s="1"/>
  <c r="O138" i="2"/>
  <c r="S85" i="2"/>
  <c r="S101" i="2" s="1"/>
  <c r="O139" i="2"/>
  <c r="O156" i="2"/>
  <c r="AF69" i="2"/>
  <c r="AG69" i="2" s="1"/>
  <c r="P135" i="2"/>
  <c r="O115" i="2"/>
  <c r="O110" i="2"/>
  <c r="O157" i="2" s="1"/>
  <c r="Q105" i="2"/>
  <c r="Q106" i="2" s="1"/>
  <c r="Q115" i="2" s="1"/>
  <c r="X95" i="2"/>
  <c r="Q135" i="2"/>
  <c r="W130" i="2"/>
  <c r="W133" i="2" s="1"/>
  <c r="BB154" i="2"/>
  <c r="T82" i="2"/>
  <c r="T185" i="2" s="1"/>
  <c r="S143" i="2"/>
  <c r="S146" i="2" s="1"/>
  <c r="S129" i="2"/>
  <c r="S94" i="2"/>
  <c r="S103" i="2" s="1"/>
  <c r="S104" i="2" s="1"/>
  <c r="S153" i="2"/>
  <c r="Q119" i="2"/>
  <c r="Q114" i="2"/>
  <c r="R113" i="2"/>
  <c r="X86" i="2"/>
  <c r="Y83" i="2"/>
  <c r="W144" i="2"/>
  <c r="S134" i="2" l="1"/>
  <c r="S70" i="2"/>
  <c r="T69" i="2"/>
  <c r="M163" i="2"/>
  <c r="N163" i="2"/>
  <c r="X118" i="2"/>
  <c r="Q138" i="2"/>
  <c r="P139" i="2"/>
  <c r="T85" i="2"/>
  <c r="T101" i="2" s="1"/>
  <c r="O158" i="2"/>
  <c r="O160" i="2" s="1"/>
  <c r="AF70" i="2"/>
  <c r="AG70" i="2" s="1"/>
  <c r="P138" i="2"/>
  <c r="P156" i="2"/>
  <c r="Q110" i="2"/>
  <c r="Q157" i="2" s="1"/>
  <c r="Q120" i="2"/>
  <c r="P120" i="2"/>
  <c r="P110" i="2"/>
  <c r="P157" i="2" s="1"/>
  <c r="P115" i="2"/>
  <c r="R88" i="2"/>
  <c r="R89" i="2" s="1"/>
  <c r="R105" i="2"/>
  <c r="R106" i="2" s="1"/>
  <c r="Y95" i="2"/>
  <c r="S88" i="2"/>
  <c r="S89" i="2" s="1"/>
  <c r="Q139" i="2"/>
  <c r="Q156" i="2"/>
  <c r="BC154" i="2"/>
  <c r="X130" i="2"/>
  <c r="X133" i="2" s="1"/>
  <c r="S113" i="2"/>
  <c r="T129" i="2"/>
  <c r="U82" i="2"/>
  <c r="U185" i="2" s="1"/>
  <c r="T94" i="2"/>
  <c r="T103" i="2" s="1"/>
  <c r="T104" i="2" s="1"/>
  <c r="T143" i="2"/>
  <c r="T146" i="2" s="1"/>
  <c r="T153" i="2"/>
  <c r="R119" i="2"/>
  <c r="R114" i="2"/>
  <c r="X144" i="2"/>
  <c r="Z83" i="2"/>
  <c r="Y86" i="2"/>
  <c r="T134" i="2" l="1"/>
  <c r="S71" i="2"/>
  <c r="T71" i="2" s="1"/>
  <c r="T70" i="2"/>
  <c r="Y118" i="2"/>
  <c r="U85" i="2"/>
  <c r="U101" i="2" s="1"/>
  <c r="O164" i="2"/>
  <c r="O161" i="2"/>
  <c r="O162" i="2" s="1"/>
  <c r="AF71" i="2"/>
  <c r="AG71" i="2" s="1"/>
  <c r="P158" i="2"/>
  <c r="P160" i="2" s="1"/>
  <c r="P161" i="2" s="1"/>
  <c r="P162" i="2" s="1"/>
  <c r="Q158" i="2"/>
  <c r="Q160" i="2" s="1"/>
  <c r="S105" i="2"/>
  <c r="S106" i="2" s="1"/>
  <c r="R135" i="2"/>
  <c r="Z95" i="2"/>
  <c r="T88" i="2"/>
  <c r="T89" i="2" s="1"/>
  <c r="S135" i="2"/>
  <c r="BD154" i="2"/>
  <c r="Y130" i="2"/>
  <c r="Y133" i="2" s="1"/>
  <c r="S119" i="2"/>
  <c r="S114" i="2"/>
  <c r="T113" i="2"/>
  <c r="U153" i="2"/>
  <c r="V82" i="2"/>
  <c r="V185" i="2" s="1"/>
  <c r="U94" i="2"/>
  <c r="U103" i="2" s="1"/>
  <c r="U104" i="2" s="1"/>
  <c r="U143" i="2"/>
  <c r="U146" i="2" s="1"/>
  <c r="U129" i="2"/>
  <c r="Z86" i="2"/>
  <c r="AA83" i="2"/>
  <c r="Y144" i="2"/>
  <c r="O188" i="2" l="1"/>
  <c r="O189" i="2"/>
  <c r="U134" i="2"/>
  <c r="O163" i="2"/>
  <c r="P163" i="2"/>
  <c r="Z118" i="2"/>
  <c r="R139" i="2"/>
  <c r="S139" i="2"/>
  <c r="V85" i="2"/>
  <c r="V101" i="2" s="1"/>
  <c r="AF72" i="2"/>
  <c r="AG72" i="2" s="1"/>
  <c r="B159" i="2"/>
  <c r="P164" i="2"/>
  <c r="Q164" i="2"/>
  <c r="R115" i="2"/>
  <c r="R110" i="2"/>
  <c r="R157" i="2" s="1"/>
  <c r="R120" i="2"/>
  <c r="R138" i="2"/>
  <c r="T105" i="2"/>
  <c r="U105" i="2" s="1"/>
  <c r="U106" i="2" s="1"/>
  <c r="R156" i="2"/>
  <c r="AA95" i="2"/>
  <c r="T135" i="2"/>
  <c r="S138" i="2"/>
  <c r="S156" i="2"/>
  <c r="Z130" i="2"/>
  <c r="Z133" i="2" s="1"/>
  <c r="BE154" i="2"/>
  <c r="Q161" i="2"/>
  <c r="Q162" i="2" s="1"/>
  <c r="V153" i="2"/>
  <c r="V129" i="2"/>
  <c r="V143" i="2"/>
  <c r="V146" i="2" s="1"/>
  <c r="V94" i="2"/>
  <c r="V103" i="2" s="1"/>
  <c r="V104" i="2" s="1"/>
  <c r="W82" i="2"/>
  <c r="W185" i="2" s="1"/>
  <c r="U113" i="2"/>
  <c r="T114" i="2"/>
  <c r="T119" i="2"/>
  <c r="Z144" i="2"/>
  <c r="AA86" i="2"/>
  <c r="AB83" i="2"/>
  <c r="Q189" i="2" l="1"/>
  <c r="Q188" i="2"/>
  <c r="P188" i="2"/>
  <c r="P189" i="2"/>
  <c r="V134" i="2"/>
  <c r="Q163" i="2"/>
  <c r="AA118" i="2"/>
  <c r="T138" i="2"/>
  <c r="W85" i="2"/>
  <c r="W101" i="2" s="1"/>
  <c r="AF73" i="2"/>
  <c r="V105" i="2"/>
  <c r="V106" i="2" s="1"/>
  <c r="R158" i="2"/>
  <c r="R160" i="2" s="1"/>
  <c r="R161" i="2" s="1"/>
  <c r="R162" i="2" s="1"/>
  <c r="T106" i="2"/>
  <c r="T110" i="2" s="1"/>
  <c r="T157" i="2" s="1"/>
  <c r="S120" i="2"/>
  <c r="S110" i="2"/>
  <c r="S157" i="2" s="1"/>
  <c r="S115" i="2"/>
  <c r="U88" i="2"/>
  <c r="U120" i="2"/>
  <c r="AB95" i="2"/>
  <c r="T139" i="2"/>
  <c r="T156" i="2"/>
  <c r="BF154" i="2"/>
  <c r="AA130" i="2"/>
  <c r="AA133" i="2" s="1"/>
  <c r="V113" i="2"/>
  <c r="U119" i="2"/>
  <c r="U114" i="2"/>
  <c r="W153" i="2"/>
  <c r="X82" i="2"/>
  <c r="X185" i="2" s="1"/>
  <c r="W129" i="2"/>
  <c r="W94" i="2"/>
  <c r="W103" i="2" s="1"/>
  <c r="W104" i="2" s="1"/>
  <c r="W143" i="2"/>
  <c r="W146" i="2" s="1"/>
  <c r="AA144" i="2"/>
  <c r="AC83" i="2"/>
  <c r="AB86" i="2"/>
  <c r="U147" i="2" l="1"/>
  <c r="U148" i="2" s="1"/>
  <c r="U89" i="2"/>
  <c r="W134" i="2"/>
  <c r="R163" i="2"/>
  <c r="AB118" i="2"/>
  <c r="X85" i="2"/>
  <c r="X101" i="2" s="1"/>
  <c r="S158" i="2"/>
  <c r="S160" i="2" s="1"/>
  <c r="S161" i="2" s="1"/>
  <c r="S162" i="2" s="1"/>
  <c r="W105" i="2"/>
  <c r="W106" i="2" s="1"/>
  <c r="AG73" i="2"/>
  <c r="R164" i="2"/>
  <c r="U135" i="2"/>
  <c r="T120" i="2"/>
  <c r="T115" i="2"/>
  <c r="T158" i="2"/>
  <c r="T160" i="2" s="1"/>
  <c r="V88" i="2"/>
  <c r="U110" i="2"/>
  <c r="U157" i="2" s="1"/>
  <c r="U115" i="2"/>
  <c r="AC95" i="2"/>
  <c r="W88" i="2"/>
  <c r="W89" i="2" s="1"/>
  <c r="BG154" i="2"/>
  <c r="AB130" i="2"/>
  <c r="AB133" i="2" s="1"/>
  <c r="V114" i="2"/>
  <c r="V119" i="2"/>
  <c r="X143" i="2"/>
  <c r="X146" i="2" s="1"/>
  <c r="X153" i="2"/>
  <c r="X94" i="2"/>
  <c r="X103" i="2" s="1"/>
  <c r="X104" i="2" s="1"/>
  <c r="Y82" i="2"/>
  <c r="Y185" i="2" s="1"/>
  <c r="X129" i="2"/>
  <c r="W113" i="2"/>
  <c r="AB144" i="2"/>
  <c r="AC86" i="2"/>
  <c r="AD83" i="2"/>
  <c r="V147" i="2" l="1"/>
  <c r="V148" i="2" s="1"/>
  <c r="V89" i="2"/>
  <c r="U149" i="2"/>
  <c r="R189" i="2"/>
  <c r="R188" i="2"/>
  <c r="X134" i="2"/>
  <c r="S163" i="2"/>
  <c r="AC118" i="2"/>
  <c r="S164" i="2"/>
  <c r="U156" i="2"/>
  <c r="U158" i="2" s="1"/>
  <c r="U164" i="2" s="1"/>
  <c r="Y85" i="2"/>
  <c r="Y101" i="2" s="1"/>
  <c r="X105" i="2"/>
  <c r="X106" i="2" s="1"/>
  <c r="T164" i="2"/>
  <c r="U139" i="2"/>
  <c r="U138" i="2"/>
  <c r="V135" i="2"/>
  <c r="AD95" i="2"/>
  <c r="W147" i="2"/>
  <c r="W149" i="2" s="1"/>
  <c r="X119" i="2"/>
  <c r="W135" i="2"/>
  <c r="X88" i="2"/>
  <c r="X89" i="2" s="1"/>
  <c r="BH154" i="2"/>
  <c r="AC130" i="2"/>
  <c r="AC133" i="2" s="1"/>
  <c r="X113" i="2"/>
  <c r="T161" i="2"/>
  <c r="T162" i="2" s="1"/>
  <c r="W114" i="2"/>
  <c r="W119" i="2"/>
  <c r="Y153" i="2"/>
  <c r="Y143" i="2"/>
  <c r="Y146" i="2" s="1"/>
  <c r="Y129" i="2"/>
  <c r="Z82" i="2"/>
  <c r="Z185" i="2" s="1"/>
  <c r="Y94" i="2"/>
  <c r="Y103" i="2" s="1"/>
  <c r="Y104" i="2" s="1"/>
  <c r="AC144" i="2"/>
  <c r="AD86" i="2"/>
  <c r="AE83" i="2"/>
  <c r="V149" i="2" l="1"/>
  <c r="S189" i="2"/>
  <c r="S188" i="2"/>
  <c r="U189" i="2"/>
  <c r="U188" i="2"/>
  <c r="T188" i="2"/>
  <c r="T189" i="2"/>
  <c r="Y134" i="2"/>
  <c r="T163" i="2"/>
  <c r="AD118" i="2"/>
  <c r="V139" i="2"/>
  <c r="W139" i="2"/>
  <c r="Z85" i="2"/>
  <c r="Z101" i="2" s="1"/>
  <c r="Y105" i="2"/>
  <c r="Y106" i="2" s="1"/>
  <c r="U160" i="2"/>
  <c r="U161" i="2" s="1"/>
  <c r="U162" i="2" s="1"/>
  <c r="V156" i="2"/>
  <c r="V138" i="2"/>
  <c r="V115" i="2"/>
  <c r="V120" i="2"/>
  <c r="V110" i="2"/>
  <c r="V157" i="2" s="1"/>
  <c r="AE95" i="2"/>
  <c r="W156" i="2"/>
  <c r="W148" i="2"/>
  <c r="W138" i="2"/>
  <c r="X147" i="2"/>
  <c r="X148" i="2" s="1"/>
  <c r="Y88" i="2"/>
  <c r="Y89" i="2" s="1"/>
  <c r="X135" i="2"/>
  <c r="Y119" i="2"/>
  <c r="AD130" i="2"/>
  <c r="AD133" i="2" s="1"/>
  <c r="BI154" i="2"/>
  <c r="X114" i="2"/>
  <c r="Y113" i="2"/>
  <c r="Z143" i="2"/>
  <c r="Z146" i="2" s="1"/>
  <c r="Z153" i="2"/>
  <c r="Z129" i="2"/>
  <c r="Z94" i="2"/>
  <c r="Z103" i="2" s="1"/>
  <c r="Z104" i="2" s="1"/>
  <c r="AA82" i="2"/>
  <c r="AA185" i="2" s="1"/>
  <c r="AD144" i="2"/>
  <c r="AE86" i="2"/>
  <c r="AF83" i="2"/>
  <c r="Z134" i="2" l="1"/>
  <c r="U163" i="2"/>
  <c r="AE118" i="2"/>
  <c r="X138" i="2"/>
  <c r="AA85" i="2"/>
  <c r="AA101" i="2" s="1"/>
  <c r="Z105" i="2"/>
  <c r="Z106" i="2" s="1"/>
  <c r="V158" i="2"/>
  <c r="V164" i="2" s="1"/>
  <c r="W110" i="2"/>
  <c r="W157" i="2" s="1"/>
  <c r="W120" i="2"/>
  <c r="W115" i="2"/>
  <c r="Y120" i="2"/>
  <c r="AF95" i="2"/>
  <c r="S72" i="2"/>
  <c r="X156" i="2"/>
  <c r="X139" i="2"/>
  <c r="X149" i="2"/>
  <c r="Y147" i="2"/>
  <c r="Z119" i="2"/>
  <c r="Y135" i="2"/>
  <c r="BJ154" i="2"/>
  <c r="AE130" i="2"/>
  <c r="AE133" i="2" s="1"/>
  <c r="Y114" i="2"/>
  <c r="Z113" i="2"/>
  <c r="AA129" i="2"/>
  <c r="AA143" i="2"/>
  <c r="AA146" i="2" s="1"/>
  <c r="AA153" i="2"/>
  <c r="AA94" i="2"/>
  <c r="AA103" i="2" s="1"/>
  <c r="AA104" i="2" s="1"/>
  <c r="AB82" i="2"/>
  <c r="AB185" i="2" s="1"/>
  <c r="AE144" i="2"/>
  <c r="AG83" i="2"/>
  <c r="AF86" i="2"/>
  <c r="V189" i="2" l="1"/>
  <c r="V188" i="2"/>
  <c r="U166" i="2"/>
  <c r="U167" i="2" s="1"/>
  <c r="AA134" i="2"/>
  <c r="AF118" i="2"/>
  <c r="Y139" i="2"/>
  <c r="W158" i="2"/>
  <c r="W160" i="2" s="1"/>
  <c r="W161" i="2" s="1"/>
  <c r="W162" i="2" s="1"/>
  <c r="AB85" i="2"/>
  <c r="AB101" i="2" s="1"/>
  <c r="AA105" i="2"/>
  <c r="AA106" i="2" s="1"/>
  <c r="V160" i="2"/>
  <c r="X120" i="2"/>
  <c r="X110" i="2"/>
  <c r="X157" i="2" s="1"/>
  <c r="X115" i="2"/>
  <c r="Z88" i="2"/>
  <c r="Z115" i="2"/>
  <c r="Y115" i="2"/>
  <c r="Y110" i="2"/>
  <c r="Y157" i="2" s="1"/>
  <c r="AG95" i="2"/>
  <c r="S73" i="2"/>
  <c r="Y149" i="2"/>
  <c r="Y156" i="2"/>
  <c r="Y148" i="2"/>
  <c r="Y138" i="2"/>
  <c r="AA119" i="2"/>
  <c r="AF130" i="2"/>
  <c r="AF133" i="2" s="1"/>
  <c r="BK154" i="2"/>
  <c r="Z114" i="2"/>
  <c r="AA113" i="2"/>
  <c r="AC82" i="2"/>
  <c r="AC185" i="2" s="1"/>
  <c r="AB153" i="2"/>
  <c r="AB94" i="2"/>
  <c r="AB103" i="2" s="1"/>
  <c r="AB104" i="2" s="1"/>
  <c r="AB129" i="2"/>
  <c r="AB143" i="2"/>
  <c r="AB146" i="2" s="1"/>
  <c r="AH83" i="2"/>
  <c r="AG86" i="2"/>
  <c r="AF144" i="2"/>
  <c r="Z135" i="2" l="1"/>
  <c r="Z156" i="2" s="1"/>
  <c r="Z89" i="2"/>
  <c r="AB134" i="2"/>
  <c r="W163" i="2"/>
  <c r="AG118" i="2"/>
  <c r="W164" i="2"/>
  <c r="AC85" i="2"/>
  <c r="AC101" i="2" s="1"/>
  <c r="X158" i="2"/>
  <c r="X160" i="2" s="1"/>
  <c r="X161" i="2" s="1"/>
  <c r="X162" i="2" s="1"/>
  <c r="AB105" i="2"/>
  <c r="AB106" i="2" s="1"/>
  <c r="V161" i="2"/>
  <c r="V162" i="2" s="1"/>
  <c r="Z147" i="2"/>
  <c r="Z149" i="2" s="1"/>
  <c r="Z110" i="2"/>
  <c r="Z157" i="2" s="1"/>
  <c r="Z120" i="2"/>
  <c r="AA88" i="2"/>
  <c r="AA89" i="2" s="1"/>
  <c r="AA115" i="2"/>
  <c r="Y158" i="2"/>
  <c r="Y164" i="2" s="1"/>
  <c r="AH95" i="2"/>
  <c r="AB119" i="2"/>
  <c r="AA114" i="2"/>
  <c r="AG130" i="2"/>
  <c r="AG133" i="2" s="1"/>
  <c r="BL154" i="2"/>
  <c r="AD82" i="2"/>
  <c r="AD185" i="2" s="1"/>
  <c r="AC94" i="2"/>
  <c r="AC103" i="2" s="1"/>
  <c r="AC104" i="2" s="1"/>
  <c r="AC153" i="2"/>
  <c r="AC129" i="2"/>
  <c r="AC143" i="2"/>
  <c r="AC146" i="2" s="1"/>
  <c r="AB113" i="2"/>
  <c r="AG144" i="2"/>
  <c r="AI83" i="2"/>
  <c r="AH86" i="2"/>
  <c r="Z138" i="2" l="1"/>
  <c r="Z139" i="2"/>
  <c r="W189" i="2"/>
  <c r="W188" i="2"/>
  <c r="Y189" i="2"/>
  <c r="Y188" i="2"/>
  <c r="AC134" i="2"/>
  <c r="W166" i="2"/>
  <c r="W167" i="2" s="1"/>
  <c r="V163" i="2"/>
  <c r="X163" i="2"/>
  <c r="AH118" i="2"/>
  <c r="X164" i="2"/>
  <c r="AD85" i="2"/>
  <c r="AD101" i="2" s="1"/>
  <c r="AC105" i="2"/>
  <c r="AC106" i="2" s="1"/>
  <c r="Z148" i="2"/>
  <c r="Z158" i="2"/>
  <c r="Z160" i="2" s="1"/>
  <c r="Z161" i="2" s="1"/>
  <c r="Z162" i="2" s="1"/>
  <c r="AA110" i="2"/>
  <c r="AA157" i="2" s="1"/>
  <c r="AB88" i="2"/>
  <c r="AB120" i="2"/>
  <c r="AA147" i="2"/>
  <c r="AA149" i="2" s="1"/>
  <c r="AA120" i="2"/>
  <c r="Y160" i="2"/>
  <c r="Y161" i="2" s="1"/>
  <c r="Y162" i="2" s="1"/>
  <c r="AA135" i="2"/>
  <c r="AI95" i="2"/>
  <c r="AC119" i="2"/>
  <c r="AC88" i="2"/>
  <c r="AC89" i="2" s="1"/>
  <c r="AH130" i="2"/>
  <c r="AH133" i="2" s="1"/>
  <c r="BM154" i="2"/>
  <c r="AI86" i="2"/>
  <c r="AJ83" i="2"/>
  <c r="AB114" i="2"/>
  <c r="AD153" i="2"/>
  <c r="AD143" i="2"/>
  <c r="AD146" i="2" s="1"/>
  <c r="AD94" i="2"/>
  <c r="AD103" i="2" s="1"/>
  <c r="AD104" i="2" s="1"/>
  <c r="AD129" i="2"/>
  <c r="AE82" i="2"/>
  <c r="AE185" i="2" s="1"/>
  <c r="AC113" i="2"/>
  <c r="AH144" i="2"/>
  <c r="AB147" i="2" l="1"/>
  <c r="AB149" i="2" s="1"/>
  <c r="AB89" i="2"/>
  <c r="X189" i="2"/>
  <c r="X188" i="2"/>
  <c r="V166" i="2"/>
  <c r="V167" i="2" s="1"/>
  <c r="AD134" i="2"/>
  <c r="X166" i="2"/>
  <c r="X167" i="2" s="1"/>
  <c r="Z163" i="2"/>
  <c r="Y163" i="2"/>
  <c r="AI118" i="2"/>
  <c r="AA156" i="2"/>
  <c r="AA158" i="2" s="1"/>
  <c r="AA164" i="2" s="1"/>
  <c r="AE85" i="2"/>
  <c r="AE101" i="2" s="1"/>
  <c r="AD105" i="2"/>
  <c r="AD106" i="2" s="1"/>
  <c r="AA138" i="2"/>
  <c r="AB135" i="2"/>
  <c r="Z164" i="2"/>
  <c r="AA148" i="2"/>
  <c r="AB110" i="2"/>
  <c r="AB157" i="2" s="1"/>
  <c r="AB115" i="2"/>
  <c r="AA139" i="2"/>
  <c r="AJ95" i="2"/>
  <c r="AC147" i="2"/>
  <c r="AC149" i="2" s="1"/>
  <c r="AD88" i="2"/>
  <c r="AD89" i="2" s="1"/>
  <c r="AC135" i="2"/>
  <c r="AD119" i="2"/>
  <c r="BN154" i="2"/>
  <c r="AI130" i="2"/>
  <c r="AI133" i="2" s="1"/>
  <c r="AK83" i="2"/>
  <c r="AJ86" i="2"/>
  <c r="AC114" i="2"/>
  <c r="AF82" i="2"/>
  <c r="AF185" i="2" s="1"/>
  <c r="AE129" i="2"/>
  <c r="AE153" i="2"/>
  <c r="AE143" i="2"/>
  <c r="AE146" i="2" s="1"/>
  <c r="AE94" i="2"/>
  <c r="AE103" i="2" s="1"/>
  <c r="AE104" i="2" s="1"/>
  <c r="AD113" i="2"/>
  <c r="AC110" i="2"/>
  <c r="AC157" i="2" s="1"/>
  <c r="AC115" i="2"/>
  <c r="AC120" i="2"/>
  <c r="AI144" i="2"/>
  <c r="AJ144" i="2" s="1"/>
  <c r="AB148" i="2" l="1"/>
  <c r="Z189" i="2"/>
  <c r="Z188" i="2"/>
  <c r="AA188" i="2"/>
  <c r="AA189" i="2"/>
  <c r="Y166" i="2"/>
  <c r="Y167" i="2" s="1"/>
  <c r="AE134" i="2"/>
  <c r="Z166" i="2"/>
  <c r="Z167" i="2" s="1"/>
  <c r="AB138" i="2"/>
  <c r="AC138" i="2"/>
  <c r="AF85" i="2"/>
  <c r="AF101" i="2" s="1"/>
  <c r="AE105" i="2"/>
  <c r="AE106" i="2" s="1"/>
  <c r="AA160" i="2"/>
  <c r="AA161" i="2" s="1"/>
  <c r="AA162" i="2" s="1"/>
  <c r="AB156" i="2"/>
  <c r="AB158" i="2" s="1"/>
  <c r="AB164" i="2" s="1"/>
  <c r="AB139" i="2"/>
  <c r="AK95" i="2"/>
  <c r="AC139" i="2"/>
  <c r="AC156" i="2"/>
  <c r="AC158" i="2" s="1"/>
  <c r="AD147" i="2"/>
  <c r="AD149" i="2" s="1"/>
  <c r="AD135" i="2"/>
  <c r="AC148" i="2"/>
  <c r="AE88" i="2"/>
  <c r="AE89" i="2" s="1"/>
  <c r="AE119" i="2"/>
  <c r="AD114" i="2"/>
  <c r="AJ130" i="2"/>
  <c r="AJ133" i="2" s="1"/>
  <c r="AK144" i="2"/>
  <c r="BO154" i="2"/>
  <c r="AJ118" i="2"/>
  <c r="AL83" i="2"/>
  <c r="AK86" i="2"/>
  <c r="AF143" i="2"/>
  <c r="AF146" i="2" s="1"/>
  <c r="AF153" i="2"/>
  <c r="AF94" i="2"/>
  <c r="AF103" i="2" s="1"/>
  <c r="AF104" i="2" s="1"/>
  <c r="AG82" i="2"/>
  <c r="AG185" i="2" s="1"/>
  <c r="AF129" i="2"/>
  <c r="AE113" i="2"/>
  <c r="AD115" i="2"/>
  <c r="AD110" i="2"/>
  <c r="AD157" i="2" s="1"/>
  <c r="AD120" i="2"/>
  <c r="AB189" i="2" l="1"/>
  <c r="AB188" i="2"/>
  <c r="AF134" i="2"/>
  <c r="AA163" i="2"/>
  <c r="AD139" i="2"/>
  <c r="AG85" i="2"/>
  <c r="AG101" i="2" s="1"/>
  <c r="AF105" i="2"/>
  <c r="AF106" i="2" s="1"/>
  <c r="AJ101" i="2"/>
  <c r="AJ106" i="2"/>
  <c r="AJ105" i="2"/>
  <c r="AB160" i="2"/>
  <c r="AB161" i="2" s="1"/>
  <c r="AB162" i="2" s="1"/>
  <c r="AL95" i="2"/>
  <c r="AD138" i="2"/>
  <c r="AD156" i="2"/>
  <c r="AD158" i="2" s="1"/>
  <c r="AD148" i="2"/>
  <c r="AE147" i="2"/>
  <c r="AE149" i="2" s="1"/>
  <c r="AE135" i="2"/>
  <c r="AF88" i="2"/>
  <c r="AF89" i="2" s="1"/>
  <c r="AF119" i="2"/>
  <c r="BP154" i="2"/>
  <c r="AL144" i="2"/>
  <c r="AK130" i="2"/>
  <c r="AK133" i="2" s="1"/>
  <c r="AK118" i="2"/>
  <c r="AM83" i="2"/>
  <c r="AL86" i="2"/>
  <c r="AE114" i="2"/>
  <c r="AE110" i="2"/>
  <c r="AE157" i="2" s="1"/>
  <c r="AE120" i="2"/>
  <c r="AE115" i="2"/>
  <c r="AG129" i="2"/>
  <c r="AH82" i="2"/>
  <c r="AH185" i="2" s="1"/>
  <c r="AG143" i="2"/>
  <c r="AG146" i="2" s="1"/>
  <c r="AG94" i="2"/>
  <c r="AG103" i="2" s="1"/>
  <c r="AG104" i="2" s="1"/>
  <c r="AG153" i="2"/>
  <c r="AC164" i="2"/>
  <c r="AC160" i="2"/>
  <c r="AC161" i="2" s="1"/>
  <c r="AC162" i="2" s="1"/>
  <c r="AF113" i="2"/>
  <c r="AC189" i="2" l="1"/>
  <c r="AC188" i="2"/>
  <c r="AA166" i="2"/>
  <c r="AA167" i="2" s="1"/>
  <c r="AG134" i="2"/>
  <c r="AC163" i="2"/>
  <c r="AB163" i="2"/>
  <c r="AE139" i="2"/>
  <c r="AH85" i="2"/>
  <c r="AH101" i="2" s="1"/>
  <c r="AG105" i="2"/>
  <c r="AG106" i="2" s="1"/>
  <c r="AK101" i="2"/>
  <c r="AK106" i="2"/>
  <c r="AK105" i="2"/>
  <c r="AM95" i="2"/>
  <c r="AE148" i="2"/>
  <c r="AE138" i="2"/>
  <c r="AE156" i="2"/>
  <c r="AE158" i="2" s="1"/>
  <c r="AF147" i="2"/>
  <c r="AF149" i="2" s="1"/>
  <c r="AG88" i="2"/>
  <c r="AG89" i="2" s="1"/>
  <c r="AF135" i="2"/>
  <c r="AG119" i="2"/>
  <c r="AM144" i="2"/>
  <c r="AL130" i="2"/>
  <c r="AL133" i="2" s="1"/>
  <c r="BQ154" i="2"/>
  <c r="AL118" i="2"/>
  <c r="AN83" i="2"/>
  <c r="AM86" i="2"/>
  <c r="AF114" i="2"/>
  <c r="AD164" i="2"/>
  <c r="AD160" i="2"/>
  <c r="AD161" i="2" s="1"/>
  <c r="AD162" i="2" s="1"/>
  <c r="AH143" i="2"/>
  <c r="AH146" i="2" s="1"/>
  <c r="AH129" i="2"/>
  <c r="AH94" i="2"/>
  <c r="AH103" i="2" s="1"/>
  <c r="AH104" i="2" s="1"/>
  <c r="AI82" i="2"/>
  <c r="AI185" i="2" s="1"/>
  <c r="AH153" i="2"/>
  <c r="AF115" i="2"/>
  <c r="AF110" i="2"/>
  <c r="AF157" i="2" s="1"/>
  <c r="AF120" i="2"/>
  <c r="AG113" i="2"/>
  <c r="AD189" i="2" l="1"/>
  <c r="AD188" i="2"/>
  <c r="AB166" i="2"/>
  <c r="AB167" i="2" s="1"/>
  <c r="AC166" i="2"/>
  <c r="AC167" i="2" s="1"/>
  <c r="AH134" i="2"/>
  <c r="AD163" i="2"/>
  <c r="AF138" i="2"/>
  <c r="AI85" i="2"/>
  <c r="AI101" i="2" s="1"/>
  <c r="AH105" i="2"/>
  <c r="AH106" i="2" s="1"/>
  <c r="AL106" i="2"/>
  <c r="AL101" i="2"/>
  <c r="AL105" i="2"/>
  <c r="AN95" i="2"/>
  <c r="AF139" i="2"/>
  <c r="AF148" i="2"/>
  <c r="AG147" i="2"/>
  <c r="AG148" i="2" s="1"/>
  <c r="AF156" i="2"/>
  <c r="AF158" i="2" s="1"/>
  <c r="AF164" i="2" s="1"/>
  <c r="AH119" i="2"/>
  <c r="AH88" i="2"/>
  <c r="AH89" i="2" s="1"/>
  <c r="AG135" i="2"/>
  <c r="BR154" i="2"/>
  <c r="AM130" i="2"/>
  <c r="AM133" i="2" s="1"/>
  <c r="AN144" i="2"/>
  <c r="AM118" i="2"/>
  <c r="AO83" i="2"/>
  <c r="AN86" i="2"/>
  <c r="AG114" i="2"/>
  <c r="AJ82" i="2"/>
  <c r="AJ185" i="2" s="1"/>
  <c r="AI94" i="2"/>
  <c r="AI103" i="2" s="1"/>
  <c r="AI104" i="2" s="1"/>
  <c r="AI129" i="2"/>
  <c r="AI153" i="2"/>
  <c r="AI143" i="2"/>
  <c r="AI146" i="2" s="1"/>
  <c r="AH113" i="2"/>
  <c r="AE164" i="2"/>
  <c r="AE160" i="2"/>
  <c r="AE161" i="2" s="1"/>
  <c r="AE162" i="2" s="1"/>
  <c r="AG120" i="2"/>
  <c r="AG110" i="2"/>
  <c r="AG157" i="2" s="1"/>
  <c r="AG115" i="2"/>
  <c r="AE188" i="2" l="1"/>
  <c r="AE189" i="2"/>
  <c r="AF189" i="2"/>
  <c r="AF188" i="2"/>
  <c r="AD166" i="2"/>
  <c r="AD167" i="2" s="1"/>
  <c r="AI134" i="2"/>
  <c r="AE163" i="2"/>
  <c r="AG156" i="2"/>
  <c r="AG158" i="2" s="1"/>
  <c r="AJ85" i="2"/>
  <c r="AI105" i="2"/>
  <c r="AI106" i="2" s="1"/>
  <c r="AM101" i="2"/>
  <c r="AM106" i="2"/>
  <c r="AM105" i="2"/>
  <c r="AO95" i="2"/>
  <c r="AG149" i="2"/>
  <c r="AH147" i="2"/>
  <c r="AH149" i="2" s="1"/>
  <c r="AI88" i="2"/>
  <c r="AI89" i="2" s="1"/>
  <c r="AH135" i="2"/>
  <c r="AG138" i="2"/>
  <c r="AG139" i="2"/>
  <c r="AO144" i="2"/>
  <c r="AN130" i="2"/>
  <c r="AN133" i="2" s="1"/>
  <c r="BS154" i="2"/>
  <c r="AN118" i="2"/>
  <c r="AP83" i="2"/>
  <c r="AO86" i="2"/>
  <c r="AH114" i="2"/>
  <c r="AF160" i="2"/>
  <c r="AF161" i="2" s="1"/>
  <c r="AF162" i="2" s="1"/>
  <c r="AI113" i="2"/>
  <c r="AJ129" i="2"/>
  <c r="AJ143" i="2"/>
  <c r="AJ146" i="2" s="1"/>
  <c r="AJ94" i="2"/>
  <c r="AJ103" i="2" s="1"/>
  <c r="AJ104" i="2" s="1"/>
  <c r="AK82" i="2"/>
  <c r="AK185" i="2" s="1"/>
  <c r="AJ153" i="2"/>
  <c r="AH110" i="2"/>
  <c r="AH157" i="2" s="1"/>
  <c r="AH120" i="2"/>
  <c r="AH115" i="2"/>
  <c r="AE166" i="2" l="1"/>
  <c r="AE167" i="2" s="1"/>
  <c r="AJ134" i="2"/>
  <c r="AF163" i="2"/>
  <c r="AH138" i="2"/>
  <c r="AK85" i="2"/>
  <c r="AN101" i="2"/>
  <c r="AN106" i="2"/>
  <c r="AN105" i="2"/>
  <c r="AP95" i="2"/>
  <c r="AH148" i="2"/>
  <c r="AI147" i="2"/>
  <c r="AI148" i="2" s="1"/>
  <c r="AH139" i="2"/>
  <c r="AI135" i="2"/>
  <c r="AJ88" i="2"/>
  <c r="AJ89" i="2" s="1"/>
  <c r="AH156" i="2"/>
  <c r="AH158" i="2" s="1"/>
  <c r="AH164" i="2" s="1"/>
  <c r="AJ120" i="2"/>
  <c r="AJ114" i="2"/>
  <c r="AO130" i="2"/>
  <c r="AO133" i="2" s="1"/>
  <c r="BT154" i="2"/>
  <c r="AP144" i="2"/>
  <c r="AO118" i="2"/>
  <c r="AQ83" i="2"/>
  <c r="AP86" i="2"/>
  <c r="AI119" i="2"/>
  <c r="AI114" i="2"/>
  <c r="AG164" i="2"/>
  <c r="AG160" i="2"/>
  <c r="AL82" i="2"/>
  <c r="AL185" i="2" s="1"/>
  <c r="AK153" i="2"/>
  <c r="AK129" i="2"/>
  <c r="AK94" i="2"/>
  <c r="AK103" i="2" s="1"/>
  <c r="AK104" i="2" s="1"/>
  <c r="AK143" i="2"/>
  <c r="AK146" i="2" s="1"/>
  <c r="AJ113" i="2"/>
  <c r="AI120" i="2"/>
  <c r="AI110" i="2"/>
  <c r="AI115" i="2"/>
  <c r="AG189" i="2" l="1"/>
  <c r="AG188" i="2"/>
  <c r="AH189" i="2"/>
  <c r="AH188" i="2"/>
  <c r="AF166" i="2"/>
  <c r="AF167" i="2" s="1"/>
  <c r="AK134" i="2"/>
  <c r="AI138" i="2"/>
  <c r="AL85" i="2"/>
  <c r="AO106" i="2"/>
  <c r="AO101" i="2"/>
  <c r="AO105" i="2"/>
  <c r="AQ95" i="2"/>
  <c r="AI149" i="2"/>
  <c r="AI156" i="2"/>
  <c r="AI139" i="2"/>
  <c r="AJ147" i="2"/>
  <c r="AJ149" i="2" s="1"/>
  <c r="AJ135" i="2"/>
  <c r="AK120" i="2"/>
  <c r="AK114" i="2"/>
  <c r="AK88" i="2"/>
  <c r="AK89" i="2" s="1"/>
  <c r="AJ115" i="2"/>
  <c r="AJ110" i="2"/>
  <c r="AJ157" i="2" s="1"/>
  <c r="AJ119" i="2"/>
  <c r="BU154" i="2"/>
  <c r="AP130" i="2"/>
  <c r="AP133" i="2" s="1"/>
  <c r="AQ144" i="2"/>
  <c r="AP118" i="2"/>
  <c r="AR83" i="2"/>
  <c r="AQ86" i="2"/>
  <c r="AH160" i="2"/>
  <c r="AH161" i="2" s="1"/>
  <c r="AH162" i="2" s="1"/>
  <c r="AG161" i="2"/>
  <c r="AG162" i="2" s="1"/>
  <c r="AL143" i="2"/>
  <c r="AL146" i="2" s="1"/>
  <c r="AL129" i="2"/>
  <c r="AM82" i="2"/>
  <c r="AM185" i="2" s="1"/>
  <c r="AL94" i="2"/>
  <c r="AL103" i="2" s="1"/>
  <c r="AL104" i="2" s="1"/>
  <c r="AL153" i="2"/>
  <c r="AI157" i="2"/>
  <c r="AK113" i="2"/>
  <c r="AL134" i="2" l="1"/>
  <c r="AH163" i="2"/>
  <c r="AG163" i="2"/>
  <c r="AJ156" i="2"/>
  <c r="AJ158" i="2" s="1"/>
  <c r="AJ160" i="2" s="1"/>
  <c r="AJ161" i="2" s="1"/>
  <c r="AJ162" i="2" s="1"/>
  <c r="AM85" i="2"/>
  <c r="AP106" i="2"/>
  <c r="AP101" i="2"/>
  <c r="AP105" i="2"/>
  <c r="AR95" i="2"/>
  <c r="AJ139" i="2"/>
  <c r="AK147" i="2"/>
  <c r="AK149" i="2" s="1"/>
  <c r="AL114" i="2"/>
  <c r="AL120" i="2"/>
  <c r="AL88" i="2"/>
  <c r="AL89" i="2" s="1"/>
  <c r="AK135" i="2"/>
  <c r="AJ138" i="2"/>
  <c r="AJ148" i="2"/>
  <c r="AK115" i="2"/>
  <c r="AK110" i="2"/>
  <c r="AK157" i="2" s="1"/>
  <c r="AK119" i="2"/>
  <c r="AQ130" i="2"/>
  <c r="AQ133" i="2" s="1"/>
  <c r="AR144" i="2"/>
  <c r="BV154" i="2"/>
  <c r="AS83" i="2"/>
  <c r="AR86" i="2"/>
  <c r="AQ118" i="2"/>
  <c r="AM143" i="2"/>
  <c r="AM146" i="2" s="1"/>
  <c r="AM94" i="2"/>
  <c r="AM103" i="2" s="1"/>
  <c r="AM104" i="2" s="1"/>
  <c r="AM129" i="2"/>
  <c r="AN82" i="2"/>
  <c r="AN185" i="2" s="1"/>
  <c r="AM153" i="2"/>
  <c r="AL113" i="2"/>
  <c r="AI158" i="2"/>
  <c r="AG166" i="2" l="1"/>
  <c r="AG167" i="2" s="1"/>
  <c r="AH166" i="2"/>
  <c r="AH167" i="2" s="1"/>
  <c r="AM134" i="2"/>
  <c r="AJ163" i="2"/>
  <c r="AK139" i="2"/>
  <c r="AN85" i="2"/>
  <c r="AQ106" i="2"/>
  <c r="AQ101" i="2"/>
  <c r="AQ105" i="2"/>
  <c r="AS95" i="2"/>
  <c r="AK148" i="2"/>
  <c r="AK156" i="2"/>
  <c r="AK158" i="2" s="1"/>
  <c r="AK160" i="2" s="1"/>
  <c r="AK161" i="2" s="1"/>
  <c r="AK162" i="2" s="1"/>
  <c r="AK138" i="2"/>
  <c r="AL147" i="2"/>
  <c r="AL149" i="2" s="1"/>
  <c r="AM114" i="2"/>
  <c r="AM120" i="2"/>
  <c r="AM88" i="2"/>
  <c r="AM89" i="2" s="1"/>
  <c r="AL135" i="2"/>
  <c r="AJ164" i="2"/>
  <c r="AL115" i="2"/>
  <c r="AL110" i="2"/>
  <c r="AL157" i="2" s="1"/>
  <c r="AL119" i="2"/>
  <c r="AS144" i="2"/>
  <c r="BW154" i="2"/>
  <c r="AR130" i="2"/>
  <c r="AR133" i="2" s="1"/>
  <c r="AR118" i="2"/>
  <c r="AT83" i="2"/>
  <c r="AS86" i="2"/>
  <c r="AO82" i="2"/>
  <c r="AO185" i="2" s="1"/>
  <c r="AN153" i="2"/>
  <c r="AN129" i="2"/>
  <c r="AN143" i="2"/>
  <c r="AN146" i="2" s="1"/>
  <c r="AN94" i="2"/>
  <c r="AN103" i="2" s="1"/>
  <c r="AN104" i="2" s="1"/>
  <c r="AM113" i="2"/>
  <c r="AI164" i="2"/>
  <c r="AI160" i="2"/>
  <c r="AI189" i="2" l="1"/>
  <c r="AI188" i="2"/>
  <c r="AJ188" i="2"/>
  <c r="AJ189" i="2"/>
  <c r="AN134" i="2"/>
  <c r="AJ166" i="2"/>
  <c r="AJ167" i="2" s="1"/>
  <c r="AK163" i="2"/>
  <c r="AL156" i="2"/>
  <c r="AL158" i="2" s="1"/>
  <c r="AL160" i="2" s="1"/>
  <c r="AL161" i="2" s="1"/>
  <c r="AL162" i="2" s="1"/>
  <c r="AO85" i="2"/>
  <c r="AR106" i="2"/>
  <c r="AR101" i="2"/>
  <c r="AR105" i="2"/>
  <c r="AT95" i="2"/>
  <c r="AL139" i="2"/>
  <c r="AL138" i="2"/>
  <c r="AL148" i="2"/>
  <c r="AM147" i="2"/>
  <c r="AM149" i="2" s="1"/>
  <c r="AN114" i="2"/>
  <c r="AN120" i="2"/>
  <c r="AN88" i="2"/>
  <c r="AN89" i="2" s="1"/>
  <c r="AM135" i="2"/>
  <c r="AK164" i="2"/>
  <c r="AM115" i="2"/>
  <c r="AM110" i="2"/>
  <c r="AM157" i="2" s="1"/>
  <c r="AM119" i="2"/>
  <c r="AS130" i="2"/>
  <c r="AS133" i="2" s="1"/>
  <c r="BX154" i="2"/>
  <c r="AT144" i="2"/>
  <c r="AS118" i="2"/>
  <c r="AU83" i="2"/>
  <c r="AT86" i="2"/>
  <c r="AI161" i="2"/>
  <c r="AI162" i="2" s="1"/>
  <c r="AN113" i="2"/>
  <c r="AP82" i="2"/>
  <c r="AP185" i="2" s="1"/>
  <c r="AO143" i="2"/>
  <c r="AO146" i="2" s="1"/>
  <c r="AO153" i="2"/>
  <c r="AO129" i="2"/>
  <c r="AO94" i="2"/>
  <c r="AO103" i="2" s="1"/>
  <c r="AO104" i="2" s="1"/>
  <c r="AK189" i="2" l="1"/>
  <c r="AK188" i="2"/>
  <c r="AO134" i="2"/>
  <c r="AK166" i="2"/>
  <c r="AK167" i="2" s="1"/>
  <c r="AL163" i="2"/>
  <c r="AI163" i="2"/>
  <c r="AM139" i="2"/>
  <c r="AP85" i="2"/>
  <c r="AS101" i="2"/>
  <c r="AS106" i="2"/>
  <c r="AS105" i="2"/>
  <c r="AU95" i="2"/>
  <c r="AM138" i="2"/>
  <c r="AM156" i="2"/>
  <c r="AM158" i="2" s="1"/>
  <c r="AM164" i="2" s="1"/>
  <c r="AM148" i="2"/>
  <c r="AN147" i="2"/>
  <c r="AN149" i="2" s="1"/>
  <c r="AO114" i="2"/>
  <c r="AO120" i="2"/>
  <c r="AO88" i="2"/>
  <c r="AO89" i="2" s="1"/>
  <c r="AN135" i="2"/>
  <c r="AL164" i="2"/>
  <c r="AN110" i="2"/>
  <c r="AN157" i="2" s="1"/>
  <c r="AN119" i="2"/>
  <c r="AN115" i="2"/>
  <c r="AU144" i="2"/>
  <c r="AT130" i="2"/>
  <c r="AT133" i="2" s="1"/>
  <c r="AT118" i="2"/>
  <c r="AV83" i="2"/>
  <c r="AU86" i="2"/>
  <c r="AO113" i="2"/>
  <c r="AP143" i="2"/>
  <c r="AP146" i="2" s="1"/>
  <c r="AP129" i="2"/>
  <c r="AP94" i="2"/>
  <c r="AP103" i="2" s="1"/>
  <c r="AP104" i="2" s="1"/>
  <c r="AP153" i="2"/>
  <c r="AQ82" i="2"/>
  <c r="AQ185" i="2" s="1"/>
  <c r="AM188" i="2" l="1"/>
  <c r="AM189" i="2"/>
  <c r="AL189" i="2"/>
  <c r="AL188" i="2"/>
  <c r="AI166" i="2"/>
  <c r="AI167" i="2" s="1"/>
  <c r="AP134" i="2"/>
  <c r="AL166" i="2"/>
  <c r="AL167" i="2" s="1"/>
  <c r="AN156" i="2"/>
  <c r="AN158" i="2" s="1"/>
  <c r="AN164" i="2" s="1"/>
  <c r="AQ85" i="2"/>
  <c r="AT106" i="2"/>
  <c r="AT101" i="2"/>
  <c r="AT105" i="2"/>
  <c r="AV95" i="2"/>
  <c r="AN139" i="2"/>
  <c r="AN148" i="2"/>
  <c r="AO147" i="2"/>
  <c r="AO149" i="2" s="1"/>
  <c r="AP88" i="2"/>
  <c r="AP89" i="2" s="1"/>
  <c r="AN138" i="2"/>
  <c r="AO135" i="2"/>
  <c r="AP120" i="2"/>
  <c r="AP114" i="2"/>
  <c r="AM160" i="2"/>
  <c r="AO115" i="2"/>
  <c r="AO110" i="2"/>
  <c r="AO157" i="2" s="1"/>
  <c r="AO119" i="2"/>
  <c r="AV144" i="2"/>
  <c r="AU130" i="2"/>
  <c r="AU133" i="2" s="1"/>
  <c r="AU118" i="2"/>
  <c r="AW83" i="2"/>
  <c r="AV86" i="2"/>
  <c r="AQ94" i="2"/>
  <c r="AQ103" i="2" s="1"/>
  <c r="AQ104" i="2" s="1"/>
  <c r="AR82" i="2"/>
  <c r="AR185" i="2" s="1"/>
  <c r="AQ129" i="2"/>
  <c r="AQ153" i="2"/>
  <c r="AQ143" i="2"/>
  <c r="AQ146" i="2" s="1"/>
  <c r="AP113" i="2"/>
  <c r="AN188" i="2" l="1"/>
  <c r="AN189" i="2"/>
  <c r="AQ134" i="2"/>
  <c r="AO139" i="2"/>
  <c r="AR85" i="2"/>
  <c r="AU101" i="2"/>
  <c r="AU106" i="2"/>
  <c r="AU105" i="2"/>
  <c r="AW95" i="2"/>
  <c r="AO148" i="2"/>
  <c r="AP147" i="2"/>
  <c r="AP149" i="2" s="1"/>
  <c r="AQ88" i="2"/>
  <c r="AQ89" i="2" s="1"/>
  <c r="AQ120" i="2"/>
  <c r="AQ114" i="2"/>
  <c r="AP135" i="2"/>
  <c r="AO156" i="2"/>
  <c r="AO158" i="2" s="1"/>
  <c r="AO164" i="2" s="1"/>
  <c r="AO138" i="2"/>
  <c r="AM161" i="2"/>
  <c r="AM162" i="2" s="1"/>
  <c r="AN160" i="2"/>
  <c r="AN161" i="2" s="1"/>
  <c r="AN162" i="2" s="1"/>
  <c r="AP115" i="2"/>
  <c r="AP110" i="2"/>
  <c r="AP157" i="2" s="1"/>
  <c r="AP119" i="2"/>
  <c r="AV130" i="2"/>
  <c r="AV133" i="2" s="1"/>
  <c r="AW144" i="2"/>
  <c r="AV118" i="2"/>
  <c r="AX83" i="2"/>
  <c r="AW86" i="2"/>
  <c r="AR143" i="2"/>
  <c r="AR146" i="2" s="1"/>
  <c r="AS82" i="2"/>
  <c r="AS185" i="2" s="1"/>
  <c r="AR153" i="2"/>
  <c r="AR94" i="2"/>
  <c r="AR103" i="2" s="1"/>
  <c r="AR104" i="2" s="1"/>
  <c r="AR129" i="2"/>
  <c r="AQ113" i="2"/>
  <c r="AO189" i="2" l="1"/>
  <c r="AO188" i="2"/>
  <c r="AR134" i="2"/>
  <c r="AN163" i="2"/>
  <c r="AM163" i="2"/>
  <c r="AP139" i="2"/>
  <c r="AS85" i="2"/>
  <c r="AV101" i="2"/>
  <c r="AV106" i="2"/>
  <c r="AV105" i="2"/>
  <c r="AX95" i="2"/>
  <c r="AP148" i="2"/>
  <c r="AP138" i="2"/>
  <c r="AQ147" i="2"/>
  <c r="AQ149" i="2" s="1"/>
  <c r="AQ135" i="2"/>
  <c r="AR120" i="2"/>
  <c r="AR114" i="2"/>
  <c r="AP156" i="2"/>
  <c r="AP158" i="2" s="1"/>
  <c r="AP160" i="2" s="1"/>
  <c r="AP161" i="2" s="1"/>
  <c r="AP162" i="2" s="1"/>
  <c r="AR88" i="2"/>
  <c r="AO160" i="2"/>
  <c r="AO161" i="2" s="1"/>
  <c r="AO162" i="2" s="1"/>
  <c r="AQ115" i="2"/>
  <c r="AQ110" i="2"/>
  <c r="AQ157" i="2" s="1"/>
  <c r="AQ119" i="2"/>
  <c r="AX144" i="2"/>
  <c r="AW130" i="2"/>
  <c r="AW133" i="2" s="1"/>
  <c r="AY83" i="2"/>
  <c r="AX86" i="2"/>
  <c r="AW118" i="2"/>
  <c r="AT82" i="2"/>
  <c r="AT185" i="2" s="1"/>
  <c r="AS153" i="2"/>
  <c r="AS129" i="2"/>
  <c r="AS94" i="2"/>
  <c r="AS103" i="2" s="1"/>
  <c r="AS104" i="2" s="1"/>
  <c r="AS143" i="2"/>
  <c r="AS146" i="2" s="1"/>
  <c r="AR113" i="2"/>
  <c r="AR147" i="2" l="1"/>
  <c r="AR149" i="2" s="1"/>
  <c r="AR89" i="2"/>
  <c r="AN166" i="2"/>
  <c r="AN167" i="2" s="1"/>
  <c r="AM166" i="2"/>
  <c r="AM167" i="2" s="1"/>
  <c r="AS134" i="2"/>
  <c r="AP163" i="2"/>
  <c r="AO163" i="2"/>
  <c r="AQ139" i="2"/>
  <c r="AT85" i="2"/>
  <c r="AW106" i="2"/>
  <c r="AW101" i="2"/>
  <c r="AW105" i="2"/>
  <c r="AY95" i="2"/>
  <c r="AQ138" i="2"/>
  <c r="AQ148" i="2"/>
  <c r="AR135" i="2"/>
  <c r="AQ156" i="2"/>
  <c r="AQ158" i="2" s="1"/>
  <c r="AQ164" i="2" s="1"/>
  <c r="AS120" i="2"/>
  <c r="AS114" i="2"/>
  <c r="AS88" i="2"/>
  <c r="AS89" i="2" s="1"/>
  <c r="AP164" i="2"/>
  <c r="AR115" i="2"/>
  <c r="AR110" i="2"/>
  <c r="AR157" i="2" s="1"/>
  <c r="AR119" i="2"/>
  <c r="AY144" i="2"/>
  <c r="AX130" i="2"/>
  <c r="AX133" i="2" s="1"/>
  <c r="AX118" i="2"/>
  <c r="AZ83" i="2"/>
  <c r="AY86" i="2"/>
  <c r="AS113" i="2"/>
  <c r="AT94" i="2"/>
  <c r="AT103" i="2" s="1"/>
  <c r="AT104" i="2" s="1"/>
  <c r="AT153" i="2"/>
  <c r="AU82" i="2"/>
  <c r="AU185" i="2" s="1"/>
  <c r="AT129" i="2"/>
  <c r="AT143" i="2"/>
  <c r="AT146" i="2" s="1"/>
  <c r="AR148" i="2" l="1"/>
  <c r="AQ189" i="2"/>
  <c r="AQ188" i="2"/>
  <c r="AP189" i="2"/>
  <c r="AP188" i="2"/>
  <c r="AO166" i="2"/>
  <c r="AO167" i="2" s="1"/>
  <c r="AT134" i="2"/>
  <c r="AP166" i="2"/>
  <c r="AP167" i="2" s="1"/>
  <c r="AR138" i="2"/>
  <c r="AU85" i="2"/>
  <c r="AX106" i="2"/>
  <c r="AX101" i="2"/>
  <c r="AX105" i="2"/>
  <c r="AZ95" i="2"/>
  <c r="AR139" i="2"/>
  <c r="AR156" i="2"/>
  <c r="AR158" i="2" s="1"/>
  <c r="AR164" i="2" s="1"/>
  <c r="AS147" i="2"/>
  <c r="AS149" i="2" s="1"/>
  <c r="AS135" i="2"/>
  <c r="AT114" i="2"/>
  <c r="AT120" i="2"/>
  <c r="AT88" i="2"/>
  <c r="AT89" i="2" s="1"/>
  <c r="AQ160" i="2"/>
  <c r="AQ161" i="2" s="1"/>
  <c r="AQ162" i="2" s="1"/>
  <c r="AS115" i="2"/>
  <c r="AS110" i="2"/>
  <c r="AS119" i="2"/>
  <c r="AZ144" i="2"/>
  <c r="AY130" i="2"/>
  <c r="AY133" i="2" s="1"/>
  <c r="AY118" i="2"/>
  <c r="BA83" i="2"/>
  <c r="AZ86" i="2"/>
  <c r="AU94" i="2"/>
  <c r="AU103" i="2" s="1"/>
  <c r="AU104" i="2" s="1"/>
  <c r="AU143" i="2"/>
  <c r="AU146" i="2" s="1"/>
  <c r="AV82" i="2"/>
  <c r="AV185" i="2" s="1"/>
  <c r="AU129" i="2"/>
  <c r="AU153" i="2"/>
  <c r="AT113" i="2"/>
  <c r="AR189" i="2" l="1"/>
  <c r="AR188" i="2"/>
  <c r="AU134" i="2"/>
  <c r="AQ163" i="2"/>
  <c r="AS138" i="2"/>
  <c r="AV85" i="2"/>
  <c r="AY106" i="2"/>
  <c r="AY101" i="2"/>
  <c r="AY105" i="2"/>
  <c r="BA95" i="2"/>
  <c r="AS156" i="2"/>
  <c r="AS139" i="2"/>
  <c r="AS148" i="2"/>
  <c r="AT147" i="2"/>
  <c r="AT149" i="2" s="1"/>
  <c r="AU88" i="2"/>
  <c r="AU89" i="2" s="1"/>
  <c r="AT135" i="2"/>
  <c r="AU114" i="2"/>
  <c r="AU120" i="2"/>
  <c r="AR160" i="2"/>
  <c r="AR161" i="2" s="1"/>
  <c r="AR162" i="2" s="1"/>
  <c r="AT115" i="2"/>
  <c r="AS157" i="2"/>
  <c r="AT110" i="2"/>
  <c r="AT157" i="2" s="1"/>
  <c r="AT119" i="2"/>
  <c r="AZ130" i="2"/>
  <c r="AZ133" i="2" s="1"/>
  <c r="BA144" i="2"/>
  <c r="BB83" i="2"/>
  <c r="BA86" i="2"/>
  <c r="AZ118" i="2"/>
  <c r="AV94" i="2"/>
  <c r="AV103" i="2" s="1"/>
  <c r="AV104" i="2" s="1"/>
  <c r="AW82" i="2"/>
  <c r="AW185" i="2" s="1"/>
  <c r="AV129" i="2"/>
  <c r="AV143" i="2"/>
  <c r="AV146" i="2" s="1"/>
  <c r="AV153" i="2"/>
  <c r="AU113" i="2"/>
  <c r="AQ166" i="2" l="1"/>
  <c r="AQ167" i="2" s="1"/>
  <c r="AV134" i="2"/>
  <c r="AR163" i="2"/>
  <c r="AT156" i="2"/>
  <c r="AT158" i="2" s="1"/>
  <c r="AT164" i="2" s="1"/>
  <c r="AW85" i="2"/>
  <c r="AZ106" i="2"/>
  <c r="AZ101" i="2"/>
  <c r="AZ105" i="2"/>
  <c r="BB95" i="2"/>
  <c r="AT148" i="2"/>
  <c r="AU147" i="2"/>
  <c r="AU149" i="2" s="1"/>
  <c r="AV120" i="2"/>
  <c r="AT139" i="2"/>
  <c r="AU135" i="2"/>
  <c r="AT138" i="2"/>
  <c r="AV88" i="2"/>
  <c r="AV89" i="2" s="1"/>
  <c r="AU115" i="2"/>
  <c r="AU110" i="2"/>
  <c r="AU157" i="2" s="1"/>
  <c r="AU119" i="2"/>
  <c r="AS158" i="2"/>
  <c r="BB144" i="2"/>
  <c r="BA130" i="2"/>
  <c r="BA133" i="2" s="1"/>
  <c r="BA118" i="2"/>
  <c r="BC83" i="2"/>
  <c r="BB86" i="2"/>
  <c r="AV113" i="2"/>
  <c r="AW129" i="2"/>
  <c r="AW94" i="2"/>
  <c r="AW103" i="2" s="1"/>
  <c r="AW104" i="2" s="1"/>
  <c r="AW143" i="2"/>
  <c r="AW146" i="2" s="1"/>
  <c r="AX82" i="2"/>
  <c r="AX185" i="2" s="1"/>
  <c r="AW153" i="2"/>
  <c r="AT189" i="2" l="1"/>
  <c r="AT188" i="2"/>
  <c r="AR166" i="2"/>
  <c r="AR167" i="2" s="1"/>
  <c r="AW134" i="2"/>
  <c r="AU156" i="2"/>
  <c r="AU158" i="2" s="1"/>
  <c r="AU164" i="2" s="1"/>
  <c r="AX85" i="2"/>
  <c r="BA106" i="2"/>
  <c r="BA101" i="2"/>
  <c r="BA105" i="2"/>
  <c r="BC95" i="2"/>
  <c r="AU138" i="2"/>
  <c r="AU148" i="2"/>
  <c r="AU139" i="2"/>
  <c r="AV147" i="2"/>
  <c r="AV149" i="2" s="1"/>
  <c r="AV135" i="2"/>
  <c r="AW114" i="2"/>
  <c r="AW120" i="2"/>
  <c r="AW88" i="2"/>
  <c r="AW89" i="2" s="1"/>
  <c r="AT160" i="2"/>
  <c r="AT161" i="2" s="1"/>
  <c r="AT162" i="2" s="1"/>
  <c r="AV110" i="2"/>
  <c r="AV157" i="2" s="1"/>
  <c r="AV119" i="2"/>
  <c r="AV115" i="2"/>
  <c r="AV114" i="2"/>
  <c r="AS160" i="2"/>
  <c r="AS161" i="2" s="1"/>
  <c r="AS162" i="2" s="1"/>
  <c r="AS164" i="2"/>
  <c r="BC144" i="2"/>
  <c r="BB130" i="2"/>
  <c r="BB133" i="2" s="1"/>
  <c r="BB118" i="2"/>
  <c r="BD83" i="2"/>
  <c r="BC86" i="2"/>
  <c r="AX129" i="2"/>
  <c r="AY82" i="2"/>
  <c r="AY185" i="2" s="1"/>
  <c r="AX153" i="2"/>
  <c r="AX94" i="2"/>
  <c r="AX103" i="2" s="1"/>
  <c r="AX104" i="2" s="1"/>
  <c r="AX143" i="2"/>
  <c r="AX146" i="2" s="1"/>
  <c r="AW113" i="2"/>
  <c r="AU189" i="2" l="1"/>
  <c r="AU188" i="2"/>
  <c r="AS189" i="2"/>
  <c r="AS188" i="2"/>
  <c r="AX134" i="2"/>
  <c r="AT163" i="2"/>
  <c r="AS163" i="2"/>
  <c r="AV138" i="2"/>
  <c r="AY85" i="2"/>
  <c r="BB106" i="2"/>
  <c r="BB101" i="2"/>
  <c r="BB105" i="2"/>
  <c r="BD95" i="2"/>
  <c r="AV156" i="2"/>
  <c r="AV158" i="2" s="1"/>
  <c r="AV164" i="2" s="1"/>
  <c r="AV139" i="2"/>
  <c r="AW147" i="2"/>
  <c r="AW149" i="2" s="1"/>
  <c r="AW135" i="2"/>
  <c r="AX88" i="2"/>
  <c r="AX89" i="2" s="1"/>
  <c r="AX120" i="2"/>
  <c r="AX114" i="2"/>
  <c r="AV148" i="2"/>
  <c r="AU160" i="2"/>
  <c r="AU161" i="2" s="1"/>
  <c r="AU162" i="2" s="1"/>
  <c r="AW115" i="2"/>
  <c r="AW110" i="2"/>
  <c r="AW157" i="2" s="1"/>
  <c r="AW119" i="2"/>
  <c r="BC130" i="2"/>
  <c r="BC133" i="2" s="1"/>
  <c r="BD144" i="2"/>
  <c r="BC118" i="2"/>
  <c r="BE83" i="2"/>
  <c r="BD86" i="2"/>
  <c r="AY153" i="2"/>
  <c r="AZ82" i="2"/>
  <c r="AZ185" i="2" s="1"/>
  <c r="AY143" i="2"/>
  <c r="AY146" i="2" s="1"/>
  <c r="AY94" i="2"/>
  <c r="AY103" i="2" s="1"/>
  <c r="AY104" i="2" s="1"/>
  <c r="AY129" i="2"/>
  <c r="AX113" i="2"/>
  <c r="AV189" i="2" l="1"/>
  <c r="AV188" i="2"/>
  <c r="AS166" i="2"/>
  <c r="AS167" i="2" s="1"/>
  <c r="AT166" i="2"/>
  <c r="AT167" i="2" s="1"/>
  <c r="AY134" i="2"/>
  <c r="AU163" i="2"/>
  <c r="AW138" i="2"/>
  <c r="AZ85" i="2"/>
  <c r="BC106" i="2"/>
  <c r="BC101" i="2"/>
  <c r="BC105" i="2"/>
  <c r="BE95" i="2"/>
  <c r="AW156" i="2"/>
  <c r="AW158" i="2" s="1"/>
  <c r="AW160" i="2" s="1"/>
  <c r="AW139" i="2"/>
  <c r="AW148" i="2"/>
  <c r="AX147" i="2"/>
  <c r="AX149" i="2" s="1"/>
  <c r="AY88" i="2"/>
  <c r="AY89" i="2" s="1"/>
  <c r="AX135" i="2"/>
  <c r="AY120" i="2"/>
  <c r="AY114" i="2"/>
  <c r="AV160" i="2"/>
  <c r="AV161" i="2" s="1"/>
  <c r="AV162" i="2" s="1"/>
  <c r="AX110" i="2"/>
  <c r="AX157" i="2" s="1"/>
  <c r="AX119" i="2"/>
  <c r="AX115" i="2"/>
  <c r="BE144" i="2"/>
  <c r="BD130" i="2"/>
  <c r="BD133" i="2" s="1"/>
  <c r="BD118" i="2"/>
  <c r="BF83" i="2"/>
  <c r="BE86" i="2"/>
  <c r="AY113" i="2"/>
  <c r="AZ94" i="2"/>
  <c r="AZ103" i="2" s="1"/>
  <c r="AZ104" i="2" s="1"/>
  <c r="AZ143" i="2"/>
  <c r="AZ146" i="2" s="1"/>
  <c r="BA82" i="2"/>
  <c r="BA185" i="2" s="1"/>
  <c r="AZ129" i="2"/>
  <c r="AZ153" i="2"/>
  <c r="AU166" i="2" l="1"/>
  <c r="AU167" i="2" s="1"/>
  <c r="AZ134" i="2"/>
  <c r="AV163" i="2"/>
  <c r="AX139" i="2"/>
  <c r="BA85" i="2"/>
  <c r="BD101" i="2"/>
  <c r="BD106" i="2"/>
  <c r="BD105" i="2"/>
  <c r="BF95" i="2"/>
  <c r="AX138" i="2"/>
  <c r="AX156" i="2"/>
  <c r="AX158" i="2" s="1"/>
  <c r="AX164" i="2" s="1"/>
  <c r="AX148" i="2"/>
  <c r="AY147" i="2"/>
  <c r="AY149" i="2" s="1"/>
  <c r="AZ88" i="2"/>
  <c r="AZ89" i="2" s="1"/>
  <c r="AZ120" i="2"/>
  <c r="AZ114" i="2"/>
  <c r="AY135" i="2"/>
  <c r="AY115" i="2"/>
  <c r="AW164" i="2"/>
  <c r="AY110" i="2"/>
  <c r="AY157" i="2" s="1"/>
  <c r="AY119" i="2"/>
  <c r="BF144" i="2"/>
  <c r="BE130" i="2"/>
  <c r="BE133" i="2" s="1"/>
  <c r="BE118" i="2"/>
  <c r="BG83" i="2"/>
  <c r="BF86" i="2"/>
  <c r="AW161" i="2"/>
  <c r="AW162" i="2" s="1"/>
  <c r="AZ113" i="2"/>
  <c r="BA129" i="2"/>
  <c r="BA143" i="2"/>
  <c r="BA146" i="2" s="1"/>
  <c r="BA153" i="2"/>
  <c r="BB82" i="2"/>
  <c r="BB185" i="2" s="1"/>
  <c r="BA94" i="2"/>
  <c r="BA103" i="2" s="1"/>
  <c r="BA104" i="2" s="1"/>
  <c r="AW189" i="2" l="1"/>
  <c r="AW188" i="2"/>
  <c r="AX188" i="2"/>
  <c r="AX189" i="2"/>
  <c r="AV166" i="2"/>
  <c r="AV167" i="2" s="1"/>
  <c r="BA134" i="2"/>
  <c r="AW163" i="2"/>
  <c r="AY138" i="2"/>
  <c r="BB85" i="2"/>
  <c r="BE106" i="2"/>
  <c r="BE101" i="2"/>
  <c r="BE105" i="2"/>
  <c r="BG95" i="2"/>
  <c r="AY148" i="2"/>
  <c r="AZ147" i="2"/>
  <c r="AZ149" i="2" s="1"/>
  <c r="BA88" i="2"/>
  <c r="BA89" i="2" s="1"/>
  <c r="BA120" i="2"/>
  <c r="BA114" i="2"/>
  <c r="AZ135" i="2"/>
  <c r="AY156" i="2"/>
  <c r="AY158" i="2" s="1"/>
  <c r="AY160" i="2" s="1"/>
  <c r="AY161" i="2" s="1"/>
  <c r="AY162" i="2" s="1"/>
  <c r="AY139" i="2"/>
  <c r="AX160" i="2"/>
  <c r="AZ115" i="2"/>
  <c r="AZ110" i="2"/>
  <c r="AZ157" i="2" s="1"/>
  <c r="AZ119" i="2"/>
  <c r="BF130" i="2"/>
  <c r="BF133" i="2" s="1"/>
  <c r="BG144" i="2"/>
  <c r="BF118" i="2"/>
  <c r="BH83" i="2"/>
  <c r="BG86" i="2"/>
  <c r="BB143" i="2"/>
  <c r="BB146" i="2" s="1"/>
  <c r="BB153" i="2"/>
  <c r="BB94" i="2"/>
  <c r="BB103" i="2" s="1"/>
  <c r="BB104" i="2" s="1"/>
  <c r="BB129" i="2"/>
  <c r="BC82" i="2"/>
  <c r="BC185" i="2" s="1"/>
  <c r="BA113" i="2"/>
  <c r="AW166" i="2" l="1"/>
  <c r="AW167" i="2" s="1"/>
  <c r="BB134" i="2"/>
  <c r="AY163" i="2"/>
  <c r="AZ138" i="2"/>
  <c r="BC85" i="2"/>
  <c r="BF106" i="2"/>
  <c r="BF101" i="2"/>
  <c r="BF105" i="2"/>
  <c r="BH95" i="2"/>
  <c r="AZ148" i="2"/>
  <c r="AZ139" i="2"/>
  <c r="AZ156" i="2"/>
  <c r="AZ158" i="2" s="1"/>
  <c r="AZ160" i="2" s="1"/>
  <c r="AZ161" i="2" s="1"/>
  <c r="AZ162" i="2" s="1"/>
  <c r="BA147" i="2"/>
  <c r="BA149" i="2" s="1"/>
  <c r="BA135" i="2"/>
  <c r="BB88" i="2"/>
  <c r="BB89" i="2" s="1"/>
  <c r="BB120" i="2"/>
  <c r="BB114" i="2"/>
  <c r="AX161" i="2"/>
  <c r="AX162" i="2" s="1"/>
  <c r="AY164" i="2"/>
  <c r="BA115" i="2"/>
  <c r="BA110" i="2"/>
  <c r="BA157" i="2" s="1"/>
  <c r="BA119" i="2"/>
  <c r="BG130" i="2"/>
  <c r="BG133" i="2" s="1"/>
  <c r="BH144" i="2"/>
  <c r="BG118" i="2"/>
  <c r="BI83" i="2"/>
  <c r="BH86" i="2"/>
  <c r="BC129" i="2"/>
  <c r="BC143" i="2"/>
  <c r="BC146" i="2" s="1"/>
  <c r="BD82" i="2"/>
  <c r="BD185" i="2" s="1"/>
  <c r="BC153" i="2"/>
  <c r="BC94" i="2"/>
  <c r="BC103" i="2" s="1"/>
  <c r="BC104" i="2" s="1"/>
  <c r="BB113" i="2"/>
  <c r="AY189" i="2" l="1"/>
  <c r="AY188" i="2"/>
  <c r="BC134" i="2"/>
  <c r="AY166" i="2"/>
  <c r="AY167" i="2" s="1"/>
  <c r="AX163" i="2"/>
  <c r="AZ163" i="2"/>
  <c r="BA138" i="2"/>
  <c r="BD85" i="2"/>
  <c r="BG106" i="2"/>
  <c r="BG101" i="2"/>
  <c r="BG105" i="2"/>
  <c r="BI95" i="2"/>
  <c r="BA156" i="2"/>
  <c r="BA158" i="2" s="1"/>
  <c r="BA164" i="2" s="1"/>
  <c r="BB147" i="2"/>
  <c r="BB149" i="2" s="1"/>
  <c r="BC114" i="2"/>
  <c r="BC120" i="2"/>
  <c r="BB135" i="2"/>
  <c r="BA139" i="2"/>
  <c r="BC88" i="2"/>
  <c r="BC89" i="2" s="1"/>
  <c r="BA148" i="2"/>
  <c r="AZ164" i="2"/>
  <c r="BB115" i="2"/>
  <c r="BB110" i="2"/>
  <c r="BB157" i="2" s="1"/>
  <c r="BB119" i="2"/>
  <c r="BI144" i="2"/>
  <c r="BH130" i="2"/>
  <c r="BH133" i="2" s="1"/>
  <c r="BJ83" i="2"/>
  <c r="BI86" i="2"/>
  <c r="BH118" i="2"/>
  <c r="BE82" i="2"/>
  <c r="BE185" i="2" s="1"/>
  <c r="BD153" i="2"/>
  <c r="BD94" i="2"/>
  <c r="BD103" i="2" s="1"/>
  <c r="BD104" i="2" s="1"/>
  <c r="BD129" i="2"/>
  <c r="BD143" i="2"/>
  <c r="BD146" i="2" s="1"/>
  <c r="BC113" i="2"/>
  <c r="AZ188" i="2" l="1"/>
  <c r="AZ189" i="2"/>
  <c r="BA189" i="2"/>
  <c r="BA188" i="2"/>
  <c r="AX166" i="2"/>
  <c r="AX167" i="2" s="1"/>
  <c r="BD134" i="2"/>
  <c r="AZ166" i="2"/>
  <c r="AZ167" i="2" s="1"/>
  <c r="BB156" i="2"/>
  <c r="BB158" i="2" s="1"/>
  <c r="BB160" i="2" s="1"/>
  <c r="BB161" i="2" s="1"/>
  <c r="BB162" i="2" s="1"/>
  <c r="BE85" i="2"/>
  <c r="BH106" i="2"/>
  <c r="BH101" i="2"/>
  <c r="BH105" i="2"/>
  <c r="BJ95" i="2"/>
  <c r="BB139" i="2"/>
  <c r="BB138" i="2"/>
  <c r="BB148" i="2"/>
  <c r="BC147" i="2"/>
  <c r="BC149" i="2" s="1"/>
  <c r="BD114" i="2"/>
  <c r="BD120" i="2"/>
  <c r="BD88" i="2"/>
  <c r="BD89" i="2" s="1"/>
  <c r="BC135" i="2"/>
  <c r="BA160" i="2"/>
  <c r="BA161" i="2" s="1"/>
  <c r="BA162" i="2" s="1"/>
  <c r="BC115" i="2"/>
  <c r="BC110" i="2"/>
  <c r="BC157" i="2" s="1"/>
  <c r="BC119" i="2"/>
  <c r="BI130" i="2"/>
  <c r="BI133" i="2" s="1"/>
  <c r="BJ144" i="2"/>
  <c r="BI118" i="2"/>
  <c r="BK83" i="2"/>
  <c r="BJ86" i="2"/>
  <c r="BD113" i="2"/>
  <c r="BF82" i="2"/>
  <c r="BF185" i="2" s="1"/>
  <c r="BE129" i="2"/>
  <c r="BE143" i="2"/>
  <c r="BE146" i="2" s="1"/>
  <c r="BE153" i="2"/>
  <c r="BE94" i="2"/>
  <c r="BE103" i="2" s="1"/>
  <c r="BE104" i="2" s="1"/>
  <c r="BE134" i="2" l="1"/>
  <c r="BB163" i="2"/>
  <c r="BA163" i="2"/>
  <c r="BC139" i="2"/>
  <c r="BF85" i="2"/>
  <c r="BI106" i="2"/>
  <c r="BI101" i="2"/>
  <c r="BI105" i="2"/>
  <c r="BK95" i="2"/>
  <c r="BC148" i="2"/>
  <c r="BC156" i="2"/>
  <c r="BC158" i="2" s="1"/>
  <c r="BC160" i="2" s="1"/>
  <c r="BC161" i="2" s="1"/>
  <c r="BC162" i="2" s="1"/>
  <c r="BC138" i="2"/>
  <c r="BD147" i="2"/>
  <c r="BE88" i="2"/>
  <c r="BD135" i="2"/>
  <c r="BE114" i="2"/>
  <c r="BE120" i="2"/>
  <c r="BB164" i="2"/>
  <c r="BD115" i="2"/>
  <c r="BD110" i="2"/>
  <c r="BD157" i="2" s="1"/>
  <c r="BD119" i="2"/>
  <c r="BJ130" i="2"/>
  <c r="BJ133" i="2" s="1"/>
  <c r="BK144" i="2"/>
  <c r="BJ118" i="2"/>
  <c r="BL83" i="2"/>
  <c r="BK86" i="2"/>
  <c r="BF153" i="2"/>
  <c r="BF143" i="2"/>
  <c r="BF146" i="2" s="1"/>
  <c r="BF94" i="2"/>
  <c r="BF103" i="2" s="1"/>
  <c r="BF104" i="2" s="1"/>
  <c r="BG82" i="2"/>
  <c r="BG185" i="2" s="1"/>
  <c r="BF129" i="2"/>
  <c r="BE113" i="2"/>
  <c r="BE147" i="2" l="1"/>
  <c r="BE149" i="2" s="1"/>
  <c r="BE89" i="2"/>
  <c r="BB189" i="2"/>
  <c r="BB188" i="2"/>
  <c r="BA166" i="2"/>
  <c r="BA167" i="2" s="1"/>
  <c r="BF134" i="2"/>
  <c r="BB166" i="2"/>
  <c r="BB167" i="2" s="1"/>
  <c r="BC163" i="2"/>
  <c r="BD139" i="2"/>
  <c r="BG85" i="2"/>
  <c r="BJ101" i="2"/>
  <c r="BJ106" i="2"/>
  <c r="BJ105" i="2"/>
  <c r="BL95" i="2"/>
  <c r="BD138" i="2"/>
  <c r="BD156" i="2"/>
  <c r="BD158" i="2" s="1"/>
  <c r="BD160" i="2" s="1"/>
  <c r="BD161" i="2" s="1"/>
  <c r="BD162" i="2" s="1"/>
  <c r="BF114" i="2"/>
  <c r="BF120" i="2"/>
  <c r="BF88" i="2"/>
  <c r="BF89" i="2" s="1"/>
  <c r="BE135" i="2"/>
  <c r="BD149" i="2"/>
  <c r="BD148" i="2"/>
  <c r="BC164" i="2"/>
  <c r="BE110" i="2"/>
  <c r="BE157" i="2" s="1"/>
  <c r="BE119" i="2"/>
  <c r="BE115" i="2"/>
  <c r="BL144" i="2"/>
  <c r="BK130" i="2"/>
  <c r="BK133" i="2" s="1"/>
  <c r="BM83" i="2"/>
  <c r="BL86" i="2"/>
  <c r="BK118" i="2"/>
  <c r="BF113" i="2"/>
  <c r="BG143" i="2"/>
  <c r="BG146" i="2" s="1"/>
  <c r="BG153" i="2"/>
  <c r="BG94" i="2"/>
  <c r="BG103" i="2" s="1"/>
  <c r="BG104" i="2" s="1"/>
  <c r="BH82" i="2"/>
  <c r="BH185" i="2" s="1"/>
  <c r="BG129" i="2"/>
  <c r="BE148" i="2" l="1"/>
  <c r="BC189" i="2"/>
  <c r="BC188" i="2"/>
  <c r="BG134" i="2"/>
  <c r="BC166" i="2"/>
  <c r="BC167" i="2" s="1"/>
  <c r="BD163" i="2"/>
  <c r="BE139" i="2"/>
  <c r="BH85" i="2"/>
  <c r="BK106" i="2"/>
  <c r="BK101" i="2"/>
  <c r="BK105" i="2"/>
  <c r="BM95" i="2"/>
  <c r="BF147" i="2"/>
  <c r="BE138" i="2"/>
  <c r="BE156" i="2"/>
  <c r="BE158" i="2" s="1"/>
  <c r="BE160" i="2" s="1"/>
  <c r="BE161" i="2" s="1"/>
  <c r="BE162" i="2" s="1"/>
  <c r="BG88" i="2"/>
  <c r="BG89" i="2" s="1"/>
  <c r="BG120" i="2"/>
  <c r="BG114" i="2"/>
  <c r="BF135" i="2"/>
  <c r="BD164" i="2"/>
  <c r="BF115" i="2"/>
  <c r="BF110" i="2"/>
  <c r="BF157" i="2" s="1"/>
  <c r="BF119" i="2"/>
  <c r="BL130" i="2"/>
  <c r="BL133" i="2" s="1"/>
  <c r="BM144" i="2"/>
  <c r="BL118" i="2"/>
  <c r="BN83" i="2"/>
  <c r="BM86" i="2"/>
  <c r="BH143" i="2"/>
  <c r="BH146" i="2" s="1"/>
  <c r="BH153" i="2"/>
  <c r="BI82" i="2"/>
  <c r="BI185" i="2" s="1"/>
  <c r="BH129" i="2"/>
  <c r="BH94" i="2"/>
  <c r="BH103" i="2" s="1"/>
  <c r="BH104" i="2" s="1"/>
  <c r="BG113" i="2"/>
  <c r="BD189" i="2" l="1"/>
  <c r="BD188" i="2"/>
  <c r="BH134" i="2"/>
  <c r="BD166" i="2"/>
  <c r="BD167" i="2" s="1"/>
  <c r="BE163" i="2"/>
  <c r="BF156" i="2"/>
  <c r="BF158" i="2" s="1"/>
  <c r="BF164" i="2" s="1"/>
  <c r="BI85" i="2"/>
  <c r="BL101" i="2"/>
  <c r="BL106" i="2"/>
  <c r="BL105" i="2"/>
  <c r="BN95" i="2"/>
  <c r="BF139" i="2"/>
  <c r="BF138" i="2"/>
  <c r="BG147" i="2"/>
  <c r="BH88" i="2"/>
  <c r="BH89" i="2" s="1"/>
  <c r="BG135" i="2"/>
  <c r="BH120" i="2"/>
  <c r="BH114" i="2"/>
  <c r="BF149" i="2"/>
  <c r="BF148" i="2"/>
  <c r="BE164" i="2"/>
  <c r="BG115" i="2"/>
  <c r="BG110" i="2"/>
  <c r="BG157" i="2" s="1"/>
  <c r="BG119" i="2"/>
  <c r="BN144" i="2"/>
  <c r="BM130" i="2"/>
  <c r="BM133" i="2" s="1"/>
  <c r="BO83" i="2"/>
  <c r="BN86" i="2"/>
  <c r="BM118" i="2"/>
  <c r="BH113" i="2"/>
  <c r="BI129" i="2"/>
  <c r="BI143" i="2"/>
  <c r="BI146" i="2" s="1"/>
  <c r="BJ82" i="2"/>
  <c r="BJ185" i="2" s="1"/>
  <c r="BI153" i="2"/>
  <c r="BI94" i="2"/>
  <c r="BI103" i="2" s="1"/>
  <c r="BI104" i="2" s="1"/>
  <c r="BF189" i="2" l="1"/>
  <c r="BF188" i="2"/>
  <c r="BE189" i="2"/>
  <c r="BE188" i="2"/>
  <c r="BI134" i="2"/>
  <c r="BE166" i="2"/>
  <c r="BE167" i="2" s="1"/>
  <c r="BG138" i="2"/>
  <c r="BJ85" i="2"/>
  <c r="BM106" i="2"/>
  <c r="BM101" i="2"/>
  <c r="BM105" i="2"/>
  <c r="BO95" i="2"/>
  <c r="BG156" i="2"/>
  <c r="BG158" i="2" s="1"/>
  <c r="BG164" i="2" s="1"/>
  <c r="BG139" i="2"/>
  <c r="BH147" i="2"/>
  <c r="BI88" i="2"/>
  <c r="BI89" i="2" s="1"/>
  <c r="BI120" i="2"/>
  <c r="BI114" i="2"/>
  <c r="BH135" i="2"/>
  <c r="BG149" i="2"/>
  <c r="BG148" i="2"/>
  <c r="BF160" i="2"/>
  <c r="BF161" i="2" s="1"/>
  <c r="BF162" i="2" s="1"/>
  <c r="BH115" i="2"/>
  <c r="BH110" i="2"/>
  <c r="BH157" i="2" s="1"/>
  <c r="BH119" i="2"/>
  <c r="BN130" i="2"/>
  <c r="BN133" i="2" s="1"/>
  <c r="BO144" i="2"/>
  <c r="BN118" i="2"/>
  <c r="BP83" i="2"/>
  <c r="BO86" i="2"/>
  <c r="BK82" i="2"/>
  <c r="BK185" i="2" s="1"/>
  <c r="BJ129" i="2"/>
  <c r="BJ143" i="2"/>
  <c r="BJ146" i="2" s="1"/>
  <c r="BJ153" i="2"/>
  <c r="BJ94" i="2"/>
  <c r="BJ103" i="2" s="1"/>
  <c r="BJ104" i="2" s="1"/>
  <c r="BI113" i="2"/>
  <c r="BG188" i="2" l="1"/>
  <c r="BG189" i="2"/>
  <c r="BJ134" i="2"/>
  <c r="BF163" i="2"/>
  <c r="BH156" i="2"/>
  <c r="BH158" i="2" s="1"/>
  <c r="BH164" i="2" s="1"/>
  <c r="BK85" i="2"/>
  <c r="BN106" i="2"/>
  <c r="BN101" i="2"/>
  <c r="BN105" i="2"/>
  <c r="BP95" i="2"/>
  <c r="BH139" i="2"/>
  <c r="BH138" i="2"/>
  <c r="BI147" i="2"/>
  <c r="BJ114" i="2"/>
  <c r="BJ120" i="2"/>
  <c r="BI135" i="2"/>
  <c r="BJ88" i="2"/>
  <c r="BJ89" i="2" s="1"/>
  <c r="BH149" i="2"/>
  <c r="BH148" i="2"/>
  <c r="BG160" i="2"/>
  <c r="BG161" i="2" s="1"/>
  <c r="BG162" i="2" s="1"/>
  <c r="BI115" i="2"/>
  <c r="BI110" i="2"/>
  <c r="BI157" i="2" s="1"/>
  <c r="BI119" i="2"/>
  <c r="BO130" i="2"/>
  <c r="BO133" i="2" s="1"/>
  <c r="BP144" i="2"/>
  <c r="BO118" i="2"/>
  <c r="BQ83" i="2"/>
  <c r="BP86" i="2"/>
  <c r="BK143" i="2"/>
  <c r="BK146" i="2" s="1"/>
  <c r="BK129" i="2"/>
  <c r="BL82" i="2"/>
  <c r="BL185" i="2" s="1"/>
  <c r="BK153" i="2"/>
  <c r="BK94" i="2"/>
  <c r="BK103" i="2" s="1"/>
  <c r="BK104" i="2" s="1"/>
  <c r="BJ113" i="2"/>
  <c r="BH189" i="2" l="1"/>
  <c r="BH188" i="2"/>
  <c r="BF166" i="2"/>
  <c r="BF167" i="2" s="1"/>
  <c r="BK134" i="2"/>
  <c r="BG163" i="2"/>
  <c r="BI138" i="2"/>
  <c r="BL85" i="2"/>
  <c r="BO106" i="2"/>
  <c r="BO101" i="2"/>
  <c r="BO105" i="2"/>
  <c r="BQ95" i="2"/>
  <c r="BI139" i="2"/>
  <c r="BI156" i="2"/>
  <c r="BI158" i="2" s="1"/>
  <c r="BI160" i="2" s="1"/>
  <c r="BI161" i="2" s="1"/>
  <c r="BI162" i="2" s="1"/>
  <c r="BJ147" i="2"/>
  <c r="BK114" i="2"/>
  <c r="BK120" i="2"/>
  <c r="BK88" i="2"/>
  <c r="BK89" i="2" s="1"/>
  <c r="BJ135" i="2"/>
  <c r="BI149" i="2"/>
  <c r="BI148" i="2"/>
  <c r="BH160" i="2"/>
  <c r="BH161" i="2" s="1"/>
  <c r="BH162" i="2" s="1"/>
  <c r="BJ115" i="2"/>
  <c r="BJ110" i="2"/>
  <c r="BJ157" i="2" s="1"/>
  <c r="BJ119" i="2"/>
  <c r="BQ144" i="2"/>
  <c r="BP130" i="2"/>
  <c r="BP133" i="2" s="1"/>
  <c r="BP118" i="2"/>
  <c r="BR83" i="2"/>
  <c r="BQ86" i="2"/>
  <c r="BM82" i="2"/>
  <c r="BM185" i="2" s="1"/>
  <c r="BL153" i="2"/>
  <c r="BL94" i="2"/>
  <c r="BL103" i="2" s="1"/>
  <c r="BL104" i="2" s="1"/>
  <c r="BL129" i="2"/>
  <c r="BL143" i="2"/>
  <c r="BL146" i="2" s="1"/>
  <c r="BK113" i="2"/>
  <c r="BG166" i="2" l="1"/>
  <c r="BG167" i="2" s="1"/>
  <c r="BL134" i="2"/>
  <c r="BI163" i="2"/>
  <c r="BH163" i="2"/>
  <c r="BJ156" i="2"/>
  <c r="BJ158" i="2" s="1"/>
  <c r="BJ160" i="2" s="1"/>
  <c r="BJ161" i="2" s="1"/>
  <c r="BJ162" i="2" s="1"/>
  <c r="BM85" i="2"/>
  <c r="BP106" i="2"/>
  <c r="BP101" i="2"/>
  <c r="BP105" i="2"/>
  <c r="BR95" i="2"/>
  <c r="BK147" i="2"/>
  <c r="BK135" i="2"/>
  <c r="BJ139" i="2"/>
  <c r="BJ138" i="2"/>
  <c r="BL88" i="2"/>
  <c r="BL89" i="2" s="1"/>
  <c r="BL114" i="2"/>
  <c r="BL120" i="2"/>
  <c r="BJ149" i="2"/>
  <c r="BJ148" i="2"/>
  <c r="BI164" i="2"/>
  <c r="BK115" i="2"/>
  <c r="BK110" i="2"/>
  <c r="BK157" i="2" s="1"/>
  <c r="BK119" i="2"/>
  <c r="BQ130" i="2"/>
  <c r="BQ133" i="2" s="1"/>
  <c r="BR144" i="2"/>
  <c r="BS83" i="2"/>
  <c r="BR86" i="2"/>
  <c r="BQ118" i="2"/>
  <c r="BL113" i="2"/>
  <c r="BN82" i="2"/>
  <c r="BN185" i="2" s="1"/>
  <c r="BM153" i="2"/>
  <c r="BM129" i="2"/>
  <c r="BM143" i="2"/>
  <c r="BM146" i="2" s="1"/>
  <c r="BM94" i="2"/>
  <c r="BM103" i="2" s="1"/>
  <c r="BM104" i="2" s="1"/>
  <c r="BI189" i="2" l="1"/>
  <c r="BI188" i="2"/>
  <c r="BH166" i="2"/>
  <c r="BH167" i="2" s="1"/>
  <c r="BM134" i="2"/>
  <c r="BI166" i="2"/>
  <c r="BI167" i="2" s="1"/>
  <c r="BJ163" i="2"/>
  <c r="BK139" i="2"/>
  <c r="BN85" i="2"/>
  <c r="BQ106" i="2"/>
  <c r="BQ101" i="2"/>
  <c r="BQ105" i="2"/>
  <c r="BS95" i="2"/>
  <c r="BK138" i="2"/>
  <c r="BK156" i="2"/>
  <c r="BK158" i="2" s="1"/>
  <c r="BK160" i="2" s="1"/>
  <c r="BK161" i="2" s="1"/>
  <c r="BK162" i="2" s="1"/>
  <c r="BL147" i="2"/>
  <c r="BM114" i="2"/>
  <c r="BM120" i="2"/>
  <c r="BL135" i="2"/>
  <c r="BM88" i="2"/>
  <c r="BM89" i="2" s="1"/>
  <c r="BK149" i="2"/>
  <c r="BK148" i="2"/>
  <c r="BJ164" i="2"/>
  <c r="BL115" i="2"/>
  <c r="BL110" i="2"/>
  <c r="BL157" i="2" s="1"/>
  <c r="BL119" i="2"/>
  <c r="BR130" i="2"/>
  <c r="BR133" i="2" s="1"/>
  <c r="BS144" i="2"/>
  <c r="BR118" i="2"/>
  <c r="BT83" i="2"/>
  <c r="BS86" i="2"/>
  <c r="BN153" i="2"/>
  <c r="BN94" i="2"/>
  <c r="BN103" i="2" s="1"/>
  <c r="BN104" i="2" s="1"/>
  <c r="BN129" i="2"/>
  <c r="BN143" i="2"/>
  <c r="BN146" i="2" s="1"/>
  <c r="BO82" i="2"/>
  <c r="BO185" i="2" s="1"/>
  <c r="BM113" i="2"/>
  <c r="BJ189" i="2" l="1"/>
  <c r="BJ188" i="2"/>
  <c r="BN134" i="2"/>
  <c r="BO85" i="2"/>
  <c r="BJ166" i="2"/>
  <c r="BJ167" i="2" s="1"/>
  <c r="BK163" i="2"/>
  <c r="BL156" i="2"/>
  <c r="BL158" i="2" s="1"/>
  <c r="BL160" i="2" s="1"/>
  <c r="BL161" i="2" s="1"/>
  <c r="BL162" i="2" s="1"/>
  <c r="BR106" i="2"/>
  <c r="BR101" i="2"/>
  <c r="BR105" i="2"/>
  <c r="BT95" i="2"/>
  <c r="BL138" i="2"/>
  <c r="BM147" i="2"/>
  <c r="BN88" i="2"/>
  <c r="BN89" i="2" s="1"/>
  <c r="BN120" i="2"/>
  <c r="BN114" i="2"/>
  <c r="BM135" i="2"/>
  <c r="BL139" i="2"/>
  <c r="BL149" i="2"/>
  <c r="BL148" i="2"/>
  <c r="BK164" i="2"/>
  <c r="BM115" i="2"/>
  <c r="BM110" i="2"/>
  <c r="BM157" i="2" s="1"/>
  <c r="BM119" i="2"/>
  <c r="BS130" i="2"/>
  <c r="BS133" i="2" s="1"/>
  <c r="BT144" i="2"/>
  <c r="BU83" i="2"/>
  <c r="BT86" i="2"/>
  <c r="BS118" i="2"/>
  <c r="BO143" i="2"/>
  <c r="BO146" i="2" s="1"/>
  <c r="BO153" i="2"/>
  <c r="BO94" i="2"/>
  <c r="BO103" i="2" s="1"/>
  <c r="BO104" i="2" s="1"/>
  <c r="BP82" i="2"/>
  <c r="BP185" i="2" s="1"/>
  <c r="BO129" i="2"/>
  <c r="BN113" i="2"/>
  <c r="BK188" i="2" l="1"/>
  <c r="BK189" i="2"/>
  <c r="BO134" i="2"/>
  <c r="BP85" i="2"/>
  <c r="BK166" i="2"/>
  <c r="BK167" i="2" s="1"/>
  <c r="BL163" i="2"/>
  <c r="BM156" i="2"/>
  <c r="BM158" i="2" s="1"/>
  <c r="BM160" i="2" s="1"/>
  <c r="BM161" i="2" s="1"/>
  <c r="BM162" i="2" s="1"/>
  <c r="BS106" i="2"/>
  <c r="BS101" i="2"/>
  <c r="BS105" i="2"/>
  <c r="BU95" i="2"/>
  <c r="BN147" i="2"/>
  <c r="BN135" i="2"/>
  <c r="BM139" i="2"/>
  <c r="BM138" i="2"/>
  <c r="BO88" i="2"/>
  <c r="BO89" i="2" s="1"/>
  <c r="BO120" i="2"/>
  <c r="BO114" i="2"/>
  <c r="BM149" i="2"/>
  <c r="BM148" i="2"/>
  <c r="BL164" i="2"/>
  <c r="BN115" i="2"/>
  <c r="BN110" i="2"/>
  <c r="BN157" i="2" s="1"/>
  <c r="BN119" i="2"/>
  <c r="BU144" i="2"/>
  <c r="BT130" i="2"/>
  <c r="BT133" i="2" s="1"/>
  <c r="BT118" i="2"/>
  <c r="BV83" i="2"/>
  <c r="BU86" i="2"/>
  <c r="BO113" i="2"/>
  <c r="BQ82" i="2"/>
  <c r="BQ185" i="2" s="1"/>
  <c r="BP129" i="2"/>
  <c r="BP143" i="2"/>
  <c r="BP146" i="2" s="1"/>
  <c r="BP153" i="2"/>
  <c r="BP94" i="2"/>
  <c r="BP103" i="2" s="1"/>
  <c r="BP104" i="2" s="1"/>
  <c r="BL188" i="2" l="1"/>
  <c r="BL189" i="2"/>
  <c r="BP134" i="2"/>
  <c r="BQ85" i="2"/>
  <c r="BL166" i="2"/>
  <c r="BL167" i="2" s="1"/>
  <c r="BM163" i="2"/>
  <c r="BN138" i="2"/>
  <c r="BT106" i="2"/>
  <c r="BT101" i="2"/>
  <c r="BT105" i="2"/>
  <c r="BV95" i="2"/>
  <c r="BN156" i="2"/>
  <c r="BN158" i="2" s="1"/>
  <c r="BN164" i="2" s="1"/>
  <c r="BN139" i="2"/>
  <c r="BN149" i="2"/>
  <c r="BN148" i="2"/>
  <c r="BO147" i="2"/>
  <c r="BO135" i="2"/>
  <c r="BP120" i="2"/>
  <c r="BP114" i="2"/>
  <c r="BP88" i="2"/>
  <c r="BP89" i="2" s="1"/>
  <c r="BM164" i="2"/>
  <c r="BO115" i="2"/>
  <c r="BO110" i="2"/>
  <c r="BO157" i="2" s="1"/>
  <c r="BO119" i="2"/>
  <c r="BU130" i="2"/>
  <c r="BU133" i="2" s="1"/>
  <c r="BV144" i="2"/>
  <c r="BU118" i="2"/>
  <c r="BW83" i="2"/>
  <c r="BV86" i="2"/>
  <c r="BP113" i="2"/>
  <c r="BQ143" i="2"/>
  <c r="BQ146" i="2" s="1"/>
  <c r="BQ94" i="2"/>
  <c r="BQ103" i="2" s="1"/>
  <c r="BQ104" i="2" s="1"/>
  <c r="BQ153" i="2"/>
  <c r="BR82" i="2"/>
  <c r="BR185" i="2" s="1"/>
  <c r="BQ129" i="2"/>
  <c r="BM189" i="2" l="1"/>
  <c r="BM188" i="2"/>
  <c r="BN189" i="2"/>
  <c r="BN188" i="2"/>
  <c r="BQ134" i="2"/>
  <c r="BR85" i="2"/>
  <c r="BO138" i="2"/>
  <c r="BM166" i="2"/>
  <c r="BM167" i="2" s="1"/>
  <c r="BU101" i="2"/>
  <c r="BU106" i="2"/>
  <c r="BU105" i="2"/>
  <c r="BW95" i="2"/>
  <c r="BO156" i="2"/>
  <c r="BO158" i="2" s="1"/>
  <c r="BO160" i="2" s="1"/>
  <c r="BO161" i="2" s="1"/>
  <c r="BO162" i="2" s="1"/>
  <c r="BO139" i="2"/>
  <c r="BP147" i="2"/>
  <c r="BQ88" i="2"/>
  <c r="BQ89" i="2" s="1"/>
  <c r="BQ120" i="2"/>
  <c r="BQ114" i="2"/>
  <c r="BP135" i="2"/>
  <c r="BO149" i="2"/>
  <c r="BO148" i="2"/>
  <c r="BN160" i="2"/>
  <c r="BN161" i="2" s="1"/>
  <c r="BN162" i="2" s="1"/>
  <c r="BP115" i="2"/>
  <c r="BP110" i="2"/>
  <c r="BP157" i="2" s="1"/>
  <c r="BP119" i="2"/>
  <c r="BV130" i="2"/>
  <c r="BV133" i="2" s="1"/>
  <c r="BW144" i="2"/>
  <c r="BX83" i="2"/>
  <c r="BX86" i="2" s="1"/>
  <c r="BW86" i="2"/>
  <c r="BV118" i="2"/>
  <c r="BR153" i="2"/>
  <c r="BR94" i="2"/>
  <c r="BR103" i="2" s="1"/>
  <c r="BR104" i="2" s="1"/>
  <c r="BR143" i="2"/>
  <c r="BR146" i="2" s="1"/>
  <c r="BR129" i="2"/>
  <c r="BS82" i="2"/>
  <c r="BS185" i="2" s="1"/>
  <c r="BQ113" i="2"/>
  <c r="B188" i="2" l="1"/>
  <c r="E22" i="2" s="1"/>
  <c r="B189" i="2"/>
  <c r="D22" i="2" s="1"/>
  <c r="BR134" i="2"/>
  <c r="BO163" i="2"/>
  <c r="BS85" i="2"/>
  <c r="BP156" i="2"/>
  <c r="BP158" i="2" s="1"/>
  <c r="BP160" i="2" s="1"/>
  <c r="BP161" i="2" s="1"/>
  <c r="BP162" i="2" s="1"/>
  <c r="BN163" i="2"/>
  <c r="BV101" i="2"/>
  <c r="BV106" i="2"/>
  <c r="BV105" i="2"/>
  <c r="BX95" i="2"/>
  <c r="BP138" i="2"/>
  <c r="BQ147" i="2"/>
  <c r="BR88" i="2"/>
  <c r="BR89" i="2" s="1"/>
  <c r="BQ135" i="2"/>
  <c r="BR114" i="2"/>
  <c r="BR120" i="2"/>
  <c r="BP139" i="2"/>
  <c r="BP149" i="2"/>
  <c r="BP148" i="2"/>
  <c r="BO164" i="2"/>
  <c r="BQ115" i="2"/>
  <c r="BQ110" i="2"/>
  <c r="BQ157" i="2" s="1"/>
  <c r="BQ119" i="2"/>
  <c r="BX144" i="2"/>
  <c r="BW130" i="2"/>
  <c r="BW133" i="2" s="1"/>
  <c r="BW118" i="2"/>
  <c r="BX118" i="2"/>
  <c r="BR113" i="2"/>
  <c r="BS94" i="2"/>
  <c r="BS103" i="2" s="1"/>
  <c r="BS104" i="2" s="1"/>
  <c r="BS129" i="2"/>
  <c r="BT82" i="2"/>
  <c r="BT185" i="2" s="1"/>
  <c r="BS143" i="2"/>
  <c r="BS146" i="2" s="1"/>
  <c r="BS153" i="2"/>
  <c r="BO189" i="2" l="1"/>
  <c r="BO188" i="2"/>
  <c r="BN166" i="2"/>
  <c r="BN167" i="2" s="1"/>
  <c r="BS134" i="2"/>
  <c r="BP163" i="2"/>
  <c r="BQ139" i="2"/>
  <c r="BO166" i="2"/>
  <c r="BO167" i="2" s="1"/>
  <c r="BT85" i="2"/>
  <c r="BW106" i="2"/>
  <c r="BW101" i="2"/>
  <c r="BW105" i="2"/>
  <c r="BQ138" i="2"/>
  <c r="BR147" i="2"/>
  <c r="BS88" i="2"/>
  <c r="BS89" i="2" s="1"/>
  <c r="BS114" i="2"/>
  <c r="BS120" i="2"/>
  <c r="BQ156" i="2"/>
  <c r="BQ158" i="2" s="1"/>
  <c r="BQ160" i="2" s="1"/>
  <c r="BQ161" i="2" s="1"/>
  <c r="BQ162" i="2" s="1"/>
  <c r="BR135" i="2"/>
  <c r="BQ149" i="2"/>
  <c r="BQ148" i="2"/>
  <c r="BR115" i="2"/>
  <c r="BP164" i="2"/>
  <c r="BR110" i="2"/>
  <c r="BR157" i="2" s="1"/>
  <c r="BR119" i="2"/>
  <c r="B118" i="2"/>
  <c r="E8" i="2" s="1"/>
  <c r="BX130" i="2"/>
  <c r="BX133" i="2" s="1"/>
  <c r="BS113" i="2"/>
  <c r="BT94" i="2"/>
  <c r="BT103" i="2" s="1"/>
  <c r="BT104" i="2" s="1"/>
  <c r="BT129" i="2"/>
  <c r="BT153" i="2"/>
  <c r="BU82" i="2"/>
  <c r="BU185" i="2" s="1"/>
  <c r="BT143" i="2"/>
  <c r="BT146" i="2" s="1"/>
  <c r="BP188" i="2" l="1"/>
  <c r="BP189" i="2"/>
  <c r="BT134" i="2"/>
  <c r="BR138" i="2"/>
  <c r="BP166" i="2"/>
  <c r="BP167" i="2" s="1"/>
  <c r="BQ163" i="2"/>
  <c r="BU85" i="2"/>
  <c r="BX106" i="2"/>
  <c r="BX101" i="2"/>
  <c r="B101" i="2" s="1"/>
  <c r="F9" i="2" s="1"/>
  <c r="BX105" i="2"/>
  <c r="BR156" i="2"/>
  <c r="BR158" i="2" s="1"/>
  <c r="BR160" i="2" s="1"/>
  <c r="BR161" i="2" s="1"/>
  <c r="BR162" i="2" s="1"/>
  <c r="BR139" i="2"/>
  <c r="BS147" i="2"/>
  <c r="BT88" i="2"/>
  <c r="BT89" i="2" s="1"/>
  <c r="BT114" i="2"/>
  <c r="BT120" i="2"/>
  <c r="BS135" i="2"/>
  <c r="BR149" i="2"/>
  <c r="BR148" i="2"/>
  <c r="BS115" i="2"/>
  <c r="BQ164" i="2"/>
  <c r="BS110" i="2"/>
  <c r="BS157" i="2" s="1"/>
  <c r="BS119" i="2"/>
  <c r="BT113" i="2"/>
  <c r="BU143" i="2"/>
  <c r="BU146" i="2" s="1"/>
  <c r="BU153" i="2"/>
  <c r="BU94" i="2"/>
  <c r="BU103" i="2" s="1"/>
  <c r="BU104" i="2" s="1"/>
  <c r="BU129" i="2"/>
  <c r="BV82" i="2"/>
  <c r="BV185" i="2" s="1"/>
  <c r="BQ189" i="2" l="1"/>
  <c r="BQ188" i="2"/>
  <c r="BU134" i="2"/>
  <c r="BR163" i="2"/>
  <c r="BS138" i="2"/>
  <c r="BQ166" i="2"/>
  <c r="BQ167" i="2" s="1"/>
  <c r="BV85" i="2"/>
  <c r="B106" i="2"/>
  <c r="F10" i="2" s="1"/>
  <c r="BS156" i="2"/>
  <c r="BS158" i="2" s="1"/>
  <c r="BS164" i="2" s="1"/>
  <c r="BS139" i="2"/>
  <c r="BT147" i="2"/>
  <c r="BU88" i="2"/>
  <c r="BU89" i="2" s="1"/>
  <c r="BU114" i="2"/>
  <c r="BU120" i="2"/>
  <c r="BT135" i="2"/>
  <c r="BS149" i="2"/>
  <c r="BS148" i="2"/>
  <c r="BR164" i="2"/>
  <c r="BT115" i="2"/>
  <c r="BT110" i="2"/>
  <c r="BT157" i="2" s="1"/>
  <c r="BT119" i="2"/>
  <c r="BV129" i="2"/>
  <c r="BV153" i="2"/>
  <c r="BW82" i="2"/>
  <c r="BW185" i="2" s="1"/>
  <c r="BV143" i="2"/>
  <c r="BV146" i="2" s="1"/>
  <c r="BV94" i="2"/>
  <c r="BV103" i="2" s="1"/>
  <c r="BV104" i="2" s="1"/>
  <c r="BU113" i="2"/>
  <c r="BR189" i="2" l="1"/>
  <c r="BR188" i="2"/>
  <c r="BS189" i="2"/>
  <c r="BS188" i="2"/>
  <c r="BV134" i="2"/>
  <c r="F11" i="2"/>
  <c r="BW85" i="2"/>
  <c r="BT138" i="2"/>
  <c r="BR166" i="2"/>
  <c r="BR167" i="2" s="1"/>
  <c r="BT156" i="2"/>
  <c r="BT158" i="2" s="1"/>
  <c r="BT160" i="2" s="1"/>
  <c r="BT161" i="2" s="1"/>
  <c r="BT162" i="2" s="1"/>
  <c r="BT139" i="2"/>
  <c r="BU147" i="2"/>
  <c r="BV120" i="2"/>
  <c r="BV114" i="2"/>
  <c r="BV88" i="2"/>
  <c r="BV89" i="2" s="1"/>
  <c r="BU135" i="2"/>
  <c r="BT149" i="2"/>
  <c r="BT148" i="2"/>
  <c r="BU115" i="2"/>
  <c r="BS160" i="2"/>
  <c r="BS161" i="2" s="1"/>
  <c r="BS162" i="2" s="1"/>
  <c r="BU110" i="2"/>
  <c r="BU157" i="2" s="1"/>
  <c r="BU119" i="2"/>
  <c r="BW94" i="2"/>
  <c r="BW103" i="2" s="1"/>
  <c r="BW104" i="2" s="1"/>
  <c r="BX82" i="2"/>
  <c r="BX185" i="2" s="1"/>
  <c r="BW129" i="2"/>
  <c r="BW153" i="2"/>
  <c r="BW143" i="2"/>
  <c r="BW146" i="2" s="1"/>
  <c r="BV113" i="2"/>
  <c r="BW134" i="2" l="1"/>
  <c r="BS163" i="2"/>
  <c r="BX85" i="2"/>
  <c r="BU139" i="2"/>
  <c r="BT163" i="2"/>
  <c r="BU138" i="2"/>
  <c r="BU156" i="2"/>
  <c r="BU158" i="2" s="1"/>
  <c r="BU164" i="2" s="1"/>
  <c r="BV147" i="2"/>
  <c r="BW88" i="2"/>
  <c r="BW89" i="2" s="1"/>
  <c r="BW120" i="2"/>
  <c r="BW114" i="2"/>
  <c r="BV135" i="2"/>
  <c r="BU149" i="2"/>
  <c r="BU148" i="2"/>
  <c r="BT164" i="2"/>
  <c r="BV115" i="2"/>
  <c r="BV110" i="2"/>
  <c r="BV157" i="2" s="1"/>
  <c r="BV119" i="2"/>
  <c r="BW113" i="2"/>
  <c r="BX129" i="2"/>
  <c r="BX94" i="2"/>
  <c r="BX103" i="2" s="1"/>
  <c r="BX104" i="2" s="1"/>
  <c r="BX143" i="2"/>
  <c r="BX146" i="2" s="1"/>
  <c r="BX153" i="2"/>
  <c r="BU189" i="2" l="1"/>
  <c r="BU188" i="2"/>
  <c r="BT189" i="2"/>
  <c r="BT188" i="2"/>
  <c r="BS166" i="2"/>
  <c r="BS167" i="2" s="1"/>
  <c r="BX134" i="2"/>
  <c r="BT166" i="2"/>
  <c r="BT167" i="2" s="1"/>
  <c r="BV138" i="2"/>
  <c r="BW147" i="2"/>
  <c r="BV139" i="2"/>
  <c r="BV156" i="2"/>
  <c r="BV158" i="2" s="1"/>
  <c r="BV160" i="2" s="1"/>
  <c r="BV161" i="2" s="1"/>
  <c r="BV162" i="2" s="1"/>
  <c r="BX120" i="2"/>
  <c r="B120" i="2" s="1"/>
  <c r="E10" i="2" s="1"/>
  <c r="BX114" i="2"/>
  <c r="B114" i="2" s="1"/>
  <c r="D9" i="2" s="1"/>
  <c r="BX88" i="2"/>
  <c r="BW135" i="2"/>
  <c r="BV149" i="2"/>
  <c r="BV148" i="2"/>
  <c r="BU160" i="2"/>
  <c r="BU161" i="2" s="1"/>
  <c r="BU162" i="2" s="1"/>
  <c r="BW115" i="2"/>
  <c r="BW110" i="2"/>
  <c r="BW157" i="2" s="1"/>
  <c r="BW119" i="2"/>
  <c r="BX113" i="2"/>
  <c r="B113" i="2" s="1"/>
  <c r="D8" i="2" s="1"/>
  <c r="B88" i="2" l="1"/>
  <c r="D12" i="2" s="1"/>
  <c r="F12" i="2" s="1"/>
  <c r="BX89" i="2"/>
  <c r="B89" i="2" s="1"/>
  <c r="E12" i="2" s="1"/>
  <c r="BW139" i="2"/>
  <c r="BV163" i="2"/>
  <c r="BU163" i="2"/>
  <c r="BX147" i="2"/>
  <c r="BW156" i="2"/>
  <c r="BW158" i="2" s="1"/>
  <c r="BW138" i="2"/>
  <c r="BX135" i="2"/>
  <c r="BW149" i="2"/>
  <c r="BW148" i="2"/>
  <c r="BX115" i="2"/>
  <c r="B115" i="2" s="1"/>
  <c r="D10" i="2" s="1"/>
  <c r="BV164" i="2"/>
  <c r="BX110" i="2"/>
  <c r="B110" i="2" s="1"/>
  <c r="BX119" i="2"/>
  <c r="B119" i="2" s="1"/>
  <c r="E9" i="2" s="1"/>
  <c r="D14" i="2" l="1"/>
  <c r="D15" i="2"/>
  <c r="D26" i="2"/>
  <c r="D13" i="2"/>
  <c r="F13" i="2"/>
  <c r="F14" i="2"/>
  <c r="F15" i="2"/>
  <c r="F16" i="2"/>
  <c r="BV188" i="2"/>
  <c r="BV189" i="2"/>
  <c r="BU166" i="2"/>
  <c r="BU167" i="2" s="1"/>
  <c r="D11" i="2"/>
  <c r="D16" i="2" s="1"/>
  <c r="BV166" i="2"/>
  <c r="BV167" i="2" s="1"/>
  <c r="B135" i="2"/>
  <c r="F20" i="2" s="1"/>
  <c r="F24" i="2" s="1"/>
  <c r="E11" i="2"/>
  <c r="BX149" i="2"/>
  <c r="BX148" i="2"/>
  <c r="BX156" i="2"/>
  <c r="B156" i="2" s="1"/>
  <c r="BX139" i="2"/>
  <c r="B139" i="2" s="1"/>
  <c r="E20" i="2" s="1"/>
  <c r="BX138" i="2"/>
  <c r="B138" i="2" s="1"/>
  <c r="D20" i="2" s="1"/>
  <c r="BX157" i="2"/>
  <c r="BW160" i="2"/>
  <c r="BW164" i="2"/>
  <c r="BW189" i="2" l="1"/>
  <c r="BW188" i="2"/>
  <c r="D24" i="2"/>
  <c r="E16" i="2"/>
  <c r="E26" i="2"/>
  <c r="E13" i="2"/>
  <c r="E15" i="2"/>
  <c r="E24" i="2"/>
  <c r="E14" i="2"/>
  <c r="B157" i="2"/>
  <c r="BX158" i="2"/>
  <c r="BW161" i="2"/>
  <c r="BW162" i="2" s="1"/>
  <c r="B158" i="2" l="1"/>
  <c r="BX164" i="2"/>
  <c r="BX160" i="2"/>
  <c r="BW163" i="2"/>
  <c r="BX188" i="2" l="1"/>
  <c r="BX189" i="2"/>
  <c r="B164" i="2"/>
  <c r="F22" i="2" s="1"/>
  <c r="F26" i="2" s="1"/>
  <c r="BX161" i="2"/>
  <c r="BX162" i="2" s="1"/>
  <c r="B160" i="2"/>
  <c r="BW166" i="2"/>
  <c r="B162" i="2" l="1"/>
  <c r="BX163" i="2"/>
  <c r="BW167" i="2"/>
  <c r="BX166" i="2" l="1"/>
  <c r="B163" i="2"/>
  <c r="BX167" i="2" l="1"/>
  <c r="T33" i="2"/>
  <c r="T30" i="2"/>
  <c r="T72" i="2"/>
  <c r="N72" i="2"/>
  <c r="M147" i="2"/>
  <c r="T29" i="2"/>
  <c r="T31" i="2"/>
  <c r="T73" i="2"/>
  <c r="R147" i="2"/>
  <c r="Q147" i="2"/>
  <c r="O147" i="2"/>
  <c r="J147" i="2"/>
  <c r="L147" i="2"/>
  <c r="F147" i="2"/>
  <c r="K147" i="2"/>
  <c r="K149" i="2" s="1"/>
  <c r="H147" i="2"/>
  <c r="H148" i="2" s="1"/>
  <c r="G147" i="2"/>
  <c r="I147" i="2"/>
  <c r="N147" i="2"/>
  <c r="S147" i="2"/>
  <c r="T32" i="2"/>
  <c r="P147" i="2"/>
  <c r="T147" i="2"/>
  <c r="T148" i="2" s="1"/>
  <c r="N73" i="2"/>
  <c r="D147" i="2"/>
  <c r="E146" i="2" l="1"/>
  <c r="E147" i="2" s="1"/>
  <c r="E149" i="2" s="1"/>
  <c r="J148" i="2"/>
  <c r="J149" i="2"/>
  <c r="G166" i="2"/>
  <c r="G167" i="2" s="1"/>
  <c r="G149" i="2"/>
  <c r="G148" i="2"/>
  <c r="O148" i="2"/>
  <c r="O149" i="2"/>
  <c r="O166" i="2"/>
  <c r="O167" i="2" s="1"/>
  <c r="P149" i="2"/>
  <c r="P148" i="2"/>
  <c r="P166" i="2"/>
  <c r="P167" i="2" s="1"/>
  <c r="Q149" i="2"/>
  <c r="Q148" i="2"/>
  <c r="Q166" i="2"/>
  <c r="Q167" i="2" s="1"/>
  <c r="F148" i="2"/>
  <c r="F166" i="2"/>
  <c r="F167" i="2" s="1"/>
  <c r="F149" i="2"/>
  <c r="I148" i="2"/>
  <c r="I149" i="2"/>
  <c r="I166" i="2"/>
  <c r="I167" i="2" s="1"/>
  <c r="M166" i="2"/>
  <c r="M167" i="2" s="1"/>
  <c r="M148" i="2"/>
  <c r="M149" i="2"/>
  <c r="R148" i="2"/>
  <c r="R149" i="2"/>
  <c r="R166" i="2"/>
  <c r="R167" i="2" s="1"/>
  <c r="D149" i="2"/>
  <c r="D148" i="2"/>
  <c r="D166" i="2"/>
  <c r="S148" i="2"/>
  <c r="S166" i="2"/>
  <c r="S167" i="2" s="1"/>
  <c r="S149" i="2"/>
  <c r="L149" i="2"/>
  <c r="L166" i="2"/>
  <c r="L167" i="2" s="1"/>
  <c r="L148" i="2"/>
  <c r="N148" i="2"/>
  <c r="N166" i="2"/>
  <c r="N167" i="2" s="1"/>
  <c r="N149" i="2"/>
  <c r="J166" i="2"/>
  <c r="J167" i="2" s="1"/>
  <c r="K148" i="2"/>
  <c r="H166" i="2"/>
  <c r="H167" i="2" s="1"/>
  <c r="K166" i="2"/>
  <c r="K167" i="2" s="1"/>
  <c r="T166" i="2"/>
  <c r="T167" i="2" s="1"/>
  <c r="H149" i="2"/>
  <c r="T149" i="2"/>
  <c r="B147" i="2" l="1"/>
  <c r="F21" i="2" s="1"/>
  <c r="F25" i="2" s="1"/>
  <c r="E148" i="2"/>
  <c r="B148" i="2" s="1"/>
  <c r="D21" i="2" s="1"/>
  <c r="D23" i="2" s="1"/>
  <c r="E166" i="2"/>
  <c r="E167" i="2" s="1"/>
  <c r="D167" i="2"/>
  <c r="B149" i="2"/>
  <c r="E21" i="2" s="1"/>
  <c r="E25" i="2" l="1"/>
  <c r="E23" i="2"/>
  <c r="D25" i="2"/>
  <c r="B167" i="2"/>
  <c r="D4" i="2" s="1"/>
  <c r="F23" i="2"/>
  <c r="F27" i="2" s="1"/>
  <c r="B166" i="2"/>
  <c r="D27" i="2"/>
  <c r="F29" i="2" l="1"/>
  <c r="F30" i="2" s="1"/>
  <c r="E29" i="2"/>
  <c r="E30" i="2" s="1"/>
  <c r="E27" i="2"/>
  <c r="D29" i="2"/>
  <c r="D30" i="2" s="1"/>
</calcChain>
</file>

<file path=xl/sharedStrings.xml><?xml version="1.0" encoding="utf-8"?>
<sst xmlns="http://schemas.openxmlformats.org/spreadsheetml/2006/main" count="417" uniqueCount="174">
  <si>
    <t>years</t>
  </si>
  <si>
    <t>Inputs</t>
  </si>
  <si>
    <t>Category</t>
  </si>
  <si>
    <t>Value</t>
  </si>
  <si>
    <t>Financial Inputs</t>
  </si>
  <si>
    <t>Capitalization (fequity)</t>
  </si>
  <si>
    <t>Escalation Rate</t>
  </si>
  <si>
    <t>Project Contingency Factor</t>
  </si>
  <si>
    <t>Starting Calendar Year for Project</t>
  </si>
  <si>
    <t>Starting Project Year for Operations</t>
  </si>
  <si>
    <t>year number</t>
  </si>
  <si>
    <t>Ending Project Year for Operations</t>
  </si>
  <si>
    <t>Last Project Year for Depreciation</t>
  </si>
  <si>
    <t>Last Project Year for Lending</t>
  </si>
  <si>
    <t>tonnes/yr</t>
  </si>
  <si>
    <t>Facility Inputs</t>
  </si>
  <si>
    <t>Market Inputs</t>
  </si>
  <si>
    <t>Summary of Costs</t>
  </si>
  <si>
    <t>Present Value</t>
  </si>
  <si>
    <t>Capital Costs</t>
  </si>
  <si>
    <t>Operating Expenses</t>
  </si>
  <si>
    <t>Total Costs</t>
  </si>
  <si>
    <t>Revenues</t>
  </si>
  <si>
    <t>Net Present Value (NPV) of Cash to Owners</t>
  </si>
  <si>
    <t>Real</t>
  </si>
  <si>
    <t>Note</t>
  </si>
  <si>
    <t>The color scheme for cells has the following meaning.</t>
  </si>
  <si>
    <t xml:space="preserve"> </t>
  </si>
  <si>
    <t>Inputs (i.e., numbers or text)</t>
  </si>
  <si>
    <t>Inputs linked from another sheet</t>
  </si>
  <si>
    <t>Engineering Cost Inputs</t>
  </si>
  <si>
    <t>Total Real Costs</t>
  </si>
  <si>
    <t>Percent in Year 1</t>
  </si>
  <si>
    <t>Percent in Year 2</t>
  </si>
  <si>
    <t>Real Annual Costs</t>
  </si>
  <si>
    <t>Escalation and Discounting Factors</t>
  </si>
  <si>
    <t>This column contains row sums, where applicable.</t>
  </si>
  <si>
    <t>Calendar Year</t>
  </si>
  <si>
    <t>Project Year</t>
  </si>
  <si>
    <t>Escalated Costs</t>
  </si>
  <si>
    <t xml:space="preserve">Depreciation </t>
  </si>
  <si>
    <t>Depreciation Schedule</t>
  </si>
  <si>
    <t>Discounted Cash Flow for Levelized Capital Structure</t>
  </si>
  <si>
    <t>Escalated Revenues</t>
  </si>
  <si>
    <t>Capital Expenses</t>
  </si>
  <si>
    <t>Discounted Costs (only used for reporting purposes)</t>
  </si>
  <si>
    <t>Capital Expenses, Operating Expenses, and Depreciation</t>
  </si>
  <si>
    <t>Facility Number</t>
  </si>
  <si>
    <t>Facility Type</t>
  </si>
  <si>
    <t>MACRS 5-year</t>
  </si>
  <si>
    <t>Tax Credits</t>
  </si>
  <si>
    <t>This analysis assumes that the equity owners can fully monetize the value of the tax credits</t>
  </si>
  <si>
    <t>Free cash flow to equity = net cash income from capture facility after tax + tax credit value + tax loss value</t>
  </si>
  <si>
    <t>Transport Expenses</t>
  </si>
  <si>
    <t>Financial analysis assumptions:</t>
  </si>
  <si>
    <t>Assume that the project owners can fully use the net operating losses from the capture project to offset other income</t>
  </si>
  <si>
    <t>Real and Discounted Revenues (only used for reporting purposes)</t>
  </si>
  <si>
    <t>Assumptions regarding value of tax losses:</t>
  </si>
  <si>
    <t>Instructions:</t>
  </si>
  <si>
    <t>MW</t>
  </si>
  <si>
    <t>Red</t>
  </si>
  <si>
    <t>Total Benefits</t>
  </si>
  <si>
    <t>Total Benefits - Total Costs</t>
  </si>
  <si>
    <t>Current 45Q</t>
  </si>
  <si>
    <t>2020$</t>
  </si>
  <si>
    <t>Summary of Benefits</t>
  </si>
  <si>
    <t>Total Benefits per Tonne CO2 Captured</t>
  </si>
  <si>
    <t>2020 $/tonne</t>
  </si>
  <si>
    <t>2020$/yr</t>
  </si>
  <si>
    <t>Stage Two Starting Year</t>
  </si>
  <si>
    <t>Orange</t>
  </si>
  <si>
    <t>Project Expenses (operating expenses or Opex) in 2020 $</t>
  </si>
  <si>
    <t>EBIT = revenue - operating expense - transport expense - depreciation expense</t>
  </si>
  <si>
    <t>EBIAT = revenue - operating expense - transport expense - depreciation expense - taxes(r,o,t,d)</t>
  </si>
  <si>
    <t>This analysis assumes that the equity owners can use the depreciation and operating losses to offset tax on other income</t>
  </si>
  <si>
    <t>FCF = revenue - opex - depreciation - taxes(r,o,t,d) + depreciation + tax credit value + tax offset value = revenue - opex - taxes(r,o,t,d) + tax credit value + tax offset value</t>
  </si>
  <si>
    <t>NPV in 2020 $</t>
  </si>
  <si>
    <t>Sum of NPV in 2020 $</t>
  </si>
  <si>
    <t>Yellow</t>
  </si>
  <si>
    <t>Green</t>
  </si>
  <si>
    <t>Tax Offset in Other Income</t>
  </si>
  <si>
    <t>Capital Costs per Tonne CO2 Captured</t>
  </si>
  <si>
    <t>Operating Expenses per Tonne CO2 Captured</t>
  </si>
  <si>
    <t>Transport Expenses per Tonne CO2 Captured</t>
  </si>
  <si>
    <t>Total Costs per Tonne CO2 Captured</t>
  </si>
  <si>
    <t>Revenue per Tonne CO2 Captured</t>
  </si>
  <si>
    <t>Tax Credits per Tonne CO2 Captured</t>
  </si>
  <si>
    <t>Tax Offset in Other Income per Tonne CO2 Captured</t>
  </si>
  <si>
    <t>per Tonne CO2 Captured</t>
  </si>
  <si>
    <t>Nominal (Escalated) Value</t>
  </si>
  <si>
    <t>2020 $/kW</t>
  </si>
  <si>
    <t>Facility ID</t>
  </si>
  <si>
    <t>CO2 Transport Tariff</t>
  </si>
  <si>
    <t>Outputs from macro</t>
  </si>
  <si>
    <t>Allam Cycle Power Generator Nameplate Capacity</t>
  </si>
  <si>
    <t>Allam Cycle Power Generator Capital Cost Differential</t>
  </si>
  <si>
    <t>Cost of Equity (minimum internal rate of return on equity)</t>
  </si>
  <si>
    <t>Tax Rate</t>
  </si>
  <si>
    <t>Depreciation Method</t>
  </si>
  <si>
    <t>Recovery Period for Depreciation</t>
  </si>
  <si>
    <t>Weighted Average Cost of Capital</t>
  </si>
  <si>
    <t>Unit</t>
  </si>
  <si>
    <t>Real Costs (only used for reporting purposes)</t>
  </si>
  <si>
    <t>Only for reporting purposes</t>
  </si>
  <si>
    <t>Summary for an Individual Generator</t>
  </si>
  <si>
    <t>Allam Cycle Power Generator CO2 Captured</t>
  </si>
  <si>
    <t>CO2 Captured (tonne/yr)</t>
  </si>
  <si>
    <t>Capital Cost Differential (2020 $/kW)</t>
  </si>
  <si>
    <t>Pipeline Tariff 20xx $ per Tonne</t>
  </si>
  <si>
    <t>Paste the list of generators and the associated pipeline tariffs for a particular scenario in "Facility Tariffs" worksheet</t>
  </si>
  <si>
    <t>Read each generator's net present value and the system-wide net present value in "Facility Databank" worksheet</t>
  </si>
  <si>
    <t>Reference:</t>
  </si>
  <si>
    <t>Total CO2 Captured During Financial Lifetime (Tonne)</t>
  </si>
  <si>
    <t>Duration of Construction</t>
  </si>
  <si>
    <t>Duration of Operation</t>
  </si>
  <si>
    <t>Capture System Capital Cost</t>
  </si>
  <si>
    <t>Total Capital Expenses (before contingencies)</t>
  </si>
  <si>
    <t>Capture System Operating Cost</t>
  </si>
  <si>
    <t>Total Annual Operating Expenses</t>
  </si>
  <si>
    <t>Escalation Schedule</t>
  </si>
  <si>
    <t>Factor for Dividing Escal. Quantities to Yield Pres. Value Using WACC</t>
  </si>
  <si>
    <t>CO2 Captured Each Year (tonnes)</t>
  </si>
  <si>
    <t>Key Years</t>
  </si>
  <si>
    <t>Escalated CO2 Transport Tariff in Key Years</t>
  </si>
  <si>
    <t xml:space="preserve">CO2 Transport Tariff </t>
  </si>
  <si>
    <t xml:space="preserve">CO2 Transport Cost </t>
  </si>
  <si>
    <t>Total Investment (capital expenses or Capex) in Escalated $</t>
  </si>
  <si>
    <t>Total Investment (capital expenses or Capex) with Project Contingency in Escalated $</t>
  </si>
  <si>
    <t>Project Expenses (operating expenses+ transport expenses) in Escalated $</t>
  </si>
  <si>
    <t>Total Investment (capital expenses or Capex) with Project Contingency in 2020 $</t>
  </si>
  <si>
    <t>Total Investment (capital expenses or Capex) with Proj. Contingency in Present Value $</t>
  </si>
  <si>
    <t>Project Expenses (operating expenses or Opex) in Present Value $</t>
  </si>
  <si>
    <t>Transport Expenses in Present Value $</t>
  </si>
  <si>
    <t>Total Capital Costs with Project Contingency in Escalated Dollars</t>
  </si>
  <si>
    <t>Depreciation Factors (MACRS 5-year)</t>
  </si>
  <si>
    <t>Operating Period</t>
  </si>
  <si>
    <t>Escalated CO2 Sales Price or Escalated Saline Storage Cost ($/tonne)</t>
  </si>
  <si>
    <t>Revenues from Selling CO2 for EOR or Expenses of Saline Storage in Escalated $</t>
  </si>
  <si>
    <t>12-year Tax Credit Schedule with Escalation ($/tonne)</t>
  </si>
  <si>
    <t>Value of Tax Credit for Capturing and Storing CO2 in Escalated $</t>
  </si>
  <si>
    <t>Value of Tax Credit for Capturing and Storing CO2 in Real $</t>
  </si>
  <si>
    <t>Value of Tax Credit for Capturing and Storing CO2 in Present Value $</t>
  </si>
  <si>
    <t>Project Expenses (operating expenses + transport expenses) in Escalated $</t>
  </si>
  <si>
    <t>Net Revenue in Escalated $</t>
  </si>
  <si>
    <t>Depreciation in Escalated $</t>
  </si>
  <si>
    <t>Earnings Before Interest and Taxes (EBIT) in Escalated $</t>
  </si>
  <si>
    <t>Taxable Income in Escalated $</t>
  </si>
  <si>
    <t>Taxes Paid in Escalated $</t>
  </si>
  <si>
    <t>Earnings Before Interest and After Taxes in Escalated $</t>
  </si>
  <si>
    <t>Tax Offset Value in Escalated $</t>
  </si>
  <si>
    <t>Capex in Escalated $</t>
  </si>
  <si>
    <t>Free Cash Flow to Equity in Escalated $</t>
  </si>
  <si>
    <t>Free Cash Flow to Equity in Present Value $ (discounted using WACC)</t>
  </si>
  <si>
    <t>Assume that these losses are used in the year that they are made, and therefore losses are not carried forward for the capture project</t>
  </si>
  <si>
    <t>Tax Offset in Other Income in Present Value $</t>
  </si>
  <si>
    <t>Tax Offset in Other Income in Real $</t>
  </si>
  <si>
    <t>Notes</t>
  </si>
  <si>
    <r>
      <t xml:space="preserve">Edwards, R. W. J.; Celia, M. A. Infrastructure to enable deployment of carbon capture, utilization, and storage in the United States. </t>
    </r>
    <r>
      <rPr>
        <i/>
        <sz val="12"/>
        <color theme="1"/>
        <rFont val="Calibri"/>
        <family val="2"/>
        <scheme val="minor"/>
      </rPr>
      <t xml:space="preserve">Proc. Natl. Acad. Sci. U.S.A. </t>
    </r>
    <r>
      <rPr>
        <b/>
        <sz val="12"/>
        <color theme="1"/>
        <rFont val="Calibri"/>
        <family val="2"/>
        <scheme val="minor"/>
      </rPr>
      <t>2018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115</t>
    </r>
    <r>
      <rPr>
        <sz val="12"/>
        <color theme="1"/>
        <rFont val="Calibri"/>
        <family val="2"/>
        <scheme val="minor"/>
      </rPr>
      <t xml:space="preserve"> (38), E8815–E8824.</t>
    </r>
  </si>
  <si>
    <t>Author: Yiheng Tao, May 2020, yihengt@princeton.edu, based on Capture Facility Financial Model in Edwards and Celia (2018)</t>
  </si>
  <si>
    <t>CO2 Captured Each Year Weighted by Discount Rates (tonnes)</t>
  </si>
  <si>
    <t>information needed from "Facility Databank" and "Facility Tariffs" worksheets, and calculates net present value for individual generators</t>
  </si>
  <si>
    <t>Key Year</t>
  </si>
  <si>
    <t>Paste the list of generators and the associated information in "Facility Databank" worksheet</t>
  </si>
  <si>
    <t>Change parameters in "Main" worksheet</t>
  </si>
  <si>
    <t xml:space="preserve">Click "Run" in "Main" worksheet. The macro goes through the list of generators sequentially, automatically looks up </t>
  </si>
  <si>
    <t>CO2 Sales Price (in phase 1)</t>
  </si>
  <si>
    <t>CO2 Saline Storage Cost (in phase 2)</t>
  </si>
  <si>
    <t>Revenue from CO2-EOR and/or Saline Storage Expense</t>
  </si>
  <si>
    <t>Revenues from Selling CO2 for EOR and/or Expenses of Saline Storage in Real $</t>
  </si>
  <si>
    <t>Revenues from Selling CO2 for EOR and/or Expenses of Saline Storage in Pres. Value $</t>
  </si>
  <si>
    <t>Transport Expenses in 2020 $</t>
  </si>
  <si>
    <t>Revenues from Selling CO2 for EOR and/or Expenses of Saline Storage in Escalated $</t>
  </si>
  <si>
    <t xml:space="preserve"> Financial Model for Allam-Cycle Generators Relative to Conventional NGCC Generators Without Carbon Capture</t>
  </si>
  <si>
    <t>NPV in Corresponding Start-Year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</si>
</sst>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&quot;$&quot;#,##0.00"/>
    <numFmt numFmtId="166" formatCode="0.0%"/>
    <numFmt numFmtId="167" formatCode="_(* #,##0_);_(* \(#,##0\);_(* &quot;-&quot;??_);_(@_)"/>
    <numFmt numFmtId="168" formatCode="&quot;$&quot;#,##0.0"/>
    <numFmt numFmtId="169" formatCode="#,##0.0"/>
    <numFmt numFmtId="170" formatCode="&quot;$&quot;#,##0"/>
  </numFmts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i/>
      <sz val="10"/>
      <color rgb="FF00B050"/>
      <name val="Calibri"/>
      <family val="2"/>
      <scheme val="minor"/>
    </font>
    <font>
      <strike/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strike/>
      <sz val="10"/>
      <color rgb="FF00B050"/>
      <name val="Calibri"/>
      <family val="2"/>
      <scheme val="minor"/>
    </font>
    <font>
      <i/>
      <strike/>
      <sz val="10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B05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sz val="11"/>
      <color rgb="FF00B050"/>
      <name val="Calibri"/>
      <family val="2"/>
      <scheme val="minor"/>
    </font>
    <font>
      <i/>
      <sz val="12"/>
      <color rgb="FFC00000"/>
      <name val="Calibri"/>
      <family val="2"/>
      <scheme val="minor"/>
    </font>
    <font>
      <b/>
      <i/>
      <sz val="10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8">
    <xf numFmtId="0" fontId="0" fillId="0" borderId="0"/>
    <xf numFmtId="9" fontId="4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263">
    <xf numFmtId="0" fontId="0" fillId="0" borderId="0" xfId="0"/>
    <xf numFmtId="2" fontId="0" fillId="0" borderId="0" xfId="0" applyNumberFormat="1"/>
    <xf numFmtId="3" fontId="0" fillId="0" borderId="0" xfId="0" applyNumberFormat="1"/>
    <xf numFmtId="0" fontId="9" fillId="0" borderId="0" xfId="2" applyFont="1" applyFill="1" applyBorder="1"/>
    <xf numFmtId="0" fontId="8" fillId="0" borderId="0" xfId="2" applyFont="1" applyFill="1" applyBorder="1"/>
    <xf numFmtId="0" fontId="10" fillId="0" borderId="0" xfId="2" applyFont="1" applyFill="1" applyBorder="1"/>
    <xf numFmtId="0" fontId="10" fillId="0" borderId="0" xfId="2" applyFont="1" applyFill="1" applyBorder="1" applyAlignment="1">
      <alignment wrapText="1"/>
    </xf>
    <xf numFmtId="9" fontId="10" fillId="0" borderId="0" xfId="1" applyFont="1" applyFill="1" applyBorder="1"/>
    <xf numFmtId="0" fontId="8" fillId="0" borderId="0" xfId="2" applyFont="1" applyFill="1" applyBorder="1" applyAlignment="1">
      <alignment wrapText="1"/>
    </xf>
    <xf numFmtId="0" fontId="9" fillId="0" borderId="0" xfId="2" applyFont="1" applyBorder="1"/>
    <xf numFmtId="3" fontId="10" fillId="0" borderId="0" xfId="2" applyNumberFormat="1" applyFont="1" applyFill="1" applyBorder="1"/>
    <xf numFmtId="0" fontId="5" fillId="0" borderId="0" xfId="0" applyFont="1"/>
    <xf numFmtId="0" fontId="7" fillId="0" borderId="0" xfId="2" applyFont="1" applyBorder="1"/>
    <xf numFmtId="0" fontId="7" fillId="0" borderId="0" xfId="2" applyFont="1" applyFill="1" applyBorder="1"/>
    <xf numFmtId="0" fontId="0" fillId="0" borderId="3" xfId="0" applyBorder="1"/>
    <xf numFmtId="0" fontId="7" fillId="0" borderId="4" xfId="2" applyFont="1" applyFill="1" applyBorder="1"/>
    <xf numFmtId="0" fontId="7" fillId="0" borderId="4" xfId="2" applyFont="1" applyFill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7" fillId="0" borderId="1" xfId="2" applyFont="1" applyBorder="1"/>
    <xf numFmtId="0" fontId="7" fillId="0" borderId="1" xfId="2" applyFont="1" applyFill="1" applyBorder="1" applyAlignment="1">
      <alignment horizontal="center"/>
    </xf>
    <xf numFmtId="0" fontId="7" fillId="0" borderId="1" xfId="2" applyFont="1" applyBorder="1" applyAlignment="1">
      <alignment horizontal="center"/>
    </xf>
    <xf numFmtId="3" fontId="9" fillId="0" borderId="0" xfId="2" applyNumberFormat="1" applyFont="1" applyFill="1" applyBorder="1"/>
    <xf numFmtId="0" fontId="9" fillId="0" borderId="5" xfId="2" applyFont="1" applyFill="1" applyBorder="1"/>
    <xf numFmtId="4" fontId="9" fillId="0" borderId="0" xfId="2" applyNumberFormat="1" applyFont="1" applyFill="1" applyBorder="1"/>
    <xf numFmtId="0" fontId="8" fillId="0" borderId="1" xfId="2" applyFont="1" applyFill="1" applyBorder="1"/>
    <xf numFmtId="0" fontId="5" fillId="0" borderId="3" xfId="0" applyFont="1" applyBorder="1"/>
    <xf numFmtId="0" fontId="7" fillId="0" borderId="1" xfId="2" applyFont="1" applyFill="1" applyBorder="1"/>
    <xf numFmtId="4" fontId="8" fillId="0" borderId="1" xfId="4" applyNumberFormat="1" applyFont="1" applyFill="1" applyBorder="1" applyAlignment="1">
      <alignment horizontal="right"/>
    </xf>
    <xf numFmtId="0" fontId="8" fillId="0" borderId="1" xfId="2" applyFont="1" applyFill="1" applyBorder="1" applyAlignment="1">
      <alignment horizontal="right"/>
    </xf>
    <xf numFmtId="0" fontId="9" fillId="0" borderId="0" xfId="0" applyFont="1" applyFill="1" applyBorder="1" applyAlignment="1"/>
    <xf numFmtId="3" fontId="10" fillId="0" borderId="0" xfId="4" applyNumberFormat="1" applyFont="1" applyFill="1" applyBorder="1"/>
    <xf numFmtId="9" fontId="10" fillId="0" borderId="0" xfId="2" applyNumberFormat="1" applyFont="1" applyFill="1" applyBorder="1"/>
    <xf numFmtId="4" fontId="8" fillId="0" borderId="4" xfId="4" applyNumberFormat="1" applyFont="1" applyFill="1" applyBorder="1" applyAlignment="1">
      <alignment horizontal="center"/>
    </xf>
    <xf numFmtId="0" fontId="8" fillId="0" borderId="1" xfId="2" applyFont="1" applyFill="1" applyBorder="1" applyAlignment="1">
      <alignment horizontal="left" wrapText="1" indent="1"/>
    </xf>
    <xf numFmtId="4" fontId="8" fillId="0" borderId="1" xfId="4" applyNumberFormat="1" applyFont="1" applyFill="1" applyBorder="1" applyAlignment="1">
      <alignment horizontal="center"/>
    </xf>
    <xf numFmtId="0" fontId="7" fillId="0" borderId="0" xfId="2" applyFont="1" applyFill="1" applyBorder="1" applyAlignment="1">
      <alignment horizontal="center"/>
    </xf>
    <xf numFmtId="4" fontId="8" fillId="0" borderId="0" xfId="4" applyNumberFormat="1" applyFont="1" applyFill="1" applyBorder="1" applyAlignment="1">
      <alignment horizontal="right"/>
    </xf>
    <xf numFmtId="0" fontId="10" fillId="0" borderId="4" xfId="2" applyFont="1" applyFill="1" applyBorder="1" applyAlignment="1">
      <alignment wrapText="1"/>
    </xf>
    <xf numFmtId="9" fontId="10" fillId="0" borderId="4" xfId="2" applyNumberFormat="1" applyFont="1" applyFill="1" applyBorder="1"/>
    <xf numFmtId="0" fontId="8" fillId="0" borderId="2" xfId="2" applyFont="1" applyFill="1" applyBorder="1"/>
    <xf numFmtId="0" fontId="10" fillId="0" borderId="2" xfId="2" applyFont="1" applyFill="1" applyBorder="1"/>
    <xf numFmtId="0" fontId="9" fillId="0" borderId="0" xfId="2" applyFont="1" applyFill="1" applyBorder="1" applyAlignment="1">
      <alignment vertical="center" wrapText="1"/>
    </xf>
    <xf numFmtId="0" fontId="8" fillId="0" borderId="4" xfId="2" applyFont="1" applyFill="1" applyBorder="1" applyAlignment="1">
      <alignment horizontal="left"/>
    </xf>
    <xf numFmtId="0" fontId="8" fillId="0" borderId="1" xfId="2" applyFont="1" applyFill="1" applyBorder="1" applyAlignment="1">
      <alignment horizontal="left"/>
    </xf>
    <xf numFmtId="167" fontId="9" fillId="0" borderId="0" xfId="4" applyNumberFormat="1" applyFont="1" applyFill="1" applyBorder="1"/>
    <xf numFmtId="0" fontId="0" fillId="0" borderId="0" xfId="0" applyBorder="1"/>
    <xf numFmtId="0" fontId="12" fillId="0" borderId="2" xfId="2" applyFont="1" applyFill="1" applyBorder="1"/>
    <xf numFmtId="9" fontId="9" fillId="0" borderId="0" xfId="2" applyNumberFormat="1" applyFont="1" applyFill="1" applyBorder="1"/>
    <xf numFmtId="0" fontId="9" fillId="0" borderId="0" xfId="2" applyFont="1" applyFill="1" applyBorder="1" applyAlignment="1">
      <alignment horizontal="left" indent="1"/>
    </xf>
    <xf numFmtId="9" fontId="9" fillId="0" borderId="0" xfId="1" applyFont="1" applyFill="1" applyBorder="1"/>
    <xf numFmtId="9" fontId="9" fillId="0" borderId="0" xfId="1" applyNumberFormat="1" applyFont="1" applyFill="1" applyBorder="1"/>
    <xf numFmtId="3" fontId="9" fillId="0" borderId="0" xfId="3" applyNumberFormat="1" applyFont="1" applyFill="1" applyBorder="1"/>
    <xf numFmtId="3" fontId="9" fillId="0" borderId="0" xfId="4" applyNumberFormat="1" applyFont="1" applyFill="1" applyBorder="1"/>
    <xf numFmtId="0" fontId="10" fillId="0" borderId="0" xfId="2" applyFont="1" applyFill="1" applyBorder="1" applyAlignment="1">
      <alignment horizontal="left" wrapText="1" indent="2"/>
    </xf>
    <xf numFmtId="3" fontId="9" fillId="0" borderId="0" xfId="5" applyNumberFormat="1" applyFont="1" applyFill="1" applyBorder="1"/>
    <xf numFmtId="3" fontId="10" fillId="0" borderId="0" xfId="5" applyNumberFormat="1" applyFont="1" applyFill="1" applyBorder="1"/>
    <xf numFmtId="0" fontId="0" fillId="0" borderId="4" xfId="0" applyBorder="1"/>
    <xf numFmtId="167" fontId="9" fillId="0" borderId="2" xfId="4" applyNumberFormat="1" applyFont="1" applyFill="1" applyBorder="1"/>
    <xf numFmtId="167" fontId="10" fillId="0" borderId="2" xfId="4" applyNumberFormat="1" applyFont="1" applyFill="1" applyBorder="1"/>
    <xf numFmtId="0" fontId="8" fillId="0" borderId="0" xfId="2" applyFont="1" applyBorder="1"/>
    <xf numFmtId="3" fontId="9" fillId="0" borderId="0" xfId="6" applyNumberFormat="1" applyFont="1" applyBorder="1"/>
    <xf numFmtId="3" fontId="10" fillId="0" borderId="0" xfId="6" applyNumberFormat="1" applyFont="1" applyBorder="1"/>
    <xf numFmtId="0" fontId="7" fillId="0" borderId="2" xfId="2" applyFont="1" applyBorder="1"/>
    <xf numFmtId="0" fontId="10" fillId="0" borderId="2" xfId="2" applyFont="1" applyFill="1" applyBorder="1" applyAlignment="1">
      <alignment horizontal="center"/>
    </xf>
    <xf numFmtId="0" fontId="10" fillId="0" borderId="0" xfId="2" applyFont="1" applyFill="1" applyBorder="1" applyAlignment="1">
      <alignment horizontal="center"/>
    </xf>
    <xf numFmtId="0" fontId="9" fillId="0" borderId="0" xfId="2" applyFont="1"/>
    <xf numFmtId="0" fontId="10" fillId="0" borderId="0" xfId="2" applyFont="1"/>
    <xf numFmtId="1" fontId="0" fillId="0" borderId="0" xfId="0" applyNumberFormat="1"/>
    <xf numFmtId="0" fontId="9" fillId="0" borderId="0" xfId="0" applyFont="1"/>
    <xf numFmtId="165" fontId="13" fillId="0" borderId="0" xfId="0" applyNumberFormat="1" applyFont="1"/>
    <xf numFmtId="3" fontId="9" fillId="0" borderId="0" xfId="2" applyNumberFormat="1" applyFont="1" applyFill="1" applyBorder="1" applyAlignment="1">
      <alignment horizontal="center" vertical="center" wrapText="1"/>
    </xf>
    <xf numFmtId="166" fontId="0" fillId="0" borderId="0" xfId="0" applyNumberFormat="1"/>
    <xf numFmtId="2" fontId="9" fillId="0" borderId="0" xfId="6" applyNumberFormat="1" applyFont="1" applyFill="1" applyBorder="1"/>
    <xf numFmtId="3" fontId="9" fillId="0" borderId="3" xfId="4" applyNumberFormat="1" applyFont="1" applyFill="1" applyBorder="1"/>
    <xf numFmtId="0" fontId="9" fillId="0" borderId="3" xfId="2" applyFont="1" applyFill="1" applyBorder="1"/>
    <xf numFmtId="3" fontId="9" fillId="0" borderId="3" xfId="6" applyNumberFormat="1" applyFont="1" applyBorder="1"/>
    <xf numFmtId="38" fontId="9" fillId="0" borderId="0" xfId="4" applyNumberFormat="1" applyFont="1" applyFill="1" applyBorder="1"/>
    <xf numFmtId="38" fontId="10" fillId="0" borderId="0" xfId="2" applyNumberFormat="1" applyFont="1" applyFill="1" applyBorder="1" applyAlignment="1">
      <alignment horizontal="center"/>
    </xf>
    <xf numFmtId="38" fontId="10" fillId="0" borderId="2" xfId="2" applyNumberFormat="1" applyFont="1" applyFill="1" applyBorder="1" applyAlignment="1">
      <alignment horizontal="center"/>
    </xf>
    <xf numFmtId="9" fontId="0" fillId="0" borderId="0" xfId="0" applyNumberFormat="1"/>
    <xf numFmtId="0" fontId="5" fillId="0" borderId="0" xfId="0" applyFont="1" applyAlignment="1">
      <alignment horizontal="right"/>
    </xf>
    <xf numFmtId="4" fontId="0" fillId="0" borderId="0" xfId="0" applyNumberFormat="1"/>
    <xf numFmtId="4" fontId="5" fillId="0" borderId="0" xfId="0" applyNumberFormat="1" applyFont="1"/>
    <xf numFmtId="38" fontId="9" fillId="0" borderId="0" xfId="2" applyNumberFormat="1" applyFont="1" applyFill="1"/>
    <xf numFmtId="0" fontId="6" fillId="0" borderId="0" xfId="0" applyFont="1"/>
    <xf numFmtId="166" fontId="6" fillId="0" borderId="0" xfId="0" applyNumberFormat="1" applyFont="1"/>
    <xf numFmtId="165" fontId="6" fillId="0" borderId="0" xfId="0" applyNumberFormat="1" applyFont="1" applyFill="1"/>
    <xf numFmtId="168" fontId="6" fillId="0" borderId="0" xfId="0" applyNumberFormat="1" applyFont="1"/>
    <xf numFmtId="169" fontId="6" fillId="0" borderId="0" xfId="0" applyNumberFormat="1" applyFont="1"/>
    <xf numFmtId="165" fontId="6" fillId="0" borderId="0" xfId="0" applyNumberFormat="1" applyFont="1"/>
    <xf numFmtId="0" fontId="15" fillId="0" borderId="0" xfId="0" applyFont="1"/>
    <xf numFmtId="3" fontId="6" fillId="0" borderId="0" xfId="0" applyNumberFormat="1" applyFont="1"/>
    <xf numFmtId="0" fontId="14" fillId="0" borderId="0" xfId="2" applyFont="1" applyFill="1" applyBorder="1"/>
    <xf numFmtId="0" fontId="6" fillId="0" borderId="0" xfId="0" applyFont="1" applyFill="1"/>
    <xf numFmtId="3" fontId="13" fillId="0" borderId="0" xfId="2" applyNumberFormat="1" applyFont="1" applyFill="1" applyBorder="1"/>
    <xf numFmtId="165" fontId="16" fillId="0" borderId="0" xfId="2" applyNumberFormat="1" applyFont="1" applyFill="1" applyBorder="1"/>
    <xf numFmtId="0" fontId="14" fillId="0" borderId="0" xfId="0" applyFont="1" applyBorder="1"/>
    <xf numFmtId="0" fontId="6" fillId="0" borderId="0" xfId="0" applyFont="1" applyBorder="1"/>
    <xf numFmtId="165" fontId="6" fillId="0" borderId="0" xfId="0" applyNumberFormat="1" applyFont="1" applyBorder="1"/>
    <xf numFmtId="2" fontId="6" fillId="0" borderId="0" xfId="0" applyNumberFormat="1" applyFont="1" applyBorder="1"/>
    <xf numFmtId="2" fontId="6" fillId="0" borderId="0" xfId="0" applyNumberFormat="1" applyFont="1"/>
    <xf numFmtId="4" fontId="6" fillId="0" borderId="0" xfId="0" applyNumberFormat="1" applyFont="1" applyBorder="1"/>
    <xf numFmtId="0" fontId="17" fillId="0" borderId="0" xfId="0" applyFont="1"/>
    <xf numFmtId="0" fontId="0" fillId="0" borderId="0" xfId="0" applyFont="1"/>
    <xf numFmtId="3" fontId="18" fillId="0" borderId="0" xfId="4" applyNumberFormat="1" applyFont="1" applyFill="1" applyBorder="1"/>
    <xf numFmtId="3" fontId="18" fillId="0" borderId="0" xfId="2" applyNumberFormat="1" applyFont="1" applyFill="1" applyBorder="1"/>
    <xf numFmtId="4" fontId="18" fillId="0" borderId="0" xfId="2" applyNumberFormat="1" applyFont="1" applyFill="1" applyBorder="1"/>
    <xf numFmtId="0" fontId="18" fillId="0" borderId="0" xfId="0" applyFont="1"/>
    <xf numFmtId="165" fontId="19" fillId="0" borderId="0" xfId="0" applyNumberFormat="1" applyFont="1"/>
    <xf numFmtId="0" fontId="21" fillId="0" borderId="0" xfId="0" applyFont="1"/>
    <xf numFmtId="0" fontId="22" fillId="0" borderId="0" xfId="0" applyFont="1"/>
    <xf numFmtId="165" fontId="23" fillId="0" borderId="0" xfId="0" applyNumberFormat="1" applyFont="1"/>
    <xf numFmtId="170" fontId="0" fillId="0" borderId="0" xfId="0" applyNumberFormat="1"/>
    <xf numFmtId="0" fontId="6" fillId="0" borderId="0" xfId="0" applyNumberFormat="1" applyFont="1"/>
    <xf numFmtId="0" fontId="26" fillId="0" borderId="0" xfId="0" applyFont="1"/>
    <xf numFmtId="4" fontId="22" fillId="0" borderId="0" xfId="2" applyNumberFormat="1" applyFont="1" applyFill="1" applyBorder="1"/>
    <xf numFmtId="0" fontId="27" fillId="0" borderId="0" xfId="0" applyFont="1"/>
    <xf numFmtId="166" fontId="27" fillId="0" borderId="0" xfId="0" applyNumberFormat="1" applyFont="1"/>
    <xf numFmtId="165" fontId="29" fillId="0" borderId="0" xfId="0" applyNumberFormat="1" applyFont="1" applyFill="1"/>
    <xf numFmtId="168" fontId="27" fillId="0" borderId="0" xfId="0" applyNumberFormat="1" applyFont="1"/>
    <xf numFmtId="165" fontId="3" fillId="0" borderId="0" xfId="0" applyNumberFormat="1" applyFont="1"/>
    <xf numFmtId="0" fontId="6" fillId="0" borderId="0" xfId="0" applyFont="1" applyFill="1" applyAlignment="1">
      <alignment wrapText="1"/>
    </xf>
    <xf numFmtId="0" fontId="28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165" fontId="29" fillId="0" borderId="0" xfId="0" applyNumberFormat="1" applyFont="1"/>
    <xf numFmtId="165" fontId="27" fillId="0" borderId="0" xfId="0" applyNumberFormat="1" applyFont="1"/>
    <xf numFmtId="0" fontId="0" fillId="0" borderId="1" xfId="0" applyBorder="1"/>
    <xf numFmtId="165" fontId="6" fillId="0" borderId="0" xfId="0" applyNumberFormat="1" applyFont="1" applyFill="1" applyBorder="1"/>
    <xf numFmtId="4" fontId="3" fillId="0" borderId="0" xfId="2" applyNumberFormat="1" applyFont="1" applyFill="1" applyBorder="1"/>
    <xf numFmtId="0" fontId="9" fillId="0" borderId="4" xfId="2" applyFont="1" applyFill="1" applyBorder="1"/>
    <xf numFmtId="0" fontId="20" fillId="0" borderId="0" xfId="2" applyFont="1" applyFill="1" applyBorder="1"/>
    <xf numFmtId="0" fontId="0" fillId="0" borderId="0" xfId="0" applyNumberFormat="1"/>
    <xf numFmtId="0" fontId="25" fillId="0" borderId="0" xfId="0" applyFont="1" applyBorder="1"/>
    <xf numFmtId="166" fontId="25" fillId="0" borderId="0" xfId="0" applyNumberFormat="1" applyFont="1" applyBorder="1"/>
    <xf numFmtId="0" fontId="9" fillId="0" borderId="0" xfId="0" applyNumberFormat="1" applyFont="1" applyBorder="1"/>
    <xf numFmtId="0" fontId="6" fillId="0" borderId="0" xfId="0" applyNumberFormat="1" applyFont="1" applyBorder="1"/>
    <xf numFmtId="0" fontId="6" fillId="0" borderId="1" xfId="0" applyNumberFormat="1" applyFont="1" applyBorder="1"/>
    <xf numFmtId="0" fontId="21" fillId="0" borderId="0" xfId="2" applyFont="1" applyBorder="1"/>
    <xf numFmtId="165" fontId="0" fillId="0" borderId="0" xfId="0" applyNumberFormat="1"/>
    <xf numFmtId="0" fontId="30" fillId="0" borderId="0" xfId="0" applyFont="1"/>
    <xf numFmtId="0" fontId="30" fillId="0" borderId="0" xfId="0" applyFont="1" applyAlignment="1"/>
    <xf numFmtId="0" fontId="30" fillId="0" borderId="0" xfId="0" applyNumberFormat="1" applyFont="1"/>
    <xf numFmtId="1" fontId="9" fillId="0" borderId="0" xfId="0" applyNumberFormat="1" applyFont="1"/>
    <xf numFmtId="1" fontId="8" fillId="0" borderId="4" xfId="2" applyNumberFormat="1" applyFont="1" applyFill="1" applyBorder="1" applyAlignment="1">
      <alignment horizontal="left"/>
    </xf>
    <xf numFmtId="1" fontId="8" fillId="0" borderId="1" xfId="2" applyNumberFormat="1" applyFont="1" applyFill="1" applyBorder="1" applyAlignment="1">
      <alignment horizontal="left"/>
    </xf>
    <xf numFmtId="167" fontId="9" fillId="0" borderId="0" xfId="7" applyNumberFormat="1" applyFont="1"/>
    <xf numFmtId="1" fontId="8" fillId="0" borderId="0" xfId="2" applyNumberFormat="1" applyFont="1" applyFill="1" applyBorder="1" applyAlignment="1">
      <alignment horizontal="left"/>
    </xf>
    <xf numFmtId="1" fontId="18" fillId="0" borderId="0" xfId="2" applyNumberFormat="1" applyFont="1" applyFill="1" applyBorder="1" applyAlignment="1">
      <alignment horizontal="center"/>
    </xf>
    <xf numFmtId="0" fontId="7" fillId="0" borderId="4" xfId="2" applyFont="1" applyBorder="1" applyAlignment="1">
      <alignment horizontal="left"/>
    </xf>
    <xf numFmtId="0" fontId="9" fillId="0" borderId="10" xfId="2" applyFont="1" applyFill="1" applyBorder="1"/>
    <xf numFmtId="4" fontId="9" fillId="0" borderId="10" xfId="2" applyNumberFormat="1" applyFont="1" applyFill="1" applyBorder="1"/>
    <xf numFmtId="4" fontId="9" fillId="0" borderId="10" xfId="2" applyNumberFormat="1" applyFont="1" applyBorder="1"/>
    <xf numFmtId="0" fontId="2" fillId="0" borderId="0" xfId="0" applyFont="1" applyFill="1"/>
    <xf numFmtId="165" fontId="2" fillId="0" borderId="0" xfId="0" applyNumberFormat="1" applyFont="1" applyFill="1"/>
    <xf numFmtId="0" fontId="3" fillId="0" borderId="0" xfId="0" applyFont="1" applyFill="1" applyBorder="1" applyAlignment="1">
      <alignment horizontal="center" wrapText="1"/>
    </xf>
    <xf numFmtId="0" fontId="0" fillId="3" borderId="11" xfId="0" applyFill="1" applyBorder="1"/>
    <xf numFmtId="0" fontId="0" fillId="3" borderId="11" xfId="0" applyFont="1" applyFill="1" applyBorder="1"/>
    <xf numFmtId="165" fontId="0" fillId="3" borderId="11" xfId="0" applyNumberFormat="1" applyFill="1" applyBorder="1"/>
    <xf numFmtId="165" fontId="0" fillId="3" borderId="12" xfId="0" applyNumberFormat="1" applyFill="1" applyBorder="1"/>
    <xf numFmtId="164" fontId="0" fillId="3" borderId="11" xfId="0" applyNumberFormat="1" applyFill="1" applyBorder="1"/>
    <xf numFmtId="170" fontId="0" fillId="2" borderId="11" xfId="0" applyNumberFormat="1" applyFill="1" applyBorder="1"/>
    <xf numFmtId="165" fontId="16" fillId="3" borderId="11" xfId="0" applyNumberFormat="1" applyFont="1" applyFill="1" applyBorder="1"/>
    <xf numFmtId="0" fontId="10" fillId="3" borderId="11" xfId="0" applyNumberFormat="1" applyFont="1" applyFill="1" applyBorder="1"/>
    <xf numFmtId="165" fontId="31" fillId="3" borderId="11" xfId="0" applyNumberFormat="1" applyFont="1" applyFill="1" applyBorder="1"/>
    <xf numFmtId="0" fontId="10" fillId="3" borderId="11" xfId="2" applyFont="1" applyFill="1" applyBorder="1"/>
    <xf numFmtId="3" fontId="10" fillId="4" borderId="11" xfId="2" applyNumberFormat="1" applyFont="1" applyFill="1" applyBorder="1"/>
    <xf numFmtId="0" fontId="9" fillId="0" borderId="0" xfId="0" applyFont="1" applyBorder="1"/>
    <xf numFmtId="0" fontId="28" fillId="0" borderId="0" xfId="0" applyFont="1" applyFill="1" applyBorder="1" applyAlignment="1">
      <alignment horizontal="center" wrapText="1"/>
    </xf>
    <xf numFmtId="6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5" fillId="0" borderId="0" xfId="0" applyFont="1" applyFill="1" applyBorder="1"/>
    <xf numFmtId="166" fontId="25" fillId="0" borderId="0" xfId="0" applyNumberFormat="1" applyFont="1" applyFill="1" applyBorder="1"/>
    <xf numFmtId="166" fontId="25" fillId="0" borderId="8" xfId="0" applyNumberFormat="1" applyFont="1" applyFill="1" applyBorder="1"/>
    <xf numFmtId="0" fontId="0" fillId="0" borderId="0" xfId="0" applyFill="1"/>
    <xf numFmtId="165" fontId="16" fillId="0" borderId="0" xfId="0" applyNumberFormat="1" applyFont="1" applyFill="1" applyBorder="1"/>
    <xf numFmtId="168" fontId="10" fillId="0" borderId="0" xfId="0" applyNumberFormat="1" applyFont="1" applyFill="1" applyBorder="1"/>
    <xf numFmtId="165" fontId="10" fillId="0" borderId="8" xfId="0" applyNumberFormat="1" applyFont="1" applyFill="1" applyBorder="1"/>
    <xf numFmtId="165" fontId="16" fillId="0" borderId="1" xfId="0" applyNumberFormat="1" applyFont="1" applyFill="1" applyBorder="1"/>
    <xf numFmtId="168" fontId="10" fillId="0" borderId="1" xfId="0" applyNumberFormat="1" applyFont="1" applyFill="1" applyBorder="1"/>
    <xf numFmtId="165" fontId="10" fillId="0" borderId="9" xfId="0" applyNumberFormat="1" applyFont="1" applyFill="1" applyBorder="1"/>
    <xf numFmtId="0" fontId="9" fillId="3" borderId="13" xfId="0" applyFont="1" applyFill="1" applyBorder="1" applyAlignment="1">
      <alignment horizontal="left"/>
    </xf>
    <xf numFmtId="0" fontId="10" fillId="3" borderId="13" xfId="0" applyFont="1" applyFill="1" applyBorder="1"/>
    <xf numFmtId="0" fontId="10" fillId="3" borderId="14" xfId="0" applyFont="1" applyFill="1" applyBorder="1"/>
    <xf numFmtId="165" fontId="16" fillId="3" borderId="15" xfId="0" applyNumberFormat="1" applyFont="1" applyFill="1" applyBorder="1"/>
    <xf numFmtId="0" fontId="10" fillId="3" borderId="15" xfId="0" applyNumberFormat="1" applyFont="1" applyFill="1" applyBorder="1"/>
    <xf numFmtId="165" fontId="14" fillId="0" borderId="0" xfId="0" applyNumberFormat="1" applyFont="1" applyFill="1"/>
    <xf numFmtId="0" fontId="1" fillId="0" borderId="0" xfId="0" applyFont="1" applyFill="1" applyAlignment="1">
      <alignment wrapText="1"/>
    </xf>
    <xf numFmtId="0" fontId="1" fillId="0" borderId="0" xfId="0" applyFont="1"/>
    <xf numFmtId="4" fontId="1" fillId="0" borderId="0" xfId="2" applyNumberFormat="1" applyFont="1" applyFill="1" applyBorder="1"/>
    <xf numFmtId="164" fontId="10" fillId="0" borderId="0" xfId="2" applyNumberFormat="1" applyFont="1" applyFill="1" applyBorder="1"/>
    <xf numFmtId="0" fontId="10" fillId="0" borderId="0" xfId="2" applyFont="1" applyBorder="1"/>
    <xf numFmtId="4" fontId="10" fillId="3" borderId="11" xfId="2" applyNumberFormat="1" applyFont="1" applyFill="1" applyBorder="1"/>
    <xf numFmtId="1" fontId="10" fillId="4" borderId="11" xfId="2" applyNumberFormat="1" applyFont="1" applyFill="1" applyBorder="1"/>
    <xf numFmtId="169" fontId="10" fillId="4" borderId="11" xfId="2" applyNumberFormat="1" applyFont="1" applyFill="1" applyBorder="1"/>
    <xf numFmtId="0" fontId="10" fillId="4" borderId="11" xfId="2" applyFont="1" applyFill="1" applyBorder="1"/>
    <xf numFmtId="166" fontId="10" fillId="3" borderId="11" xfId="2" applyNumberFormat="1" applyFont="1" applyFill="1" applyBorder="1"/>
    <xf numFmtId="9" fontId="10" fillId="3" borderId="11" xfId="1" applyFont="1" applyFill="1" applyBorder="1"/>
    <xf numFmtId="9" fontId="10" fillId="3" borderId="11" xfId="1" applyFont="1" applyFill="1" applyBorder="1" applyAlignment="1">
      <alignment horizontal="right"/>
    </xf>
    <xf numFmtId="1" fontId="10" fillId="3" borderId="11" xfId="1" applyNumberFormat="1" applyFont="1" applyFill="1" applyBorder="1"/>
    <xf numFmtId="10" fontId="10" fillId="3" borderId="11" xfId="1" applyNumberFormat="1" applyFont="1" applyFill="1" applyBorder="1"/>
    <xf numFmtId="0" fontId="10" fillId="3" borderId="11" xfId="2" applyNumberFormat="1" applyFont="1" applyFill="1" applyBorder="1"/>
    <xf numFmtId="0" fontId="10" fillId="0" borderId="0" xfId="3" applyNumberFormat="1" applyFont="1" applyFill="1" applyBorder="1"/>
    <xf numFmtId="3" fontId="10" fillId="0" borderId="4" xfId="4" applyNumberFormat="1" applyFont="1" applyFill="1" applyBorder="1"/>
    <xf numFmtId="9" fontId="10" fillId="3" borderId="16" xfId="2" applyNumberFormat="1" applyFont="1" applyFill="1" applyBorder="1"/>
    <xf numFmtId="3" fontId="10" fillId="3" borderId="16" xfId="4" applyNumberFormat="1" applyFont="1" applyFill="1" applyBorder="1"/>
    <xf numFmtId="0" fontId="32" fillId="0" borderId="0" xfId="0" applyFont="1"/>
    <xf numFmtId="0" fontId="10" fillId="0" borderId="0" xfId="2" applyFont="1" applyFill="1" applyBorder="1" applyAlignment="1">
      <alignment vertical="center" wrapText="1"/>
    </xf>
    <xf numFmtId="1" fontId="10" fillId="0" borderId="4" xfId="2" applyNumberFormat="1" applyFont="1" applyFill="1" applyBorder="1" applyAlignment="1">
      <alignment horizontal="center"/>
    </xf>
    <xf numFmtId="0" fontId="10" fillId="0" borderId="4" xfId="2" applyFont="1" applyFill="1" applyBorder="1" applyAlignment="1">
      <alignment horizontal="center"/>
    </xf>
    <xf numFmtId="1" fontId="10" fillId="0" borderId="1" xfId="2" applyNumberFormat="1" applyFont="1" applyFill="1" applyBorder="1" applyAlignment="1">
      <alignment horizontal="center"/>
    </xf>
    <xf numFmtId="167" fontId="10" fillId="0" borderId="0" xfId="4" applyNumberFormat="1" applyFont="1" applyFill="1" applyBorder="1"/>
    <xf numFmtId="2" fontId="10" fillId="0" borderId="0" xfId="5" applyNumberFormat="1" applyFont="1" applyFill="1" applyBorder="1"/>
    <xf numFmtId="0" fontId="10" fillId="0" borderId="1" xfId="2" applyFont="1" applyFill="1" applyBorder="1"/>
    <xf numFmtId="2" fontId="10" fillId="0" borderId="1" xfId="6" applyNumberFormat="1" applyFont="1" applyFill="1" applyBorder="1"/>
    <xf numFmtId="0" fontId="10" fillId="0" borderId="4" xfId="2" applyFont="1" applyBorder="1"/>
    <xf numFmtId="3" fontId="10" fillId="0" borderId="4" xfId="6" applyNumberFormat="1" applyFont="1" applyBorder="1"/>
    <xf numFmtId="3" fontId="20" fillId="0" borderId="0" xfId="4" applyNumberFormat="1" applyFont="1" applyFill="1" applyBorder="1"/>
    <xf numFmtId="3" fontId="10" fillId="0" borderId="0" xfId="2" applyNumberFormat="1" applyFont="1" applyBorder="1"/>
    <xf numFmtId="0" fontId="20" fillId="0" borderId="1" xfId="2" applyFont="1" applyFill="1" applyBorder="1"/>
    <xf numFmtId="3" fontId="10" fillId="0" borderId="1" xfId="6" applyNumberFormat="1" applyFont="1" applyBorder="1"/>
    <xf numFmtId="0" fontId="32" fillId="0" borderId="3" xfId="0" applyFont="1" applyBorder="1"/>
    <xf numFmtId="0" fontId="10" fillId="0" borderId="0" xfId="0" applyFont="1" applyAlignment="1">
      <alignment horizontal="left" indent="2"/>
    </xf>
    <xf numFmtId="0" fontId="10" fillId="0" borderId="0" xfId="2" applyNumberFormat="1" applyFont="1" applyFill="1" applyBorder="1"/>
    <xf numFmtId="4" fontId="10" fillId="0" borderId="0" xfId="2" applyNumberFormat="1" applyFont="1" applyFill="1" applyBorder="1"/>
    <xf numFmtId="0" fontId="10" fillId="0" borderId="0" xfId="2" applyFont="1" applyFill="1" applyBorder="1" applyAlignment="1">
      <alignment horizontal="left" indent="1"/>
    </xf>
    <xf numFmtId="10" fontId="10" fillId="0" borderId="0" xfId="1" applyNumberFormat="1" applyFont="1" applyFill="1" applyBorder="1"/>
    <xf numFmtId="38" fontId="10" fillId="0" borderId="0" xfId="2" quotePrefix="1" applyNumberFormat="1" applyFont="1" applyFill="1" applyBorder="1"/>
    <xf numFmtId="3" fontId="10" fillId="0" borderId="0" xfId="6" applyNumberFormat="1" applyFont="1" applyBorder="1" applyAlignment="1">
      <alignment horizontal="right"/>
    </xf>
    <xf numFmtId="4" fontId="10" fillId="0" borderId="0" xfId="6" applyNumberFormat="1" applyFont="1" applyBorder="1"/>
    <xf numFmtId="38" fontId="10" fillId="0" borderId="0" xfId="4" applyNumberFormat="1" applyFont="1" applyFill="1" applyBorder="1"/>
    <xf numFmtId="38" fontId="10" fillId="0" borderId="0" xfId="3" applyNumberFormat="1" applyFont="1"/>
    <xf numFmtId="0" fontId="10" fillId="0" borderId="0" xfId="2" applyFont="1" applyFill="1" applyBorder="1" applyAlignment="1">
      <alignment horizontal="left"/>
    </xf>
    <xf numFmtId="38" fontId="10" fillId="0" borderId="0" xfId="2" applyNumberFormat="1" applyFont="1"/>
    <xf numFmtId="0" fontId="10" fillId="0" borderId="0" xfId="2" applyFont="1" applyFill="1"/>
    <xf numFmtId="38" fontId="10" fillId="0" borderId="0" xfId="2" applyNumberFormat="1" applyFont="1" applyFill="1"/>
    <xf numFmtId="0" fontId="26" fillId="0" borderId="0" xfId="0" applyFont="1" applyFill="1"/>
    <xf numFmtId="38" fontId="10" fillId="0" borderId="0" xfId="3" applyNumberFormat="1" applyFont="1" applyFill="1"/>
    <xf numFmtId="38" fontId="8" fillId="0" borderId="1" xfId="4" applyNumberFormat="1" applyFont="1" applyFill="1" applyBorder="1"/>
    <xf numFmtId="38" fontId="10" fillId="0" borderId="1" xfId="2" applyNumberFormat="1" applyFont="1" applyFill="1" applyBorder="1"/>
    <xf numFmtId="1" fontId="10" fillId="0" borderId="0" xfId="0" applyNumberFormat="1" applyFont="1"/>
    <xf numFmtId="3" fontId="10" fillId="0" borderId="5" xfId="2" applyNumberFormat="1" applyFont="1" applyFill="1" applyBorder="1"/>
    <xf numFmtId="3" fontId="8" fillId="0" borderId="0" xfId="2" applyNumberFormat="1" applyFont="1" applyFill="1" applyBorder="1"/>
    <xf numFmtId="3" fontId="10" fillId="0" borderId="4" xfId="2" applyNumberFormat="1" applyFont="1" applyFill="1" applyBorder="1"/>
    <xf numFmtId="3" fontId="10" fillId="0" borderId="4" xfId="2" applyNumberFormat="1" applyFont="1" applyBorder="1"/>
    <xf numFmtId="3" fontId="8" fillId="0" borderId="1" xfId="2" applyNumberFormat="1" applyFont="1" applyFill="1" applyBorder="1"/>
    <xf numFmtId="3" fontId="10" fillId="4" borderId="12" xfId="2" applyNumberFormat="1" applyFont="1" applyFill="1" applyBorder="1"/>
    <xf numFmtId="0" fontId="0" fillId="2" borderId="11" xfId="0" applyFill="1" applyBorder="1"/>
    <xf numFmtId="170" fontId="0" fillId="2" borderId="17" xfId="0" applyNumberFormat="1" applyFill="1" applyBorder="1"/>
    <xf numFmtId="0" fontId="13" fillId="0" borderId="0" xfId="0" applyFont="1"/>
    <xf numFmtId="1" fontId="16" fillId="0" borderId="0" xfId="0" applyNumberFormat="1" applyFont="1"/>
    <xf numFmtId="0" fontId="7" fillId="0" borderId="0" xfId="0" applyFont="1"/>
    <xf numFmtId="170" fontId="5" fillId="0" borderId="0" xfId="0" applyNumberFormat="1" applyFont="1"/>
    <xf numFmtId="165" fontId="10" fillId="3" borderId="11" xfId="0" applyNumberFormat="1" applyFont="1" applyFill="1" applyBorder="1"/>
    <xf numFmtId="0" fontId="9" fillId="0" borderId="0" xfId="0" applyFont="1" applyFill="1" applyBorder="1" applyAlignment="1">
      <alignment horizontal="center" wrapText="1"/>
    </xf>
    <xf numFmtId="0" fontId="9" fillId="0" borderId="0" xfId="0" applyFont="1" applyFill="1"/>
    <xf numFmtId="0" fontId="10" fillId="3" borderId="11" xfId="0" applyFont="1" applyFill="1" applyBorder="1"/>
    <xf numFmtId="168" fontId="16" fillId="3" borderId="11" xfId="0" applyNumberFormat="1" applyFont="1" applyFill="1" applyBorder="1"/>
    <xf numFmtId="168" fontId="16" fillId="3" borderId="15" xfId="0" applyNumberFormat="1" applyFont="1" applyFill="1" applyBorder="1"/>
    <xf numFmtId="3" fontId="9" fillId="0" borderId="0" xfId="2" applyNumberFormat="1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0" xfId="2" applyFont="1" applyFill="1" applyBorder="1" applyAlignment="1">
      <alignment horizontal="center" vertical="center" wrapText="1"/>
    </xf>
  </cellXfs>
  <cellStyles count="8">
    <cellStyle name="Comma" xfId="7" builtinId="3"/>
    <cellStyle name="Comma 6 2" xfId="3"/>
    <cellStyle name="Comma 7" xfId="6"/>
    <cellStyle name="Comma 8" xfId="4"/>
    <cellStyle name="Currency 4 2" xfId="5"/>
    <cellStyle name="Normal" xfId="0" builtinId="0"/>
    <cellStyle name="Normal 13 2" xfId="2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544286</xdr:colOff>
          <xdr:row>3</xdr:row>
          <xdr:rowOff>152400</xdr:rowOff>
        </xdr:from>
        <xdr:to>
          <xdr:col>1</xdr:col>
          <xdr:colOff>250371</xdr:colOff>
          <xdr:row>5</xdr:row>
          <xdr:rowOff>5443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edwards/Documents/Ryan/Uni/Princeton/Research/CCS/CO2-EOR/Technical/Pipeline%20cost%20mod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g Mod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4"/>
  <sheetViews>
    <sheetView tabSelected="1" workbookViewId="0">
      <selection activeCell="A20" sqref="A20"/>
    </sheetView>
  </sheetViews>
  <sheetFormatPr defaultColWidth="10.85546875" defaultRowHeight="15.9" x14ac:dyDescent="0.45"/>
  <cols>
    <col min="1" max="1" width="10.85546875" customWidth="1"/>
  </cols>
  <sheetData>
    <row r="1" spans="1:2" x14ac:dyDescent="0.45">
      <c r="A1" s="114" t="s">
        <v>172</v>
      </c>
    </row>
    <row r="3" spans="1:2" x14ac:dyDescent="0.45">
      <c r="A3" t="s">
        <v>158</v>
      </c>
    </row>
    <row r="5" spans="1:2" x14ac:dyDescent="0.45">
      <c r="A5" s="103" t="s">
        <v>58</v>
      </c>
    </row>
    <row r="6" spans="1:2" x14ac:dyDescent="0.45">
      <c r="A6" s="102">
        <v>1</v>
      </c>
      <c r="B6" s="103" t="s">
        <v>109</v>
      </c>
    </row>
    <row r="7" spans="1:2" x14ac:dyDescent="0.45">
      <c r="A7" s="102">
        <v>2</v>
      </c>
      <c r="B7" s="103" t="s">
        <v>162</v>
      </c>
    </row>
    <row r="8" spans="1:2" x14ac:dyDescent="0.45">
      <c r="A8" s="102">
        <v>3</v>
      </c>
      <c r="B8" s="103" t="s">
        <v>163</v>
      </c>
    </row>
    <row r="9" spans="1:2" x14ac:dyDescent="0.45">
      <c r="A9" s="102">
        <v>4</v>
      </c>
      <c r="B9" s="103" t="s">
        <v>164</v>
      </c>
    </row>
    <row r="10" spans="1:2" x14ac:dyDescent="0.45">
      <c r="B10" s="103" t="s">
        <v>160</v>
      </c>
    </row>
    <row r="11" spans="1:2" x14ac:dyDescent="0.45">
      <c r="A11" s="102">
        <v>5</v>
      </c>
      <c r="B11" s="103" t="s">
        <v>110</v>
      </c>
    </row>
    <row r="12" spans="1:2" x14ac:dyDescent="0.45">
      <c r="A12" s="103"/>
      <c r="B12" s="103"/>
    </row>
    <row r="13" spans="1:2" x14ac:dyDescent="0.45">
      <c r="A13" s="103" t="s">
        <v>111</v>
      </c>
      <c r="B13" s="103"/>
    </row>
    <row r="14" spans="1:2" x14ac:dyDescent="0.45">
      <c r="A14" t="s">
        <v>157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X189"/>
  <sheetViews>
    <sheetView zoomScale="80" zoomScaleNormal="80" workbookViewId="0">
      <selection activeCell="A10" sqref="A10"/>
    </sheetView>
  </sheetViews>
  <sheetFormatPr defaultColWidth="10.85546875" defaultRowHeight="15.9" x14ac:dyDescent="0.45"/>
  <cols>
    <col min="2" max="2" width="19" customWidth="1"/>
    <col min="3" max="3" width="60.78515625" customWidth="1"/>
    <col min="4" max="4" width="15.140625" customWidth="1"/>
    <col min="5" max="5" width="15.640625" bestFit="1" customWidth="1"/>
    <col min="6" max="35" width="15.140625" customWidth="1"/>
  </cols>
  <sheetData>
    <row r="1" spans="1:31" ht="15.9" customHeight="1" x14ac:dyDescent="0.45">
      <c r="A1" s="114" t="s">
        <v>172</v>
      </c>
    </row>
    <row r="2" spans="1:31" ht="15.9" customHeight="1" thickBot="1" x14ac:dyDescent="0.5">
      <c r="A2" s="25"/>
      <c r="B2" s="14"/>
      <c r="C2" s="14"/>
      <c r="D2" s="14"/>
      <c r="E2" s="14"/>
      <c r="F2" s="14"/>
      <c r="G2" s="14"/>
      <c r="I2" s="13"/>
    </row>
    <row r="3" spans="1:31" x14ac:dyDescent="0.45">
      <c r="A3" s="11"/>
      <c r="B3" s="13" t="s">
        <v>104</v>
      </c>
      <c r="I3" s="123"/>
      <c r="J3" s="123"/>
      <c r="K3" s="123"/>
      <c r="L3" s="186"/>
      <c r="M3" s="123"/>
      <c r="N3" s="121"/>
      <c r="O3" s="123"/>
      <c r="P3" s="123"/>
      <c r="Q3" s="123"/>
      <c r="R3" s="123"/>
      <c r="S3" s="122"/>
      <c r="T3" s="122"/>
      <c r="U3" s="123"/>
      <c r="V3" s="123"/>
      <c r="W3" s="123"/>
      <c r="X3" s="123"/>
      <c r="Y3" s="123"/>
      <c r="Z3" s="123"/>
      <c r="AA3" s="123"/>
      <c r="AB3" s="122"/>
      <c r="AC3" s="123"/>
      <c r="AD3" s="122"/>
      <c r="AE3" s="122"/>
    </row>
    <row r="4" spans="1:31" ht="15.9" customHeight="1" x14ac:dyDescent="0.45">
      <c r="A4" s="11"/>
      <c r="C4" s="3" t="s">
        <v>23</v>
      </c>
      <c r="D4" s="10">
        <f>B167</f>
        <v>50797691.921631537</v>
      </c>
      <c r="E4" s="9" t="str">
        <f>D62&amp;"$"</f>
        <v>2058$</v>
      </c>
      <c r="I4" s="123"/>
      <c r="J4" s="123"/>
      <c r="K4" s="123"/>
      <c r="L4" s="123"/>
      <c r="M4" s="167"/>
      <c r="N4" s="167"/>
      <c r="O4" s="167"/>
      <c r="P4" s="167"/>
      <c r="Q4" s="167"/>
      <c r="R4" s="167"/>
      <c r="S4" s="167"/>
      <c r="T4" s="167"/>
      <c r="U4" s="168"/>
      <c r="V4" s="168"/>
      <c r="W4" s="169"/>
      <c r="X4" s="169"/>
      <c r="Y4" s="168"/>
      <c r="Z4" s="154"/>
      <c r="AA4" s="168"/>
      <c r="AB4" s="167"/>
      <c r="AC4" s="154"/>
    </row>
    <row r="5" spans="1:31" ht="15.9" customHeight="1" x14ac:dyDescent="0.45">
      <c r="A5" s="11"/>
      <c r="I5" s="123"/>
      <c r="J5" s="123"/>
      <c r="K5" s="123"/>
      <c r="L5" s="123"/>
      <c r="M5" s="123"/>
      <c r="N5" s="116"/>
      <c r="O5" s="116"/>
      <c r="P5" s="117"/>
      <c r="Q5" s="185"/>
      <c r="R5" s="154"/>
      <c r="S5" s="118"/>
      <c r="T5" s="118"/>
      <c r="U5" s="119"/>
      <c r="V5" s="119"/>
      <c r="W5" s="119"/>
      <c r="X5" s="119"/>
      <c r="Y5" s="119"/>
      <c r="Z5" s="119"/>
      <c r="AA5" s="119"/>
      <c r="AB5" s="124"/>
      <c r="AC5" s="125"/>
    </row>
    <row r="6" spans="1:31" ht="15.9" customHeight="1" x14ac:dyDescent="0.45">
      <c r="A6" s="11"/>
      <c r="C6" s="15" t="s">
        <v>17</v>
      </c>
      <c r="D6" s="16" t="s">
        <v>24</v>
      </c>
      <c r="E6" s="17" t="s">
        <v>18</v>
      </c>
      <c r="F6" s="148" t="s">
        <v>89</v>
      </c>
      <c r="I6" s="35"/>
      <c r="Q6" s="185"/>
      <c r="R6" s="154"/>
    </row>
    <row r="7" spans="1:31" ht="15.9" customHeight="1" x14ac:dyDescent="0.45">
      <c r="C7" s="18"/>
      <c r="D7" s="19" t="s">
        <v>64</v>
      </c>
      <c r="E7" s="20" t="str">
        <f>D62&amp;"$"</f>
        <v>2058$</v>
      </c>
      <c r="F7" s="20"/>
      <c r="I7" s="84"/>
      <c r="J7" s="90"/>
      <c r="K7" s="84"/>
      <c r="L7" s="84"/>
      <c r="M7" s="84"/>
      <c r="N7" s="84"/>
      <c r="O7" s="84"/>
      <c r="P7" s="84"/>
      <c r="Q7" s="185"/>
      <c r="R7" s="154"/>
      <c r="S7" s="84"/>
      <c r="T7" s="84"/>
      <c r="U7" s="84"/>
      <c r="V7" s="84"/>
      <c r="W7" s="89"/>
      <c r="X7" s="89"/>
      <c r="Y7" s="89"/>
      <c r="Z7" s="89"/>
      <c r="AA7" s="84"/>
      <c r="AB7" s="84"/>
    </row>
    <row r="8" spans="1:31" ht="15.9" customHeight="1" x14ac:dyDescent="0.45">
      <c r="C8" s="3" t="s">
        <v>19</v>
      </c>
      <c r="D8" s="10">
        <f>B113</f>
        <v>241178359.96525589</v>
      </c>
      <c r="E8" s="217">
        <f>B118</f>
        <v>482921746.24945152</v>
      </c>
      <c r="F8" s="217">
        <f>B109</f>
        <v>516971067.52879071</v>
      </c>
      <c r="G8" s="67"/>
      <c r="H8" s="23"/>
      <c r="I8" s="23" t="s">
        <v>69</v>
      </c>
      <c r="J8" s="128"/>
      <c r="K8" s="23"/>
      <c r="L8" s="84"/>
      <c r="M8" s="84"/>
      <c r="N8" s="84"/>
      <c r="O8" s="84"/>
      <c r="P8" s="85"/>
      <c r="Q8" s="185"/>
      <c r="R8" s="154"/>
      <c r="S8" s="89"/>
      <c r="T8" s="87"/>
      <c r="U8" s="87"/>
      <c r="V8" s="88"/>
      <c r="W8" s="89"/>
      <c r="X8" s="89"/>
      <c r="Y8" s="89"/>
      <c r="Z8" s="89"/>
      <c r="AA8" s="89"/>
    </row>
    <row r="9" spans="1:31" ht="15.9" customHeight="1" x14ac:dyDescent="0.45">
      <c r="C9" s="3" t="s">
        <v>20</v>
      </c>
      <c r="D9" s="10">
        <f>B114</f>
        <v>211014263.99166146</v>
      </c>
      <c r="E9" s="217">
        <f>B119</f>
        <v>198150898.31410858</v>
      </c>
      <c r="F9" s="217">
        <f>B101</f>
        <v>520755527.10570216</v>
      </c>
      <c r="H9" s="45"/>
      <c r="I9" s="255">
        <f>IF(G40="red",2042,IF(G40="orange",2042,IF(G40="yellow",2050,IF(G40="green",2060,0))))</f>
        <v>2060</v>
      </c>
      <c r="J9" s="84"/>
      <c r="K9" s="84"/>
      <c r="L9" s="84"/>
      <c r="M9" s="84"/>
      <c r="N9" s="84"/>
      <c r="O9" s="84"/>
      <c r="P9" s="85"/>
      <c r="Q9" s="185"/>
      <c r="R9" s="154"/>
      <c r="S9" s="89"/>
      <c r="T9" s="87"/>
      <c r="U9" s="87"/>
      <c r="V9" s="88"/>
      <c r="W9" s="89"/>
      <c r="X9" s="89"/>
      <c r="Y9" s="120"/>
      <c r="Z9" s="120"/>
      <c r="AA9" s="120"/>
      <c r="AB9" s="89"/>
    </row>
    <row r="10" spans="1:31" ht="15.9" customHeight="1" x14ac:dyDescent="0.45">
      <c r="C10" s="3" t="s">
        <v>53</v>
      </c>
      <c r="D10" s="10">
        <f>B115</f>
        <v>110717957.86179158</v>
      </c>
      <c r="E10" s="217">
        <f>B120</f>
        <v>103464778.32393061</v>
      </c>
      <c r="F10" s="217">
        <f>B106</f>
        <v>273425690.38399404</v>
      </c>
      <c r="H10" s="84"/>
      <c r="I10" s="84"/>
      <c r="J10" s="23"/>
      <c r="K10" s="23"/>
      <c r="L10" s="84"/>
      <c r="M10" s="84"/>
      <c r="N10" s="84"/>
      <c r="O10" s="84"/>
      <c r="P10" s="85"/>
      <c r="Q10" s="153"/>
      <c r="R10" s="152"/>
      <c r="T10" s="87"/>
      <c r="U10" s="87"/>
      <c r="V10" s="88"/>
      <c r="W10" s="89"/>
      <c r="X10" s="89"/>
      <c r="Y10" s="89"/>
      <c r="Z10" s="89"/>
      <c r="AA10" s="89"/>
    </row>
    <row r="11" spans="1:31" ht="15.9" customHeight="1" x14ac:dyDescent="0.45">
      <c r="C11" s="3" t="s">
        <v>21</v>
      </c>
      <c r="D11" s="10">
        <f>SUM(D8:D10)</f>
        <v>562910581.8187089</v>
      </c>
      <c r="E11" s="10">
        <f t="shared" ref="E11" si="0">SUM(E8:E10)</f>
        <v>784537422.88749075</v>
      </c>
      <c r="F11" s="10">
        <f>SUM(F8:F10)</f>
        <v>1311152285.018487</v>
      </c>
      <c r="H11" s="84"/>
      <c r="I11" s="84"/>
      <c r="J11" s="23"/>
      <c r="K11" s="23"/>
      <c r="L11" s="84"/>
      <c r="M11" s="84"/>
      <c r="N11" s="84"/>
      <c r="O11" s="84"/>
      <c r="P11" s="85"/>
      <c r="Q11" s="153"/>
      <c r="R11" s="152"/>
      <c r="T11" s="87"/>
      <c r="U11" s="87"/>
      <c r="V11" s="88"/>
      <c r="W11" s="89"/>
      <c r="X11" s="89"/>
      <c r="Y11" s="89"/>
      <c r="Z11" s="89"/>
      <c r="AA11" s="89"/>
    </row>
    <row r="12" spans="1:31" ht="15.9" customHeight="1" x14ac:dyDescent="0.45">
      <c r="C12" s="22" t="s">
        <v>112</v>
      </c>
      <c r="D12" s="240">
        <f>B88</f>
        <v>21008889</v>
      </c>
      <c r="E12" s="240">
        <f>B89</f>
        <v>8252259.6272570109</v>
      </c>
      <c r="F12" s="240">
        <f>D12</f>
        <v>21008889</v>
      </c>
      <c r="G12" s="68"/>
      <c r="H12" s="84"/>
      <c r="I12" s="187"/>
      <c r="J12" s="188"/>
      <c r="K12" s="188"/>
      <c r="L12" s="187"/>
      <c r="M12" s="84"/>
      <c r="N12" s="84"/>
      <c r="O12" s="84"/>
      <c r="P12" s="85"/>
      <c r="Q12" s="153"/>
      <c r="R12" s="152"/>
      <c r="T12" s="87"/>
      <c r="U12" s="87"/>
      <c r="V12" s="88"/>
      <c r="W12" s="89"/>
      <c r="X12" s="89"/>
      <c r="Y12" s="89"/>
      <c r="Z12" s="89"/>
      <c r="AA12" s="89"/>
    </row>
    <row r="13" spans="1:31" ht="15.9" customHeight="1" x14ac:dyDescent="0.45">
      <c r="C13" s="22" t="s">
        <v>81</v>
      </c>
      <c r="D13" s="240">
        <f>D8/$D$12</f>
        <v>11.479824562129672</v>
      </c>
      <c r="E13" s="240">
        <f>E8/$E$12</f>
        <v>58.519940969182898</v>
      </c>
      <c r="F13" s="240">
        <f>F8/$F$12</f>
        <v>24.607253983244458</v>
      </c>
      <c r="H13" s="97"/>
      <c r="I13" s="97"/>
      <c r="J13" s="23"/>
      <c r="K13" s="23"/>
      <c r="L13" s="84"/>
      <c r="M13" s="84"/>
      <c r="N13" s="84"/>
      <c r="O13" s="84"/>
      <c r="P13" s="85"/>
      <c r="Q13" s="89"/>
      <c r="T13" s="87"/>
      <c r="U13" s="87"/>
      <c r="V13" s="88"/>
      <c r="W13" s="89"/>
      <c r="X13" s="89"/>
      <c r="Y13" s="89"/>
      <c r="Z13" s="89"/>
      <c r="AA13" s="89"/>
    </row>
    <row r="14" spans="1:31" ht="15.9" customHeight="1" x14ac:dyDescent="0.45">
      <c r="C14" s="3" t="s">
        <v>82</v>
      </c>
      <c r="D14" s="10">
        <f t="shared" ref="D14:D16" si="1">D9/$D$12</f>
        <v>10.044046783800013</v>
      </c>
      <c r="E14" s="10">
        <f t="shared" ref="E14:E16" si="2">E9/$E$12</f>
        <v>24.011714035222671</v>
      </c>
      <c r="F14" s="10">
        <f t="shared" ref="F14:F16" si="3">F9/$F$12</f>
        <v>24.78739009500703</v>
      </c>
      <c r="H14" s="98"/>
      <c r="I14" s="254" t="s">
        <v>161</v>
      </c>
      <c r="J14" s="254" t="s">
        <v>92</v>
      </c>
      <c r="K14" s="23"/>
      <c r="L14" s="84"/>
      <c r="O14" s="84"/>
      <c r="P14" s="85"/>
      <c r="Q14" s="85"/>
      <c r="R14" s="85"/>
      <c r="S14" s="85"/>
      <c r="T14" s="85"/>
      <c r="V14" s="88"/>
      <c r="W14" s="89"/>
      <c r="X14" s="89"/>
      <c r="Y14" s="89"/>
      <c r="Z14" s="89"/>
      <c r="AA14" s="89"/>
    </row>
    <row r="15" spans="1:31" ht="15.9" customHeight="1" x14ac:dyDescent="0.45">
      <c r="C15" s="3" t="s">
        <v>83</v>
      </c>
      <c r="D15" s="10">
        <f t="shared" si="1"/>
        <v>5.2700529695688134</v>
      </c>
      <c r="E15" s="10">
        <f t="shared" si="2"/>
        <v>12.537751233878899</v>
      </c>
      <c r="F15" s="10">
        <f t="shared" si="3"/>
        <v>13.014762007833639</v>
      </c>
      <c r="G15" s="81"/>
      <c r="H15" s="99"/>
      <c r="I15" s="162">
        <f>IF(G40="red",'Facility Tariffs'!C2,IF(G40="orange",'Facility Tariffs'!D2,IF(G40="yellow",'Facility Tariffs'!F2,IF(G40="green",'Facility Tariffs'!H2,0))))</f>
        <v>2060</v>
      </c>
      <c r="J15" s="252">
        <f>VLOOKUP(D40,'Facility Tariffs'!A3:J1000,IF(G40="red",3,IF(G40="orange",4,IF(G40="yellow",6,IF(G40="green",8,0)))),FALSE)</f>
        <v>11.2203</v>
      </c>
      <c r="K15" s="253" t="str">
        <f>I15&amp;" $ per tonne"</f>
        <v>2060 $ per tonne</v>
      </c>
      <c r="L15" s="84"/>
      <c r="O15" s="84"/>
      <c r="P15" s="85"/>
      <c r="Q15" s="85"/>
      <c r="R15" s="85"/>
      <c r="S15" s="85"/>
      <c r="T15" s="85"/>
      <c r="U15" s="87"/>
      <c r="V15" s="88"/>
      <c r="W15" s="89"/>
      <c r="X15" s="89"/>
      <c r="Y15" s="89"/>
      <c r="Z15" s="89"/>
      <c r="AA15" s="89"/>
    </row>
    <row r="16" spans="1:31" ht="15.9" customHeight="1" x14ac:dyDescent="0.45">
      <c r="C16" s="3" t="s">
        <v>84</v>
      </c>
      <c r="D16" s="241">
        <f t="shared" si="1"/>
        <v>26.793924315498497</v>
      </c>
      <c r="E16" s="241">
        <f t="shared" si="2"/>
        <v>95.069406238284472</v>
      </c>
      <c r="F16" s="241">
        <f t="shared" si="3"/>
        <v>62.409406086085134</v>
      </c>
      <c r="G16" s="82"/>
      <c r="H16" s="101"/>
      <c r="I16" s="162">
        <f>IF(G40="red",'Facility Tariffs'!D2,IF(G40="orange",'Facility Tariffs'!E2,IF(G40="yellow",'Facility Tariffs'!G2,IF(G40="green",'Facility Tariffs'!I2,0))))</f>
        <v>2062</v>
      </c>
      <c r="J16" s="252">
        <f>VLOOKUP(D40,'Facility Tariffs'!A3:J1000,IF(G40="red",4,IF(G40="orange",5,IF(G40="yellow",7,IF(G40="green",9,0)))),FALSE)</f>
        <v>12.193199999999999</v>
      </c>
      <c r="K16" s="253" t="str">
        <f>I16&amp;" $ per tonne"</f>
        <v>2062 $ per tonne</v>
      </c>
      <c r="L16" s="84"/>
      <c r="O16" s="84"/>
      <c r="P16" s="85"/>
      <c r="Q16" s="85"/>
      <c r="R16" s="85"/>
      <c r="S16" s="85"/>
      <c r="T16" s="85"/>
      <c r="U16" s="87"/>
      <c r="V16" s="88"/>
      <c r="W16" s="89"/>
      <c r="X16" s="89"/>
      <c r="Y16" s="89"/>
      <c r="Z16" s="89"/>
      <c r="AA16" s="89"/>
    </row>
    <row r="17" spans="3:35" ht="15.9" customHeight="1" x14ac:dyDescent="0.45">
      <c r="C17" s="149"/>
      <c r="D17" s="150"/>
      <c r="E17" s="151"/>
      <c r="F17" s="151"/>
      <c r="H17" s="100"/>
      <c r="I17" s="162" t="str">
        <f>IF(G40="red","na",IF(G40="orange",'Facility Tariffs'!F2,IF(G40="yellow",'Facility Tariffs'!H2,IF(G40="green","na",0))))</f>
        <v>na</v>
      </c>
      <c r="J17" s="252" t="e">
        <f>VLOOKUP(D40,'Facility Tariffs'!A3:J1000,IF(G40="red",1000,IF(G40="orange",6,IF(G40="yellow",8,IF(G40="green",1000,0)))),FALSE)</f>
        <v>#REF!</v>
      </c>
      <c r="K17" s="253" t="str">
        <f>I17&amp;" $ per tonne"</f>
        <v>na $ per tonne</v>
      </c>
      <c r="L17" s="84"/>
      <c r="Q17" s="85"/>
      <c r="R17" s="85"/>
      <c r="S17" s="85"/>
      <c r="T17" s="85"/>
      <c r="W17" s="89"/>
      <c r="X17" s="89"/>
      <c r="Y17" s="89"/>
    </row>
    <row r="18" spans="3:35" x14ac:dyDescent="0.45">
      <c r="C18" s="15" t="s">
        <v>65</v>
      </c>
      <c r="D18" s="16" t="s">
        <v>24</v>
      </c>
      <c r="E18" s="17" t="s">
        <v>18</v>
      </c>
      <c r="F18" s="148" t="s">
        <v>89</v>
      </c>
      <c r="H18" s="84"/>
      <c r="I18" s="162" t="str">
        <f>IF(G40="red","na",IF(G40="orange","na",IF(G40="yellow","na",IF(G40="green","na",0))))</f>
        <v>na</v>
      </c>
      <c r="J18" s="252" t="e">
        <f>VLOOKUP(D40,'Facility Tariffs'!A3:J1000,IF(G40="red",1000,IF(G40="orange",1000,IF(G40="yellow",1000,IF(G40="green",1000,0)))),FALSE)</f>
        <v>#REF!</v>
      </c>
      <c r="K18" s="253" t="str">
        <f>I18&amp;" $ per tonne"</f>
        <v>na $ per tonne</v>
      </c>
      <c r="L18" s="84"/>
      <c r="Q18" s="85"/>
      <c r="R18" s="85"/>
      <c r="S18" s="85"/>
      <c r="T18" s="85"/>
      <c r="W18" s="89"/>
      <c r="X18" s="89"/>
      <c r="Y18" s="89"/>
    </row>
    <row r="19" spans="3:35" x14ac:dyDescent="0.45">
      <c r="C19" s="18"/>
      <c r="D19" s="19" t="s">
        <v>64</v>
      </c>
      <c r="E19" s="20" t="str">
        <f>D62&amp;"$"</f>
        <v>2058$</v>
      </c>
      <c r="F19" s="20"/>
      <c r="H19" s="84"/>
      <c r="I19" s="162" t="str">
        <f>IF(G40="red","na",IF(G40="orange","na",IF(G40="yellow","na",IF(G40="green","na",0))))</f>
        <v>na</v>
      </c>
      <c r="J19" s="252" t="e">
        <f>VLOOKUP(D40,'Facility Tariffs'!A3:J1000,IF(G40="red",1000,IF(G40="orange",1000,IF(G40="yellow",1000,IF(G40="green",1000,0)))),FALSE)</f>
        <v>#REF!</v>
      </c>
      <c r="K19" s="253" t="str">
        <f>I19&amp;" $ per tonne"</f>
        <v>na $ per tonne</v>
      </c>
      <c r="L19" s="84"/>
      <c r="Q19" s="85"/>
      <c r="R19" s="85"/>
      <c r="S19" s="85"/>
      <c r="T19" s="85"/>
      <c r="W19" s="89"/>
      <c r="X19" s="89"/>
      <c r="Y19" s="89"/>
    </row>
    <row r="20" spans="3:35" x14ac:dyDescent="0.45">
      <c r="C20" s="129" t="s">
        <v>167</v>
      </c>
      <c r="D20" s="242">
        <f>B138</f>
        <v>-262611112.5</v>
      </c>
      <c r="E20" s="243">
        <f>B139</f>
        <v>-246602418.55118734</v>
      </c>
      <c r="F20" s="243">
        <f>B135</f>
        <v>-648089781.83179367</v>
      </c>
      <c r="H20" s="84"/>
      <c r="I20" s="84"/>
      <c r="J20" s="23"/>
      <c r="K20" s="23"/>
      <c r="L20" s="84"/>
      <c r="Q20" s="85"/>
      <c r="R20" s="85"/>
      <c r="S20" s="85"/>
      <c r="T20" s="85"/>
      <c r="W20" s="89"/>
      <c r="X20" s="89"/>
      <c r="Y20" s="89"/>
    </row>
    <row r="21" spans="3:35" x14ac:dyDescent="0.45">
      <c r="C21" s="3" t="s">
        <v>50</v>
      </c>
      <c r="D21" s="10">
        <f>B148</f>
        <v>932764610.17631435</v>
      </c>
      <c r="E21" s="10">
        <f>B149</f>
        <v>875903561.80542266</v>
      </c>
      <c r="F21" s="10">
        <f>B147</f>
        <v>2301940717.4157019</v>
      </c>
      <c r="H21" s="84"/>
      <c r="I21" s="84"/>
      <c r="J21" s="23"/>
      <c r="K21" s="23"/>
      <c r="L21" s="84"/>
      <c r="R21" s="152"/>
      <c r="S21" s="152"/>
      <c r="W21" s="89"/>
      <c r="X21" s="89"/>
      <c r="Y21" s="89"/>
    </row>
    <row r="22" spans="3:35" x14ac:dyDescent="0.45">
      <c r="C22" s="3" t="s">
        <v>80</v>
      </c>
      <c r="D22" s="10">
        <f>B189</f>
        <v>194490937.61097577</v>
      </c>
      <c r="E22" s="10">
        <f>B188</f>
        <v>206033971.55488688</v>
      </c>
      <c r="F22" s="10">
        <f>B164</f>
        <v>470218096.04406732</v>
      </c>
      <c r="H22" s="84"/>
      <c r="I22" s="84"/>
      <c r="J22" s="23"/>
      <c r="K22" s="23"/>
      <c r="L22" s="84"/>
      <c r="R22" s="152"/>
      <c r="S22" s="152"/>
      <c r="W22" s="89"/>
      <c r="X22" s="89"/>
      <c r="Y22" s="89"/>
    </row>
    <row r="23" spans="3:35" x14ac:dyDescent="0.45">
      <c r="C23" s="3" t="s">
        <v>61</v>
      </c>
      <c r="D23" s="10">
        <f>SUM(D20:D22)</f>
        <v>864644435.2872901</v>
      </c>
      <c r="E23" s="10">
        <f>SUM(E20:E22)</f>
        <v>835335114.80912209</v>
      </c>
      <c r="F23" s="10">
        <f>SUM(F20:F22)</f>
        <v>2124069031.6279755</v>
      </c>
      <c r="H23" s="84"/>
      <c r="I23" s="84"/>
      <c r="J23" s="23"/>
      <c r="K23" s="23"/>
      <c r="L23" s="84"/>
      <c r="W23" s="89"/>
      <c r="X23" s="89"/>
      <c r="Y23" s="89"/>
    </row>
    <row r="24" spans="3:35" x14ac:dyDescent="0.45">
      <c r="C24" s="22" t="s">
        <v>85</v>
      </c>
      <c r="D24" s="240">
        <f>D20/$D$12</f>
        <v>-12.5</v>
      </c>
      <c r="E24" s="240">
        <f>E20/$E$12</f>
        <v>-29.883017463079518</v>
      </c>
      <c r="F24" s="240">
        <f>F20/$F$12</f>
        <v>-30.848360512152436</v>
      </c>
      <c r="H24" s="84"/>
      <c r="I24" s="84"/>
      <c r="J24" s="23"/>
      <c r="K24" s="23"/>
      <c r="L24" s="84"/>
      <c r="W24" s="89"/>
      <c r="X24" s="89"/>
      <c r="Y24" s="89"/>
    </row>
    <row r="25" spans="3:35" x14ac:dyDescent="0.45">
      <c r="C25" s="3" t="s">
        <v>86</v>
      </c>
      <c r="D25" s="10">
        <f t="shared" ref="D25:D27" si="4">D21/$D$12</f>
        <v>44.398569109309605</v>
      </c>
      <c r="E25" s="10">
        <f t="shared" ref="E25:E26" si="5">E21/$E$12</f>
        <v>106.14105728233933</v>
      </c>
      <c r="F25" s="10">
        <f t="shared" ref="F25:F27" si="6">F21/$F$12</f>
        <v>109.56984528861578</v>
      </c>
      <c r="H25" s="84"/>
      <c r="I25" s="84"/>
      <c r="J25" s="23"/>
      <c r="K25" s="23"/>
      <c r="L25" s="84"/>
      <c r="W25" s="89"/>
      <c r="X25" s="89"/>
      <c r="Y25" s="89"/>
    </row>
    <row r="26" spans="3:35" x14ac:dyDescent="0.45">
      <c r="C26" s="3" t="s">
        <v>87</v>
      </c>
      <c r="D26" s="10">
        <f t="shared" si="4"/>
        <v>9.2575546289466217</v>
      </c>
      <c r="E26" s="10">
        <f t="shared" si="5"/>
        <v>24.966976423567882</v>
      </c>
      <c r="F26" s="10">
        <f t="shared" si="6"/>
        <v>22.381863983577016</v>
      </c>
      <c r="H26" s="84"/>
      <c r="I26" s="92"/>
      <c r="J26" s="23"/>
      <c r="K26" s="23"/>
      <c r="L26" s="93"/>
      <c r="W26" s="86"/>
      <c r="X26" s="86"/>
      <c r="Y26" s="89"/>
    </row>
    <row r="27" spans="3:35" x14ac:dyDescent="0.45">
      <c r="C27" s="3" t="s">
        <v>66</v>
      </c>
      <c r="D27" s="241">
        <f t="shared" si="4"/>
        <v>41.156123738256227</v>
      </c>
      <c r="E27" s="241">
        <f>E23/$E$12</f>
        <v>101.22501624282769</v>
      </c>
      <c r="F27" s="241">
        <f t="shared" si="6"/>
        <v>101.10334876004036</v>
      </c>
      <c r="H27" s="84"/>
      <c r="I27" s="84"/>
      <c r="J27" s="23"/>
      <c r="K27" s="23"/>
      <c r="L27" s="84"/>
      <c r="M27" s="259" t="str">
        <f>"Section 45Q Tax Credit Schedule for CO2-EOR (assuming "&amp;D55*100&amp;"% inflation per year after 2026)"</f>
        <v>Section 45Q Tax Credit Schedule for CO2-EOR (assuming 2% inflation per year after 2026)</v>
      </c>
      <c r="N27" s="260"/>
      <c r="O27" s="260"/>
      <c r="P27" s="260"/>
      <c r="Q27" s="260"/>
      <c r="R27" s="260"/>
      <c r="S27" s="260"/>
      <c r="T27" s="260"/>
      <c r="U27" s="260"/>
      <c r="V27" s="261"/>
      <c r="W27" s="89"/>
      <c r="X27" s="89"/>
      <c r="Y27" s="89"/>
      <c r="Z27" s="259" t="str">
        <f>"Section 45Q Tax Credit Schedule for Saline Storage (assuming "&amp;D55*100&amp;"% inflation per year after 2026)"</f>
        <v>Section 45Q Tax Credit Schedule for Saline Storage (assuming 2% inflation per year after 2026)</v>
      </c>
      <c r="AA27" s="260"/>
      <c r="AB27" s="260"/>
      <c r="AC27" s="260"/>
      <c r="AD27" s="260"/>
      <c r="AE27" s="260"/>
      <c r="AF27" s="260"/>
      <c r="AG27" s="260"/>
      <c r="AH27" s="260"/>
      <c r="AI27" s="261"/>
    </row>
    <row r="28" spans="3:35" x14ac:dyDescent="0.45">
      <c r="C28" s="149"/>
      <c r="D28" s="150"/>
      <c r="E28" s="150"/>
      <c r="F28" s="150"/>
      <c r="I28" s="84"/>
      <c r="J28" s="23"/>
      <c r="K28" s="23"/>
      <c r="L28" s="84"/>
      <c r="M28" s="180">
        <v>2</v>
      </c>
      <c r="N28" s="132" t="s">
        <v>63</v>
      </c>
      <c r="O28" s="170"/>
      <c r="P28" s="171"/>
      <c r="Q28" s="98"/>
      <c r="R28" s="98"/>
      <c r="S28" s="134"/>
      <c r="T28" s="132" t="s">
        <v>63</v>
      </c>
      <c r="U28" s="170"/>
      <c r="V28" s="172"/>
      <c r="W28" s="89"/>
      <c r="X28" s="89"/>
      <c r="Y28" s="89"/>
      <c r="Z28" s="180">
        <f>M28</f>
        <v>2</v>
      </c>
      <c r="AA28" s="132" t="s">
        <v>63</v>
      </c>
      <c r="AB28" s="132"/>
      <c r="AC28" s="133"/>
      <c r="AD28" s="98"/>
      <c r="AE28" s="98"/>
      <c r="AF28" s="134"/>
      <c r="AG28" s="132" t="s">
        <v>63</v>
      </c>
      <c r="AH28" s="170"/>
      <c r="AI28" s="172"/>
    </row>
    <row r="29" spans="3:35" x14ac:dyDescent="0.45">
      <c r="C29" s="13" t="s">
        <v>62</v>
      </c>
      <c r="D29" s="10">
        <f>D23-D11</f>
        <v>301733853.4685812</v>
      </c>
      <c r="E29" s="10">
        <f>E23-E11</f>
        <v>50797691.921631336</v>
      </c>
      <c r="F29" s="242">
        <f>F23-F11</f>
        <v>812916746.60948849</v>
      </c>
      <c r="I29" s="84"/>
      <c r="J29" s="23"/>
      <c r="K29" s="23"/>
      <c r="L29" s="84"/>
      <c r="M29" s="181">
        <v>2016</v>
      </c>
      <c r="N29" s="161">
        <v>10</v>
      </c>
      <c r="O29" s="174"/>
      <c r="P29" s="174"/>
      <c r="Q29" s="135"/>
      <c r="R29" s="98"/>
      <c r="S29" s="162">
        <v>2061</v>
      </c>
      <c r="T29" s="256">
        <f t="shared" ref="T29:T73" si="7">$N$39*((1+$D$55)^(S29-$M$39))</f>
        <v>69.996134343185915</v>
      </c>
      <c r="U29" s="175"/>
      <c r="V29" s="176"/>
      <c r="W29" s="89"/>
      <c r="X29" s="89"/>
      <c r="Y29" s="89"/>
      <c r="Z29" s="181">
        <v>2016</v>
      </c>
      <c r="AA29" s="161">
        <v>20</v>
      </c>
      <c r="AB29" s="174"/>
      <c r="AC29" s="174"/>
      <c r="AD29" s="135"/>
      <c r="AE29" s="98"/>
      <c r="AF29" s="162">
        <v>2061</v>
      </c>
      <c r="AG29" s="256">
        <f t="shared" ref="AG29:AG73" si="8">$AA$39*((1+$D$55)^(AF29-$Z$39))</f>
        <v>99.994477633122742</v>
      </c>
      <c r="AH29" s="175"/>
      <c r="AI29" s="176"/>
    </row>
    <row r="30" spans="3:35" x14ac:dyDescent="0.45">
      <c r="C30" s="26" t="s">
        <v>88</v>
      </c>
      <c r="D30" s="244">
        <f>D29/D12</f>
        <v>14.36219942275773</v>
      </c>
      <c r="E30" s="244">
        <f>E29/E12</f>
        <v>6.1556100045432167</v>
      </c>
      <c r="F30" s="244">
        <f>F29/F12</f>
        <v>38.69394267395522</v>
      </c>
      <c r="I30" s="84"/>
      <c r="J30" s="23"/>
      <c r="K30" s="23"/>
      <c r="L30" s="84"/>
      <c r="M30" s="181">
        <v>2017</v>
      </c>
      <c r="N30" s="163">
        <v>12.83</v>
      </c>
      <c r="O30" s="174"/>
      <c r="P30" s="174"/>
      <c r="Q30" s="135"/>
      <c r="R30" s="98"/>
      <c r="S30" s="162">
        <v>2062</v>
      </c>
      <c r="T30" s="256">
        <f t="shared" si="7"/>
        <v>71.396057030049633</v>
      </c>
      <c r="U30" s="175"/>
      <c r="V30" s="176"/>
      <c r="W30" s="89"/>
      <c r="X30" s="89"/>
      <c r="Y30" s="89"/>
      <c r="Z30" s="181">
        <v>2017</v>
      </c>
      <c r="AA30" s="163">
        <v>22.66</v>
      </c>
      <c r="AB30" s="174"/>
      <c r="AC30" s="174"/>
      <c r="AD30" s="135"/>
      <c r="AE30" s="98"/>
      <c r="AF30" s="162">
        <v>2062</v>
      </c>
      <c r="AG30" s="256">
        <f t="shared" si="8"/>
        <v>101.99436718578518</v>
      </c>
      <c r="AH30" s="175"/>
      <c r="AI30" s="176"/>
    </row>
    <row r="31" spans="3:35" x14ac:dyDescent="0.45">
      <c r="C31" s="13"/>
      <c r="D31" s="106"/>
      <c r="E31" s="115"/>
      <c r="F31" s="115"/>
      <c r="I31" s="84"/>
      <c r="J31" s="23"/>
      <c r="K31" s="23"/>
      <c r="L31" s="84"/>
      <c r="M31" s="181">
        <v>2018</v>
      </c>
      <c r="N31" s="161">
        <v>15.2933</v>
      </c>
      <c r="O31" s="174"/>
      <c r="P31" s="174"/>
      <c r="Q31" s="135"/>
      <c r="R31" s="98"/>
      <c r="S31" s="162">
        <v>2063</v>
      </c>
      <c r="T31" s="256">
        <f t="shared" si="7"/>
        <v>72.823978170650634</v>
      </c>
      <c r="U31" s="175"/>
      <c r="V31" s="176"/>
      <c r="W31" s="89"/>
      <c r="X31" s="89"/>
      <c r="Y31" s="89"/>
      <c r="Z31" s="181">
        <v>2018</v>
      </c>
      <c r="AA31" s="161">
        <v>25.697800000000001</v>
      </c>
      <c r="AB31" s="174"/>
      <c r="AC31" s="174"/>
      <c r="AD31" s="135"/>
      <c r="AE31" s="98"/>
      <c r="AF31" s="162">
        <v>2063</v>
      </c>
      <c r="AG31" s="256">
        <f t="shared" si="8"/>
        <v>104.0342545295009</v>
      </c>
      <c r="AH31" s="175"/>
      <c r="AI31" s="176"/>
    </row>
    <row r="32" spans="3:35" x14ac:dyDescent="0.45">
      <c r="C32" s="4" t="s">
        <v>25</v>
      </c>
      <c r="D32" s="3"/>
      <c r="E32" s="23"/>
      <c r="F32" s="23"/>
      <c r="I32" s="84"/>
      <c r="J32" s="23"/>
      <c r="K32" s="23"/>
      <c r="L32" s="84"/>
      <c r="M32" s="181">
        <v>2019</v>
      </c>
      <c r="N32" s="161">
        <v>17.756699999999999</v>
      </c>
      <c r="O32" s="174"/>
      <c r="P32" s="174"/>
      <c r="Q32" s="135"/>
      <c r="R32" s="98"/>
      <c r="S32" s="162">
        <v>2064</v>
      </c>
      <c r="T32" s="256">
        <f t="shared" si="7"/>
        <v>74.280457734063646</v>
      </c>
      <c r="U32" s="175"/>
      <c r="V32" s="176"/>
      <c r="W32" s="89"/>
      <c r="X32" s="89"/>
      <c r="Y32" s="89"/>
      <c r="Z32" s="181">
        <v>2019</v>
      </c>
      <c r="AA32" s="161">
        <v>28.735600000000002</v>
      </c>
      <c r="AB32" s="174"/>
      <c r="AC32" s="174"/>
      <c r="AD32" s="135"/>
      <c r="AE32" s="98"/>
      <c r="AF32" s="162">
        <v>2064</v>
      </c>
      <c r="AG32" s="256">
        <f t="shared" si="8"/>
        <v>106.11493962009094</v>
      </c>
      <c r="AH32" s="175"/>
      <c r="AI32" s="176"/>
    </row>
    <row r="33" spans="1:35" x14ac:dyDescent="0.45">
      <c r="C33" s="5" t="s">
        <v>26</v>
      </c>
      <c r="D33" s="3"/>
      <c r="I33" s="84"/>
      <c r="J33" s="23"/>
      <c r="K33" s="23"/>
      <c r="L33" s="84"/>
      <c r="M33" s="181">
        <v>2020</v>
      </c>
      <c r="N33" s="161">
        <v>20.220000000000002</v>
      </c>
      <c r="O33" s="174"/>
      <c r="P33" s="174"/>
      <c r="Q33" s="135"/>
      <c r="R33" s="98"/>
      <c r="S33" s="162">
        <v>2065</v>
      </c>
      <c r="T33" s="256">
        <f t="shared" si="7"/>
        <v>75.766066888744902</v>
      </c>
      <c r="U33" s="175"/>
      <c r="V33" s="176"/>
      <c r="W33" s="89"/>
      <c r="X33" s="89"/>
      <c r="Y33" s="89"/>
      <c r="Z33" s="181">
        <v>2020</v>
      </c>
      <c r="AA33" s="161">
        <v>31.773299999999999</v>
      </c>
      <c r="AB33" s="174"/>
      <c r="AC33" s="174"/>
      <c r="AD33" s="135"/>
      <c r="AE33" s="98"/>
      <c r="AF33" s="162">
        <v>2065</v>
      </c>
      <c r="AG33" s="256">
        <f t="shared" si="8"/>
        <v>108.23723841249272</v>
      </c>
      <c r="AH33" s="175"/>
      <c r="AI33" s="176"/>
    </row>
    <row r="34" spans="1:35" x14ac:dyDescent="0.45">
      <c r="C34" s="164" t="s">
        <v>27</v>
      </c>
      <c r="D34" s="3" t="s">
        <v>28</v>
      </c>
      <c r="I34" s="84"/>
      <c r="J34" s="23"/>
      <c r="K34" s="91"/>
      <c r="L34" s="84"/>
      <c r="M34" s="181">
        <v>2021</v>
      </c>
      <c r="N34" s="161">
        <v>22.683299999999999</v>
      </c>
      <c r="O34" s="174"/>
      <c r="P34" s="174"/>
      <c r="Q34" s="135"/>
      <c r="R34" s="127"/>
      <c r="S34" s="162">
        <v>2066</v>
      </c>
      <c r="T34" s="256">
        <f t="shared" si="7"/>
        <v>77.281388226519809</v>
      </c>
      <c r="U34" s="175"/>
      <c r="V34" s="176"/>
      <c r="W34" s="89"/>
      <c r="X34" s="89"/>
      <c r="Y34" s="89"/>
      <c r="Z34" s="181">
        <v>2021</v>
      </c>
      <c r="AA34" s="161">
        <v>34.811100000000003</v>
      </c>
      <c r="AB34" s="174"/>
      <c r="AC34" s="174"/>
      <c r="AD34" s="135"/>
      <c r="AE34" s="127"/>
      <c r="AF34" s="162">
        <v>2066</v>
      </c>
      <c r="AG34" s="256">
        <f t="shared" si="8"/>
        <v>110.40198318074259</v>
      </c>
      <c r="AH34" s="175"/>
      <c r="AI34" s="176"/>
    </row>
    <row r="35" spans="1:35" x14ac:dyDescent="0.45">
      <c r="C35" s="245"/>
      <c r="D35" s="3" t="s">
        <v>29</v>
      </c>
      <c r="I35" s="84"/>
      <c r="J35" s="23"/>
      <c r="K35" s="91"/>
      <c r="L35" s="84"/>
      <c r="M35" s="181">
        <v>2022</v>
      </c>
      <c r="N35" s="161">
        <v>25.146699999999999</v>
      </c>
      <c r="O35" s="174"/>
      <c r="P35" s="174"/>
      <c r="Q35" s="135"/>
      <c r="R35" s="98"/>
      <c r="S35" s="162">
        <v>2067</v>
      </c>
      <c r="T35" s="256">
        <f t="shared" si="7"/>
        <v>78.827015991050203</v>
      </c>
      <c r="U35" s="175"/>
      <c r="V35" s="176"/>
      <c r="W35" s="89"/>
      <c r="X35" s="89"/>
      <c r="Y35" s="89"/>
      <c r="Z35" s="181">
        <v>2022</v>
      </c>
      <c r="AA35" s="161">
        <v>37.8489</v>
      </c>
      <c r="AB35" s="174"/>
      <c r="AC35" s="174"/>
      <c r="AD35" s="135"/>
      <c r="AE35" s="98"/>
      <c r="AF35" s="162">
        <v>2067</v>
      </c>
      <c r="AG35" s="256">
        <f t="shared" si="8"/>
        <v>112.61002284435745</v>
      </c>
      <c r="AH35" s="175"/>
      <c r="AI35" s="176"/>
    </row>
    <row r="36" spans="1:35" x14ac:dyDescent="0.45">
      <c r="C36" s="246"/>
      <c r="D36" s="166" t="s">
        <v>93</v>
      </c>
      <c r="I36" s="84"/>
      <c r="J36" s="23"/>
      <c r="K36" s="91"/>
      <c r="L36" s="84"/>
      <c r="M36" s="181">
        <v>2023</v>
      </c>
      <c r="N36" s="161">
        <v>27.610000000000007</v>
      </c>
      <c r="O36" s="174"/>
      <c r="P36" s="174"/>
      <c r="Q36" s="135"/>
      <c r="R36" s="98"/>
      <c r="S36" s="162">
        <v>2068</v>
      </c>
      <c r="T36" s="256">
        <f t="shared" si="7"/>
        <v>80.40355631087121</v>
      </c>
      <c r="U36" s="175"/>
      <c r="V36" s="176"/>
      <c r="W36" s="89"/>
      <c r="X36" s="89"/>
      <c r="Y36" s="89"/>
      <c r="Z36" s="181">
        <v>2023</v>
      </c>
      <c r="AA36" s="161">
        <v>40.886699999999998</v>
      </c>
      <c r="AB36" s="174"/>
      <c r="AC36" s="174"/>
      <c r="AD36" s="135"/>
      <c r="AE36" s="98"/>
      <c r="AF36" s="162">
        <v>2068</v>
      </c>
      <c r="AG36" s="256">
        <f t="shared" si="8"/>
        <v>114.86222330124458</v>
      </c>
      <c r="AH36" s="175"/>
      <c r="AI36" s="176"/>
    </row>
    <row r="37" spans="1:35" ht="16.3" thickBot="1" x14ac:dyDescent="0.5">
      <c r="A37" s="14"/>
      <c r="B37" s="14"/>
      <c r="C37" s="14"/>
      <c r="D37" s="14"/>
      <c r="E37" s="14"/>
      <c r="F37" s="14"/>
      <c r="G37" s="14"/>
      <c r="I37" s="84"/>
      <c r="J37" s="23"/>
      <c r="K37" s="91"/>
      <c r="L37" s="84"/>
      <c r="M37" s="181">
        <v>2024</v>
      </c>
      <c r="N37" s="161">
        <v>30.0733</v>
      </c>
      <c r="O37" s="174"/>
      <c r="P37" s="174"/>
      <c r="Q37" s="135"/>
      <c r="R37" s="98"/>
      <c r="S37" s="162">
        <v>2069</v>
      </c>
      <c r="T37" s="256">
        <f t="shared" si="7"/>
        <v>82.01162743708862</v>
      </c>
      <c r="U37" s="175"/>
      <c r="V37" s="176"/>
      <c r="W37" s="89"/>
      <c r="X37" s="89"/>
      <c r="Y37" s="89"/>
      <c r="Z37" s="181">
        <v>2024</v>
      </c>
      <c r="AA37" s="161">
        <v>43.924399999999999</v>
      </c>
      <c r="AB37" s="174"/>
      <c r="AC37" s="174"/>
      <c r="AD37" s="135"/>
      <c r="AE37" s="98"/>
      <c r="AF37" s="162">
        <v>2069</v>
      </c>
      <c r="AG37" s="256">
        <f t="shared" si="8"/>
        <v>117.15946776726946</v>
      </c>
      <c r="AH37" s="175"/>
      <c r="AI37" s="176"/>
    </row>
    <row r="38" spans="1:35" x14ac:dyDescent="0.45">
      <c r="B38" s="13" t="s">
        <v>1</v>
      </c>
      <c r="C38" s="24" t="s">
        <v>2</v>
      </c>
      <c r="D38" s="24" t="s">
        <v>3</v>
      </c>
      <c r="E38" s="24" t="s">
        <v>101</v>
      </c>
      <c r="F38" s="24"/>
      <c r="M38" s="181">
        <v>2025</v>
      </c>
      <c r="N38" s="161">
        <v>32.536700000000003</v>
      </c>
      <c r="O38" s="174"/>
      <c r="P38" s="174"/>
      <c r="Q38" s="135"/>
      <c r="R38" s="98"/>
      <c r="S38" s="162">
        <v>2070</v>
      </c>
      <c r="T38" s="256">
        <f t="shared" si="7"/>
        <v>83.651859985830413</v>
      </c>
      <c r="U38" s="175"/>
      <c r="V38" s="176"/>
      <c r="X38" s="89"/>
      <c r="Y38" s="89"/>
      <c r="Z38" s="181">
        <v>2025</v>
      </c>
      <c r="AA38" s="161">
        <v>46.962200000000003</v>
      </c>
      <c r="AB38" s="174"/>
      <c r="AC38" s="174"/>
      <c r="AD38" s="135"/>
      <c r="AE38" s="98"/>
      <c r="AF38" s="162">
        <v>2070</v>
      </c>
      <c r="AG38" s="256">
        <f t="shared" si="8"/>
        <v>119.50265712261488</v>
      </c>
      <c r="AH38" s="175"/>
      <c r="AI38" s="176"/>
    </row>
    <row r="39" spans="1:35" x14ac:dyDescent="0.45">
      <c r="B39" s="3"/>
      <c r="C39" s="8" t="s">
        <v>15</v>
      </c>
      <c r="D39" s="9"/>
      <c r="E39" s="9"/>
      <c r="F39" s="4"/>
      <c r="I39" s="109"/>
      <c r="J39" s="68"/>
      <c r="M39" s="181">
        <v>2026</v>
      </c>
      <c r="N39" s="163">
        <v>35</v>
      </c>
      <c r="O39" s="174"/>
      <c r="P39" s="174"/>
      <c r="Q39" s="135"/>
      <c r="R39" s="98"/>
      <c r="S39" s="162">
        <f t="shared" ref="S39:S42" si="9">S38+1</f>
        <v>2071</v>
      </c>
      <c r="T39" s="256">
        <f t="shared" si="7"/>
        <v>85.324897185547016</v>
      </c>
      <c r="U39" s="175"/>
      <c r="V39" s="176"/>
      <c r="X39" s="89"/>
      <c r="Z39" s="181">
        <v>2026</v>
      </c>
      <c r="AA39" s="163">
        <v>50</v>
      </c>
      <c r="AB39" s="174"/>
      <c r="AC39" s="174"/>
      <c r="AD39" s="135"/>
      <c r="AE39" s="98"/>
      <c r="AF39" s="162">
        <f>AF38+1</f>
        <v>2071</v>
      </c>
      <c r="AG39" s="256">
        <f t="shared" si="8"/>
        <v>121.89271026506717</v>
      </c>
      <c r="AH39" s="175"/>
      <c r="AI39" s="176"/>
    </row>
    <row r="40" spans="1:35" x14ac:dyDescent="0.45">
      <c r="B40" s="3"/>
      <c r="C40" s="6" t="s">
        <v>47</v>
      </c>
      <c r="D40" s="192">
        <v>105</v>
      </c>
      <c r="E40" s="9"/>
      <c r="F40" s="6" t="s">
        <v>48</v>
      </c>
      <c r="G40" s="194" t="str">
        <f>VLOOKUP(D40,'Facility Databank'!A2:C1000,2,FALSE)</f>
        <v>Green</v>
      </c>
      <c r="I40" s="68"/>
      <c r="J40" s="68"/>
      <c r="M40" s="181">
        <v>2027</v>
      </c>
      <c r="N40" s="161">
        <f t="shared" ref="N40:N73" si="10">$N$39*((1+$D$55)^(M40-$M$39))</f>
        <v>35.700000000000003</v>
      </c>
      <c r="O40" s="174"/>
      <c r="P40" s="174"/>
      <c r="Q40" s="135"/>
      <c r="R40" s="98"/>
      <c r="S40" s="162">
        <f t="shared" si="9"/>
        <v>2072</v>
      </c>
      <c r="T40" s="256">
        <f t="shared" si="7"/>
        <v>87.031395129257959</v>
      </c>
      <c r="U40" s="175"/>
      <c r="V40" s="176"/>
      <c r="X40" s="89"/>
      <c r="Z40" s="181">
        <v>2027</v>
      </c>
      <c r="AA40" s="161">
        <f t="shared" ref="AA40:AA73" si="11">$AA$39*((1+$D$55)^(Z40-$Z$39))</f>
        <v>51</v>
      </c>
      <c r="AB40" s="174"/>
      <c r="AC40" s="174"/>
      <c r="AD40" s="135"/>
      <c r="AE40" s="98"/>
      <c r="AF40" s="162">
        <f t="shared" ref="AF40:AF42" si="12">AF39+1</f>
        <v>2072</v>
      </c>
      <c r="AG40" s="256">
        <f t="shared" si="8"/>
        <v>124.33056447036851</v>
      </c>
      <c r="AH40" s="175"/>
      <c r="AI40" s="176"/>
    </row>
    <row r="41" spans="1:35" x14ac:dyDescent="0.45">
      <c r="B41" s="3"/>
      <c r="C41" s="6" t="s">
        <v>94</v>
      </c>
      <c r="D41" s="189">
        <f>D42*1000/0.55/450/8760</f>
        <v>807.49999999999989</v>
      </c>
      <c r="E41" s="5" t="s">
        <v>59</v>
      </c>
      <c r="F41" s="5"/>
      <c r="I41" s="110"/>
      <c r="J41" s="111"/>
      <c r="M41" s="181">
        <v>2028</v>
      </c>
      <c r="N41" s="161">
        <f t="shared" si="10"/>
        <v>36.414000000000001</v>
      </c>
      <c r="O41" s="174"/>
      <c r="P41" s="174"/>
      <c r="Q41" s="135"/>
      <c r="R41" s="98"/>
      <c r="S41" s="162">
        <f t="shared" si="9"/>
        <v>2073</v>
      </c>
      <c r="T41" s="256">
        <f t="shared" si="7"/>
        <v>88.772023031843091</v>
      </c>
      <c r="U41" s="175"/>
      <c r="V41" s="176"/>
      <c r="X41" s="89"/>
      <c r="Z41" s="181">
        <v>2028</v>
      </c>
      <c r="AA41" s="161">
        <f t="shared" si="11"/>
        <v>52.019999999999996</v>
      </c>
      <c r="AB41" s="174"/>
      <c r="AC41" s="174"/>
      <c r="AD41" s="135"/>
      <c r="AE41" s="98"/>
      <c r="AF41" s="162">
        <f t="shared" si="12"/>
        <v>2073</v>
      </c>
      <c r="AG41" s="256">
        <f t="shared" si="8"/>
        <v>126.81717575977585</v>
      </c>
      <c r="AH41" s="175"/>
      <c r="AI41" s="176"/>
    </row>
    <row r="42" spans="1:35" x14ac:dyDescent="0.45">
      <c r="B42" s="3"/>
      <c r="C42" s="190" t="s">
        <v>105</v>
      </c>
      <c r="D42" s="165">
        <f>VLOOKUP(D40,'Facility Databank'!A2:C1000,3,FALSE)</f>
        <v>1750740.75</v>
      </c>
      <c r="E42" s="5" t="s">
        <v>14</v>
      </c>
      <c r="F42" s="4"/>
      <c r="I42" s="110"/>
      <c r="J42" s="111"/>
      <c r="M42" s="181">
        <v>2029</v>
      </c>
      <c r="N42" s="161">
        <f t="shared" si="10"/>
        <v>37.14228</v>
      </c>
      <c r="O42" s="174"/>
      <c r="P42" s="174"/>
      <c r="Q42" s="135"/>
      <c r="R42" s="98"/>
      <c r="S42" s="162">
        <f t="shared" si="9"/>
        <v>2074</v>
      </c>
      <c r="T42" s="256">
        <f t="shared" si="7"/>
        <v>90.547463492479963</v>
      </c>
      <c r="U42" s="175"/>
      <c r="V42" s="176"/>
      <c r="X42" s="89"/>
      <c r="Z42" s="181">
        <v>2029</v>
      </c>
      <c r="AA42" s="161">
        <f t="shared" si="11"/>
        <v>53.060399999999994</v>
      </c>
      <c r="AB42" s="174"/>
      <c r="AC42" s="174"/>
      <c r="AD42" s="135"/>
      <c r="AE42" s="98"/>
      <c r="AF42" s="162">
        <f t="shared" si="12"/>
        <v>2074</v>
      </c>
      <c r="AG42" s="256">
        <f t="shared" si="8"/>
        <v>129.35351927497138</v>
      </c>
      <c r="AH42" s="175"/>
      <c r="AI42" s="176"/>
    </row>
    <row r="43" spans="1:35" x14ac:dyDescent="0.45">
      <c r="B43" s="3"/>
      <c r="C43" s="190" t="s">
        <v>95</v>
      </c>
      <c r="D43" s="193">
        <f>VLOOKUP(D40,'Facility Databank'!A2:D1000,4,FALSE)</f>
        <v>298.67289159784013</v>
      </c>
      <c r="E43" s="5" t="s">
        <v>90</v>
      </c>
      <c r="F43" s="4"/>
      <c r="I43" s="110"/>
      <c r="J43" s="111"/>
      <c r="M43" s="181">
        <v>2030</v>
      </c>
      <c r="N43" s="161">
        <f t="shared" si="10"/>
        <v>37.885125600000002</v>
      </c>
      <c r="O43" s="174"/>
      <c r="P43" s="174"/>
      <c r="Q43" s="135"/>
      <c r="R43" s="98"/>
      <c r="S43" s="162">
        <f t="shared" ref="S43:S73" si="13">S42+1</f>
        <v>2075</v>
      </c>
      <c r="T43" s="256">
        <f t="shared" si="7"/>
        <v>92.358412762329579</v>
      </c>
      <c r="U43" s="175"/>
      <c r="V43" s="176"/>
      <c r="X43" s="89"/>
      <c r="Z43" s="181">
        <v>2030</v>
      </c>
      <c r="AA43" s="161">
        <f t="shared" si="11"/>
        <v>54.121608000000002</v>
      </c>
      <c r="AB43" s="174"/>
      <c r="AC43" s="174"/>
      <c r="AD43" s="135"/>
      <c r="AE43" s="98"/>
      <c r="AF43" s="162">
        <f t="shared" ref="AF43:AF73" si="14">AF42+1</f>
        <v>2075</v>
      </c>
      <c r="AG43" s="256">
        <f t="shared" si="8"/>
        <v>131.94058966047081</v>
      </c>
      <c r="AH43" s="175"/>
      <c r="AI43" s="176"/>
    </row>
    <row r="44" spans="1:35" x14ac:dyDescent="0.45">
      <c r="I44" s="110"/>
      <c r="J44" s="111"/>
      <c r="M44" s="181">
        <v>2031</v>
      </c>
      <c r="N44" s="161">
        <f t="shared" si="10"/>
        <v>38.642828112000004</v>
      </c>
      <c r="O44" s="174"/>
      <c r="P44" s="174"/>
      <c r="Q44" s="135"/>
      <c r="R44" s="98"/>
      <c r="S44" s="162">
        <f t="shared" si="13"/>
        <v>2076</v>
      </c>
      <c r="T44" s="256">
        <f t="shared" si="7"/>
        <v>94.205581017576165</v>
      </c>
      <c r="U44" s="175"/>
      <c r="V44" s="176"/>
      <c r="X44" s="89"/>
      <c r="Z44" s="181">
        <v>2031</v>
      </c>
      <c r="AA44" s="161">
        <f t="shared" si="11"/>
        <v>55.204040159999998</v>
      </c>
      <c r="AB44" s="174"/>
      <c r="AC44" s="174"/>
      <c r="AD44" s="135"/>
      <c r="AE44" s="98"/>
      <c r="AF44" s="162">
        <f t="shared" si="14"/>
        <v>2076</v>
      </c>
      <c r="AG44" s="256">
        <f t="shared" si="8"/>
        <v>134.57940145368025</v>
      </c>
      <c r="AH44" s="175"/>
      <c r="AI44" s="176"/>
    </row>
    <row r="45" spans="1:35" x14ac:dyDescent="0.45">
      <c r="B45" s="3"/>
      <c r="C45" s="12" t="s">
        <v>16</v>
      </c>
      <c r="D45" s="10"/>
      <c r="E45" s="5"/>
      <c r="F45" s="5"/>
      <c r="I45" s="110"/>
      <c r="J45" s="111"/>
      <c r="M45" s="181">
        <v>2032</v>
      </c>
      <c r="N45" s="161">
        <f t="shared" si="10"/>
        <v>39.415684674240005</v>
      </c>
      <c r="O45" s="174"/>
      <c r="P45" s="174"/>
      <c r="Q45" s="135"/>
      <c r="R45" s="98"/>
      <c r="S45" s="162">
        <f t="shared" si="13"/>
        <v>2077</v>
      </c>
      <c r="T45" s="256">
        <f t="shared" si="7"/>
        <v>96.089692637927683</v>
      </c>
      <c r="U45" s="175"/>
      <c r="V45" s="176"/>
      <c r="X45" s="89"/>
      <c r="Z45" s="181">
        <v>2032</v>
      </c>
      <c r="AA45" s="161">
        <f t="shared" si="11"/>
        <v>56.308120963200004</v>
      </c>
      <c r="AB45" s="174"/>
      <c r="AC45" s="174"/>
      <c r="AD45" s="135"/>
      <c r="AE45" s="98"/>
      <c r="AF45" s="162">
        <f t="shared" si="14"/>
        <v>2077</v>
      </c>
      <c r="AG45" s="256">
        <f t="shared" si="8"/>
        <v>137.27098948275383</v>
      </c>
      <c r="AH45" s="175"/>
      <c r="AI45" s="176"/>
    </row>
    <row r="46" spans="1:35" ht="16" customHeight="1" x14ac:dyDescent="0.45">
      <c r="B46" s="3"/>
      <c r="C46" s="9" t="s">
        <v>165</v>
      </c>
      <c r="D46" s="191">
        <v>23</v>
      </c>
      <c r="E46" s="5" t="s">
        <v>67</v>
      </c>
      <c r="G46" s="95"/>
      <c r="I46" s="110"/>
      <c r="J46" s="111"/>
      <c r="M46" s="181">
        <v>2033</v>
      </c>
      <c r="N46" s="161">
        <f t="shared" si="10"/>
        <v>40.203998367724793</v>
      </c>
      <c r="O46" s="174"/>
      <c r="P46" s="174"/>
      <c r="Q46" s="135"/>
      <c r="R46" s="45"/>
      <c r="S46" s="162">
        <f t="shared" si="13"/>
        <v>2078</v>
      </c>
      <c r="T46" s="256">
        <f t="shared" si="7"/>
        <v>98.011486490686252</v>
      </c>
      <c r="U46" s="175"/>
      <c r="V46" s="176"/>
      <c r="X46" s="89"/>
      <c r="Z46" s="181">
        <v>2033</v>
      </c>
      <c r="AA46" s="161">
        <f t="shared" si="11"/>
        <v>57.434283382463988</v>
      </c>
      <c r="AB46" s="174"/>
      <c r="AC46" s="174"/>
      <c r="AD46" s="135"/>
      <c r="AE46" s="45"/>
      <c r="AF46" s="162">
        <f t="shared" si="14"/>
        <v>2078</v>
      </c>
      <c r="AG46" s="256">
        <f t="shared" si="8"/>
        <v>140.01640927240894</v>
      </c>
      <c r="AH46" s="175"/>
      <c r="AI46" s="176"/>
    </row>
    <row r="47" spans="1:35" ht="16" customHeight="1" x14ac:dyDescent="0.45">
      <c r="B47" s="3"/>
      <c r="C47" s="9" t="s">
        <v>166</v>
      </c>
      <c r="D47" s="191">
        <v>12.5</v>
      </c>
      <c r="E47" s="5" t="s">
        <v>67</v>
      </c>
      <c r="F47" s="5"/>
      <c r="I47" s="110"/>
      <c r="J47" s="111"/>
      <c r="M47" s="181">
        <v>2034</v>
      </c>
      <c r="N47" s="161">
        <f t="shared" si="10"/>
        <v>41.00807833507929</v>
      </c>
      <c r="O47" s="174"/>
      <c r="P47" s="174"/>
      <c r="Q47" s="135"/>
      <c r="R47" s="45"/>
      <c r="S47" s="162">
        <f t="shared" si="13"/>
        <v>2079</v>
      </c>
      <c r="T47" s="256">
        <f t="shared" si="7"/>
        <v>99.971716220499957</v>
      </c>
      <c r="U47" s="175"/>
      <c r="V47" s="176"/>
      <c r="X47" s="89"/>
      <c r="Z47" s="181">
        <v>2034</v>
      </c>
      <c r="AA47" s="161">
        <f t="shared" si="11"/>
        <v>58.582969050113277</v>
      </c>
      <c r="AB47" s="174"/>
      <c r="AC47" s="174"/>
      <c r="AD47" s="135"/>
      <c r="AE47" s="45"/>
      <c r="AF47" s="162">
        <f t="shared" si="14"/>
        <v>2079</v>
      </c>
      <c r="AG47" s="256">
        <f t="shared" si="8"/>
        <v>142.81673745785707</v>
      </c>
      <c r="AH47" s="175"/>
      <c r="AI47" s="176"/>
    </row>
    <row r="48" spans="1:35" x14ac:dyDescent="0.45">
      <c r="B48" s="3"/>
      <c r="C48" s="9"/>
      <c r="D48" s="10"/>
      <c r="E48" s="5"/>
      <c r="F48" s="5"/>
      <c r="G48" s="71"/>
      <c r="I48" s="110"/>
      <c r="J48" s="111"/>
      <c r="M48" s="181">
        <v>2035</v>
      </c>
      <c r="N48" s="161">
        <f t="shared" si="10"/>
        <v>41.828239901780876</v>
      </c>
      <c r="O48" s="174"/>
      <c r="P48" s="174"/>
      <c r="Q48" s="135"/>
      <c r="R48" s="45"/>
      <c r="S48" s="162">
        <f t="shared" si="13"/>
        <v>2080</v>
      </c>
      <c r="T48" s="256">
        <f t="shared" si="7"/>
        <v>101.97115054490997</v>
      </c>
      <c r="U48" s="175"/>
      <c r="V48" s="176"/>
      <c r="X48" s="89"/>
      <c r="Z48" s="181">
        <v>2035</v>
      </c>
      <c r="AA48" s="161">
        <f t="shared" si="11"/>
        <v>59.754628431115542</v>
      </c>
      <c r="AB48" s="174"/>
      <c r="AC48" s="174"/>
      <c r="AD48" s="135"/>
      <c r="AE48" s="45"/>
      <c r="AF48" s="162">
        <f t="shared" si="14"/>
        <v>2080</v>
      </c>
      <c r="AG48" s="256">
        <f t="shared" si="8"/>
        <v>145.67307220701423</v>
      </c>
      <c r="AH48" s="175"/>
      <c r="AI48" s="176"/>
    </row>
    <row r="49" spans="2:35" x14ac:dyDescent="0.45">
      <c r="B49" s="3"/>
      <c r="C49" s="4" t="s">
        <v>4</v>
      </c>
      <c r="D49" s="4"/>
      <c r="E49" s="4"/>
      <c r="F49" s="92"/>
      <c r="G49" s="71"/>
      <c r="I49" s="110"/>
      <c r="J49" s="111"/>
      <c r="M49" s="181">
        <v>2036</v>
      </c>
      <c r="N49" s="161">
        <f t="shared" si="10"/>
        <v>42.6648046998165</v>
      </c>
      <c r="O49" s="174"/>
      <c r="P49" s="174"/>
      <c r="Q49" s="135"/>
      <c r="R49" s="45"/>
      <c r="S49" s="162">
        <f t="shared" si="13"/>
        <v>2081</v>
      </c>
      <c r="T49" s="256">
        <f t="shared" si="7"/>
        <v>104.01057355580814</v>
      </c>
      <c r="U49" s="175"/>
      <c r="V49" s="176"/>
      <c r="X49" s="89"/>
      <c r="Z49" s="181">
        <v>2036</v>
      </c>
      <c r="AA49" s="161">
        <f t="shared" si="11"/>
        <v>60.949720999737856</v>
      </c>
      <c r="AB49" s="174"/>
      <c r="AC49" s="174"/>
      <c r="AD49" s="135"/>
      <c r="AE49" s="45"/>
      <c r="AF49" s="162">
        <f t="shared" si="14"/>
        <v>2081</v>
      </c>
      <c r="AG49" s="256">
        <f t="shared" si="8"/>
        <v>148.5865336511545</v>
      </c>
      <c r="AH49" s="175"/>
      <c r="AI49" s="176"/>
    </row>
    <row r="50" spans="2:35" x14ac:dyDescent="0.45">
      <c r="B50" s="3"/>
      <c r="C50" s="5" t="s">
        <v>5</v>
      </c>
      <c r="D50" s="195">
        <v>1</v>
      </c>
      <c r="E50" s="5"/>
      <c r="F50" s="84"/>
      <c r="G50" s="71"/>
      <c r="I50" s="110"/>
      <c r="J50" s="111"/>
      <c r="M50" s="181">
        <v>2037</v>
      </c>
      <c r="N50" s="161">
        <f t="shared" si="10"/>
        <v>43.51810079381282</v>
      </c>
      <c r="O50" s="174"/>
      <c r="P50" s="174"/>
      <c r="Q50" s="135"/>
      <c r="R50" s="45"/>
      <c r="S50" s="162">
        <f t="shared" si="13"/>
        <v>2082</v>
      </c>
      <c r="T50" s="256">
        <f t="shared" si="7"/>
        <v>106.09078502692431</v>
      </c>
      <c r="U50" s="175"/>
      <c r="V50" s="176"/>
      <c r="X50" s="89"/>
      <c r="Z50" s="181">
        <v>2037</v>
      </c>
      <c r="AA50" s="161">
        <f t="shared" si="11"/>
        <v>62.1687154197326</v>
      </c>
      <c r="AB50" s="174"/>
      <c r="AC50" s="174"/>
      <c r="AD50" s="135"/>
      <c r="AE50" s="45"/>
      <c r="AF50" s="162">
        <f t="shared" si="14"/>
        <v>2082</v>
      </c>
      <c r="AG50" s="256">
        <f t="shared" si="8"/>
        <v>151.55826432417757</v>
      </c>
      <c r="AH50" s="175"/>
      <c r="AI50" s="176"/>
    </row>
    <row r="51" spans="2:35" x14ac:dyDescent="0.45">
      <c r="B51" s="3"/>
      <c r="C51" s="5" t="s">
        <v>96</v>
      </c>
      <c r="D51" s="195">
        <v>0.15</v>
      </c>
      <c r="E51" s="5"/>
      <c r="F51" s="84"/>
      <c r="G51" s="71"/>
      <c r="I51" s="110"/>
      <c r="J51" s="111"/>
      <c r="M51" s="181">
        <v>2038</v>
      </c>
      <c r="N51" s="161">
        <f t="shared" si="10"/>
        <v>44.388462809689088</v>
      </c>
      <c r="O51" s="174"/>
      <c r="P51" s="174"/>
      <c r="Q51" s="135"/>
      <c r="R51" s="45"/>
      <c r="S51" s="162">
        <f t="shared" si="13"/>
        <v>2083</v>
      </c>
      <c r="T51" s="256">
        <f t="shared" si="7"/>
        <v>108.2126007274628</v>
      </c>
      <c r="U51" s="175"/>
      <c r="V51" s="176"/>
      <c r="Z51" s="181">
        <v>2038</v>
      </c>
      <c r="AA51" s="161">
        <f t="shared" si="11"/>
        <v>63.412089728127263</v>
      </c>
      <c r="AB51" s="174"/>
      <c r="AC51" s="174"/>
      <c r="AD51" s="135"/>
      <c r="AE51" s="45"/>
      <c r="AF51" s="162">
        <f t="shared" si="14"/>
        <v>2083</v>
      </c>
      <c r="AG51" s="256">
        <f t="shared" si="8"/>
        <v>154.58942961066114</v>
      </c>
      <c r="AH51" s="175"/>
      <c r="AI51" s="176"/>
    </row>
    <row r="52" spans="2:35" x14ac:dyDescent="0.45">
      <c r="B52" s="5"/>
      <c r="C52" s="5"/>
      <c r="D52" s="84"/>
      <c r="E52" s="5"/>
      <c r="F52" s="84"/>
      <c r="G52" s="71"/>
      <c r="I52" s="110"/>
      <c r="J52" s="111"/>
      <c r="M52" s="181">
        <v>2039</v>
      </c>
      <c r="N52" s="161">
        <f t="shared" si="10"/>
        <v>45.276232065882866</v>
      </c>
      <c r="O52" s="174"/>
      <c r="P52" s="174"/>
      <c r="Q52" s="135"/>
      <c r="R52" s="45"/>
      <c r="S52" s="162">
        <f t="shared" si="13"/>
        <v>2084</v>
      </c>
      <c r="T52" s="256">
        <f t="shared" si="7"/>
        <v>110.37685274201206</v>
      </c>
      <c r="U52" s="175"/>
      <c r="V52" s="176"/>
      <c r="Z52" s="181">
        <v>2039</v>
      </c>
      <c r="AA52" s="161">
        <f t="shared" si="11"/>
        <v>64.680331522689798</v>
      </c>
      <c r="AB52" s="174"/>
      <c r="AC52" s="174"/>
      <c r="AD52" s="135"/>
      <c r="AE52" s="45"/>
      <c r="AF52" s="162">
        <f t="shared" si="14"/>
        <v>2084</v>
      </c>
      <c r="AG52" s="256">
        <f t="shared" si="8"/>
        <v>157.68121820287436</v>
      </c>
      <c r="AH52" s="175"/>
      <c r="AI52" s="176"/>
    </row>
    <row r="53" spans="2:35" x14ac:dyDescent="0.45">
      <c r="B53" s="5"/>
      <c r="C53" s="130"/>
      <c r="D53" s="71"/>
      <c r="E53" s="5"/>
      <c r="F53" s="84"/>
      <c r="G53" s="71"/>
      <c r="I53" s="110"/>
      <c r="J53" s="111"/>
      <c r="M53" s="181">
        <v>2040</v>
      </c>
      <c r="N53" s="161">
        <f t="shared" si="10"/>
        <v>46.181756707200528</v>
      </c>
      <c r="O53" s="174"/>
      <c r="P53" s="174"/>
      <c r="Q53" s="135"/>
      <c r="R53" s="45"/>
      <c r="S53" s="162">
        <f t="shared" si="13"/>
        <v>2085</v>
      </c>
      <c r="T53" s="256">
        <f t="shared" si="7"/>
        <v>112.58438979685228</v>
      </c>
      <c r="U53" s="175"/>
      <c r="V53" s="176"/>
      <c r="Z53" s="181">
        <v>2040</v>
      </c>
      <c r="AA53" s="161">
        <f t="shared" si="11"/>
        <v>65.973938153143607</v>
      </c>
      <c r="AB53" s="174"/>
      <c r="AC53" s="174"/>
      <c r="AD53" s="135"/>
      <c r="AE53" s="45"/>
      <c r="AF53" s="162">
        <f t="shared" si="14"/>
        <v>2085</v>
      </c>
      <c r="AG53" s="256">
        <f t="shared" si="8"/>
        <v>160.83484256693183</v>
      </c>
      <c r="AH53" s="175"/>
      <c r="AI53" s="176"/>
    </row>
    <row r="54" spans="2:35" x14ac:dyDescent="0.45">
      <c r="B54" s="5"/>
      <c r="C54" s="5" t="s">
        <v>97</v>
      </c>
      <c r="D54" s="195">
        <v>0.24</v>
      </c>
      <c r="E54" s="5"/>
      <c r="F54" s="84"/>
      <c r="G54" s="71"/>
      <c r="I54" s="110"/>
      <c r="J54" s="111"/>
      <c r="M54" s="181">
        <v>2041</v>
      </c>
      <c r="N54" s="161">
        <f t="shared" si="10"/>
        <v>47.10539184134452</v>
      </c>
      <c r="O54" s="174"/>
      <c r="P54" s="174"/>
      <c r="Q54" s="135"/>
      <c r="R54" s="45"/>
      <c r="S54" s="162">
        <f t="shared" si="13"/>
        <v>2086</v>
      </c>
      <c r="T54" s="256">
        <f t="shared" si="7"/>
        <v>114.83607759278935</v>
      </c>
      <c r="U54" s="175"/>
      <c r="V54" s="176"/>
      <c r="Z54" s="181">
        <v>2041</v>
      </c>
      <c r="AA54" s="161">
        <f t="shared" si="11"/>
        <v>67.293416916206468</v>
      </c>
      <c r="AB54" s="174"/>
      <c r="AC54" s="174"/>
      <c r="AD54" s="135"/>
      <c r="AE54" s="45"/>
      <c r="AF54" s="162">
        <f t="shared" si="14"/>
        <v>2086</v>
      </c>
      <c r="AG54" s="256">
        <f t="shared" si="8"/>
        <v>164.05153941827052</v>
      </c>
      <c r="AH54" s="175"/>
      <c r="AI54" s="176"/>
    </row>
    <row r="55" spans="2:35" x14ac:dyDescent="0.45">
      <c r="B55" s="5"/>
      <c r="C55" s="6" t="s">
        <v>6</v>
      </c>
      <c r="D55" s="195">
        <v>0.02</v>
      </c>
      <c r="E55" s="5"/>
      <c r="F55" s="84"/>
      <c r="G55" s="71"/>
      <c r="I55" s="110"/>
      <c r="J55" s="111"/>
      <c r="M55" s="181">
        <f t="shared" ref="M55:M73" si="15">M54+1</f>
        <v>2042</v>
      </c>
      <c r="N55" s="161">
        <f t="shared" si="10"/>
        <v>48.04749967817142</v>
      </c>
      <c r="O55" s="174"/>
      <c r="P55" s="174"/>
      <c r="Q55" s="135"/>
      <c r="R55" s="45"/>
      <c r="S55" s="162">
        <f t="shared" si="13"/>
        <v>2087</v>
      </c>
      <c r="T55" s="256">
        <f t="shared" si="7"/>
        <v>117.13279914464513</v>
      </c>
      <c r="U55" s="175"/>
      <c r="V55" s="176"/>
      <c r="Z55" s="181">
        <f>Z54+1</f>
        <v>2042</v>
      </c>
      <c r="AA55" s="161">
        <f t="shared" si="11"/>
        <v>68.639285254530606</v>
      </c>
      <c r="AB55" s="174"/>
      <c r="AC55" s="174"/>
      <c r="AD55" s="135"/>
      <c r="AE55" s="45"/>
      <c r="AF55" s="162">
        <f t="shared" si="14"/>
        <v>2087</v>
      </c>
      <c r="AG55" s="256">
        <f t="shared" si="8"/>
        <v>167.33257020663589</v>
      </c>
      <c r="AH55" s="175"/>
      <c r="AI55" s="176"/>
    </row>
    <row r="56" spans="2:35" x14ac:dyDescent="0.45">
      <c r="B56" s="5"/>
      <c r="C56" s="5" t="s">
        <v>7</v>
      </c>
      <c r="D56" s="196">
        <v>0</v>
      </c>
      <c r="E56" s="5"/>
      <c r="F56" s="96"/>
      <c r="G56" s="71"/>
      <c r="I56" s="110"/>
      <c r="J56" s="111"/>
      <c r="M56" s="181">
        <f t="shared" si="15"/>
        <v>2043</v>
      </c>
      <c r="N56" s="161">
        <f t="shared" si="10"/>
        <v>49.008449671734851</v>
      </c>
      <c r="O56" s="174"/>
      <c r="P56" s="174"/>
      <c r="Q56" s="135"/>
      <c r="R56" s="45"/>
      <c r="S56" s="162">
        <f t="shared" si="13"/>
        <v>2088</v>
      </c>
      <c r="T56" s="256">
        <f t="shared" si="7"/>
        <v>119.47545512753804</v>
      </c>
      <c r="U56" s="175"/>
      <c r="V56" s="176"/>
      <c r="Z56" s="181">
        <f t="shared" ref="Z56:Z73" si="16">Z55+1</f>
        <v>2043</v>
      </c>
      <c r="AA56" s="161">
        <f t="shared" si="11"/>
        <v>70.012070959621227</v>
      </c>
      <c r="AB56" s="174"/>
      <c r="AC56" s="174"/>
      <c r="AD56" s="135"/>
      <c r="AE56" s="45"/>
      <c r="AF56" s="162">
        <f t="shared" si="14"/>
        <v>2088</v>
      </c>
      <c r="AG56" s="256">
        <f t="shared" si="8"/>
        <v>170.67922161076862</v>
      </c>
      <c r="AH56" s="175"/>
      <c r="AI56" s="176"/>
    </row>
    <row r="57" spans="2:35" x14ac:dyDescent="0.45">
      <c r="B57" s="5"/>
      <c r="C57" s="5" t="s">
        <v>98</v>
      </c>
      <c r="D57" s="197" t="s">
        <v>49</v>
      </c>
      <c r="E57" s="5"/>
      <c r="F57" s="84"/>
      <c r="G57" s="71"/>
      <c r="I57" s="110"/>
      <c r="J57" s="111"/>
      <c r="M57" s="181">
        <f t="shared" si="15"/>
        <v>2044</v>
      </c>
      <c r="N57" s="161">
        <f t="shared" si="10"/>
        <v>49.988618665169547</v>
      </c>
      <c r="O57" s="174"/>
      <c r="P57" s="174"/>
      <c r="Q57" s="135"/>
      <c r="R57" s="45"/>
      <c r="S57" s="162">
        <f t="shared" si="13"/>
        <v>2089</v>
      </c>
      <c r="T57" s="256">
        <f t="shared" si="7"/>
        <v>121.86496423008877</v>
      </c>
      <c r="U57" s="175"/>
      <c r="V57" s="176"/>
      <c r="Z57" s="181">
        <f t="shared" si="16"/>
        <v>2044</v>
      </c>
      <c r="AA57" s="161">
        <f t="shared" si="11"/>
        <v>71.412312378813638</v>
      </c>
      <c r="AB57" s="174"/>
      <c r="AC57" s="174"/>
      <c r="AD57" s="135"/>
      <c r="AE57" s="45"/>
      <c r="AF57" s="162">
        <f t="shared" si="14"/>
        <v>2089</v>
      </c>
      <c r="AG57" s="256">
        <f t="shared" si="8"/>
        <v>174.09280604298397</v>
      </c>
      <c r="AH57" s="175"/>
      <c r="AI57" s="176"/>
    </row>
    <row r="58" spans="2:35" x14ac:dyDescent="0.45">
      <c r="B58" s="5"/>
      <c r="C58" s="5" t="s">
        <v>99</v>
      </c>
      <c r="D58" s="198">
        <v>5</v>
      </c>
      <c r="E58" s="5"/>
      <c r="F58" s="84"/>
      <c r="G58" s="71"/>
      <c r="I58" s="110"/>
      <c r="J58" s="111"/>
      <c r="M58" s="181">
        <f t="shared" si="15"/>
        <v>2045</v>
      </c>
      <c r="N58" s="161">
        <f t="shared" si="10"/>
        <v>50.988391038472933</v>
      </c>
      <c r="O58" s="174"/>
      <c r="P58" s="174"/>
      <c r="Q58" s="135"/>
      <c r="R58" s="45"/>
      <c r="S58" s="162">
        <f t="shared" si="13"/>
        <v>2090</v>
      </c>
      <c r="T58" s="256">
        <f t="shared" si="7"/>
        <v>124.30226351469058</v>
      </c>
      <c r="U58" s="175"/>
      <c r="V58" s="176"/>
      <c r="Z58" s="181">
        <f t="shared" si="16"/>
        <v>2045</v>
      </c>
      <c r="AA58" s="161">
        <f t="shared" si="11"/>
        <v>72.840558626389907</v>
      </c>
      <c r="AB58" s="174"/>
      <c r="AC58" s="174"/>
      <c r="AD58" s="135"/>
      <c r="AE58" s="45"/>
      <c r="AF58" s="162">
        <f t="shared" si="14"/>
        <v>2090</v>
      </c>
      <c r="AG58" s="256">
        <f t="shared" si="8"/>
        <v>177.57466216384367</v>
      </c>
      <c r="AH58" s="175"/>
      <c r="AI58" s="176"/>
    </row>
    <row r="59" spans="2:35" x14ac:dyDescent="0.45">
      <c r="B59" s="5"/>
      <c r="C59" s="5"/>
      <c r="D59" s="7"/>
      <c r="E59" s="5"/>
      <c r="F59" s="96"/>
      <c r="G59" s="71"/>
      <c r="I59" s="110"/>
      <c r="J59" s="111"/>
      <c r="M59" s="181">
        <f t="shared" si="15"/>
        <v>2046</v>
      </c>
      <c r="N59" s="161">
        <f t="shared" si="10"/>
        <v>52.0081588592424</v>
      </c>
      <c r="O59" s="174"/>
      <c r="P59" s="174"/>
      <c r="Q59" s="135"/>
      <c r="R59" s="45"/>
      <c r="S59" s="162">
        <f t="shared" si="13"/>
        <v>2091</v>
      </c>
      <c r="T59" s="256">
        <f t="shared" si="7"/>
        <v>126.78830878498439</v>
      </c>
      <c r="U59" s="175"/>
      <c r="V59" s="176"/>
      <c r="Z59" s="181">
        <f t="shared" si="16"/>
        <v>2046</v>
      </c>
      <c r="AA59" s="161">
        <f t="shared" si="11"/>
        <v>74.297369798917714</v>
      </c>
      <c r="AB59" s="174"/>
      <c r="AC59" s="174"/>
      <c r="AD59" s="135"/>
      <c r="AE59" s="45"/>
      <c r="AF59" s="162">
        <f t="shared" si="14"/>
        <v>2091</v>
      </c>
      <c r="AG59" s="256">
        <f t="shared" si="8"/>
        <v>181.12615540712056</v>
      </c>
      <c r="AH59" s="175"/>
      <c r="AI59" s="176"/>
    </row>
    <row r="60" spans="2:35" x14ac:dyDescent="0.45">
      <c r="B60" s="3"/>
      <c r="C60" s="5" t="s">
        <v>100</v>
      </c>
      <c r="D60" s="199">
        <f>D51</f>
        <v>0.15</v>
      </c>
      <c r="E60" s="5"/>
      <c r="F60" s="84"/>
      <c r="G60" s="71"/>
      <c r="I60" s="110"/>
      <c r="J60" s="111"/>
      <c r="M60" s="181">
        <f t="shared" si="15"/>
        <v>2047</v>
      </c>
      <c r="N60" s="161">
        <f t="shared" si="10"/>
        <v>53.048322036427244</v>
      </c>
      <c r="O60" s="174"/>
      <c r="P60" s="174"/>
      <c r="Q60" s="135"/>
      <c r="R60" s="45"/>
      <c r="S60" s="162">
        <f t="shared" si="13"/>
        <v>2092</v>
      </c>
      <c r="T60" s="256">
        <f t="shared" si="7"/>
        <v>129.32407496068407</v>
      </c>
      <c r="U60" s="175"/>
      <c r="V60" s="176"/>
      <c r="Z60" s="181">
        <f t="shared" si="16"/>
        <v>2047</v>
      </c>
      <c r="AA60" s="161">
        <f t="shared" si="11"/>
        <v>75.783317194896057</v>
      </c>
      <c r="AB60" s="174"/>
      <c r="AC60" s="174"/>
      <c r="AD60" s="135"/>
      <c r="AE60" s="45"/>
      <c r="AF60" s="162">
        <f t="shared" si="14"/>
        <v>2092</v>
      </c>
      <c r="AG60" s="256">
        <f t="shared" si="8"/>
        <v>184.74867851526295</v>
      </c>
      <c r="AH60" s="175"/>
      <c r="AI60" s="176"/>
    </row>
    <row r="61" spans="2:35" x14ac:dyDescent="0.45">
      <c r="B61" s="3"/>
      <c r="C61" s="5"/>
      <c r="D61" s="5"/>
      <c r="E61" s="5"/>
      <c r="F61" s="84"/>
      <c r="G61" s="71"/>
      <c r="I61" s="110"/>
      <c r="J61" s="111"/>
      <c r="M61" s="181">
        <f t="shared" si="15"/>
        <v>2048</v>
      </c>
      <c r="N61" s="161">
        <f t="shared" si="10"/>
        <v>54.109288477155793</v>
      </c>
      <c r="O61" s="174"/>
      <c r="P61" s="174"/>
      <c r="Q61" s="135"/>
      <c r="R61" s="45"/>
      <c r="S61" s="162">
        <f t="shared" si="13"/>
        <v>2093</v>
      </c>
      <c r="T61" s="256">
        <f t="shared" si="7"/>
        <v>131.91055645989775</v>
      </c>
      <c r="U61" s="175"/>
      <c r="V61" s="176"/>
      <c r="Z61" s="181">
        <f t="shared" si="16"/>
        <v>2048</v>
      </c>
      <c r="AA61" s="161">
        <f t="shared" si="11"/>
        <v>77.298983538793991</v>
      </c>
      <c r="AB61" s="174"/>
      <c r="AC61" s="174"/>
      <c r="AD61" s="135"/>
      <c r="AE61" s="45"/>
      <c r="AF61" s="162">
        <f t="shared" si="14"/>
        <v>2093</v>
      </c>
      <c r="AG61" s="256">
        <f t="shared" si="8"/>
        <v>188.4436520855682</v>
      </c>
      <c r="AH61" s="175"/>
      <c r="AI61" s="176"/>
    </row>
    <row r="62" spans="2:35" x14ac:dyDescent="0.45">
      <c r="B62" s="3"/>
      <c r="C62" s="5" t="s">
        <v>8</v>
      </c>
      <c r="D62" s="200">
        <f>IF(G40="red",2030-D63,IF(G40="orange",2040-D63,IF(G40="yellow",2050-D63,IF(G40="green",2060-D63,0))))</f>
        <v>2058</v>
      </c>
      <c r="E62" s="5"/>
      <c r="G62" s="71"/>
      <c r="I62" s="110"/>
      <c r="J62" s="111"/>
      <c r="M62" s="181">
        <f t="shared" si="15"/>
        <v>2049</v>
      </c>
      <c r="N62" s="161">
        <f t="shared" si="10"/>
        <v>55.191474246698895</v>
      </c>
      <c r="O62" s="174"/>
      <c r="P62" s="174"/>
      <c r="Q62" s="135"/>
      <c r="R62" s="45"/>
      <c r="S62" s="162">
        <f t="shared" si="13"/>
        <v>2094</v>
      </c>
      <c r="T62" s="256">
        <f t="shared" si="7"/>
        <v>134.54876758909569</v>
      </c>
      <c r="U62" s="175"/>
      <c r="V62" s="176"/>
      <c r="Z62" s="181">
        <f>Z61+1</f>
        <v>2049</v>
      </c>
      <c r="AA62" s="161">
        <f t="shared" si="11"/>
        <v>78.844963209569855</v>
      </c>
      <c r="AB62" s="174"/>
      <c r="AC62" s="174"/>
      <c r="AD62" s="135"/>
      <c r="AE62" s="45"/>
      <c r="AF62" s="162">
        <f t="shared" si="14"/>
        <v>2094</v>
      </c>
      <c r="AG62" s="256">
        <f t="shared" si="8"/>
        <v>192.21252512727958</v>
      </c>
      <c r="AH62" s="175"/>
      <c r="AI62" s="176"/>
    </row>
    <row r="63" spans="2:35" x14ac:dyDescent="0.45">
      <c r="B63" s="3"/>
      <c r="C63" s="5" t="s">
        <v>113</v>
      </c>
      <c r="D63" s="200">
        <v>2</v>
      </c>
      <c r="E63" s="5" t="s">
        <v>0</v>
      </c>
      <c r="G63" s="71"/>
      <c r="I63" s="110"/>
      <c r="J63" s="111"/>
      <c r="M63" s="181">
        <f t="shared" si="15"/>
        <v>2050</v>
      </c>
      <c r="N63" s="161">
        <f t="shared" si="10"/>
        <v>56.295303731632877</v>
      </c>
      <c r="O63" s="174"/>
      <c r="P63" s="174"/>
      <c r="Q63" s="135"/>
      <c r="R63" s="45"/>
      <c r="S63" s="162">
        <f t="shared" si="13"/>
        <v>2095</v>
      </c>
      <c r="T63" s="256">
        <f t="shared" si="7"/>
        <v>137.23974294087762</v>
      </c>
      <c r="U63" s="175"/>
      <c r="V63" s="176"/>
      <c r="Z63" s="181">
        <f t="shared" si="16"/>
        <v>2050</v>
      </c>
      <c r="AA63" s="161">
        <f t="shared" si="11"/>
        <v>80.421862473761252</v>
      </c>
      <c r="AB63" s="174"/>
      <c r="AC63" s="174"/>
      <c r="AD63" s="135"/>
      <c r="AE63" s="45"/>
      <c r="AF63" s="162">
        <f t="shared" si="14"/>
        <v>2095</v>
      </c>
      <c r="AG63" s="256">
        <f t="shared" si="8"/>
        <v>196.05677562982518</v>
      </c>
      <c r="AH63" s="175"/>
      <c r="AI63" s="176"/>
    </row>
    <row r="64" spans="2:35" x14ac:dyDescent="0.45">
      <c r="B64" s="3"/>
      <c r="C64" s="5" t="s">
        <v>114</v>
      </c>
      <c r="D64" s="200">
        <f>IF(G40="red",12,IF(G40="orange",12,IF(G40="yellow",12,IF(G40="green",12,0))))</f>
        <v>12</v>
      </c>
      <c r="E64" s="5" t="s">
        <v>0</v>
      </c>
      <c r="G64" s="71"/>
      <c r="H64" s="71"/>
      <c r="I64" s="110"/>
      <c r="J64" s="111"/>
      <c r="M64" s="181">
        <f t="shared" si="15"/>
        <v>2051</v>
      </c>
      <c r="N64" s="161">
        <f t="shared" si="10"/>
        <v>57.421209806265537</v>
      </c>
      <c r="O64" s="174"/>
      <c r="P64" s="174"/>
      <c r="Q64" s="135"/>
      <c r="R64" s="45"/>
      <c r="S64" s="162">
        <f t="shared" si="13"/>
        <v>2096</v>
      </c>
      <c r="T64" s="256">
        <f t="shared" si="7"/>
        <v>139.98453779969518</v>
      </c>
      <c r="U64" s="175"/>
      <c r="V64" s="176"/>
      <c r="Z64" s="181">
        <f t="shared" si="16"/>
        <v>2051</v>
      </c>
      <c r="AA64" s="161">
        <f t="shared" si="11"/>
        <v>82.030299723236482</v>
      </c>
      <c r="AB64" s="174"/>
      <c r="AC64" s="174"/>
      <c r="AD64" s="135"/>
      <c r="AE64" s="45"/>
      <c r="AF64" s="162">
        <f t="shared" si="14"/>
        <v>2096</v>
      </c>
      <c r="AG64" s="256">
        <f t="shared" si="8"/>
        <v>199.9779111424217</v>
      </c>
      <c r="AH64" s="175"/>
      <c r="AI64" s="176"/>
    </row>
    <row r="65" spans="1:76" x14ac:dyDescent="0.45">
      <c r="B65" s="3"/>
      <c r="C65" s="5" t="s">
        <v>9</v>
      </c>
      <c r="D65" s="201">
        <f>D63+1</f>
        <v>3</v>
      </c>
      <c r="E65" s="5" t="s">
        <v>10</v>
      </c>
      <c r="F65" s="5"/>
      <c r="I65" s="110"/>
      <c r="J65" s="111"/>
      <c r="M65" s="181">
        <f t="shared" si="15"/>
        <v>2052</v>
      </c>
      <c r="N65" s="161">
        <f t="shared" si="10"/>
        <v>58.569634002390849</v>
      </c>
      <c r="O65" s="174"/>
      <c r="P65" s="174"/>
      <c r="Q65" s="135"/>
      <c r="R65" s="45"/>
      <c r="S65" s="162">
        <f t="shared" si="13"/>
        <v>2097</v>
      </c>
      <c r="T65" s="256">
        <f t="shared" si="7"/>
        <v>142.78422855568908</v>
      </c>
      <c r="U65" s="175"/>
      <c r="V65" s="176"/>
      <c r="Z65" s="181">
        <f t="shared" si="16"/>
        <v>2052</v>
      </c>
      <c r="AA65" s="161">
        <f t="shared" si="11"/>
        <v>83.670905717701217</v>
      </c>
      <c r="AB65" s="174"/>
      <c r="AC65" s="174"/>
      <c r="AD65" s="135"/>
      <c r="AE65" s="45"/>
      <c r="AF65" s="162">
        <f t="shared" si="14"/>
        <v>2097</v>
      </c>
      <c r="AG65" s="256">
        <f t="shared" si="8"/>
        <v>203.97746936527011</v>
      </c>
      <c r="AH65" s="175"/>
      <c r="AI65" s="176"/>
    </row>
    <row r="66" spans="1:76" x14ac:dyDescent="0.45">
      <c r="B66" s="3"/>
      <c r="C66" s="5" t="s">
        <v>11</v>
      </c>
      <c r="D66" s="201">
        <f>D63+D64</f>
        <v>14</v>
      </c>
      <c r="E66" s="5" t="s">
        <v>10</v>
      </c>
      <c r="F66" s="5"/>
      <c r="I66" s="110"/>
      <c r="J66" s="111"/>
      <c r="M66" s="181">
        <f t="shared" si="15"/>
        <v>2053</v>
      </c>
      <c r="N66" s="161">
        <f t="shared" si="10"/>
        <v>59.741026682438658</v>
      </c>
      <c r="O66" s="174"/>
      <c r="P66" s="174"/>
      <c r="Q66" s="135"/>
      <c r="R66" s="45"/>
      <c r="S66" s="162">
        <f t="shared" si="13"/>
        <v>2098</v>
      </c>
      <c r="T66" s="256">
        <f t="shared" si="7"/>
        <v>145.63991312680287</v>
      </c>
      <c r="U66" s="175"/>
      <c r="V66" s="176"/>
      <c r="Z66" s="181">
        <f t="shared" si="16"/>
        <v>2053</v>
      </c>
      <c r="AA66" s="161">
        <f t="shared" si="11"/>
        <v>85.344323832055224</v>
      </c>
      <c r="AB66" s="174"/>
      <c r="AC66" s="174"/>
      <c r="AD66" s="135"/>
      <c r="AE66" s="45"/>
      <c r="AF66" s="162">
        <f t="shared" si="14"/>
        <v>2098</v>
      </c>
      <c r="AG66" s="256">
        <f t="shared" si="8"/>
        <v>208.05701875257552</v>
      </c>
      <c r="AH66" s="175"/>
      <c r="AI66" s="176"/>
    </row>
    <row r="67" spans="1:76" x14ac:dyDescent="0.45">
      <c r="B67" s="3"/>
      <c r="C67" s="5" t="s">
        <v>12</v>
      </c>
      <c r="D67" s="201">
        <f>D66</f>
        <v>14</v>
      </c>
      <c r="E67" s="5" t="s">
        <v>10</v>
      </c>
      <c r="F67" s="5"/>
      <c r="I67" s="110"/>
      <c r="J67" s="111"/>
      <c r="M67" s="181">
        <f t="shared" si="15"/>
        <v>2054</v>
      </c>
      <c r="N67" s="161">
        <f t="shared" si="10"/>
        <v>60.935847216087446</v>
      </c>
      <c r="O67" s="174"/>
      <c r="P67" s="174"/>
      <c r="Q67" s="135"/>
      <c r="R67" s="45"/>
      <c r="S67" s="162">
        <f t="shared" si="13"/>
        <v>2099</v>
      </c>
      <c r="T67" s="256">
        <f t="shared" si="7"/>
        <v>148.5527113893389</v>
      </c>
      <c r="U67" s="175"/>
      <c r="V67" s="176"/>
      <c r="Z67" s="181">
        <f t="shared" si="16"/>
        <v>2054</v>
      </c>
      <c r="AA67" s="161">
        <f t="shared" si="11"/>
        <v>87.051210308696341</v>
      </c>
      <c r="AB67" s="174"/>
      <c r="AC67" s="174"/>
      <c r="AD67" s="135"/>
      <c r="AE67" s="45"/>
      <c r="AF67" s="162">
        <f t="shared" si="14"/>
        <v>2099</v>
      </c>
      <c r="AG67" s="256">
        <f t="shared" si="8"/>
        <v>212.21815912762702</v>
      </c>
      <c r="AH67" s="175"/>
      <c r="AI67" s="176"/>
    </row>
    <row r="68" spans="1:76" x14ac:dyDescent="0.45">
      <c r="B68" s="3"/>
      <c r="C68" s="5" t="s">
        <v>13</v>
      </c>
      <c r="D68" s="201">
        <f>D66</f>
        <v>14</v>
      </c>
      <c r="E68" s="5" t="s">
        <v>10</v>
      </c>
      <c r="F68" s="5"/>
      <c r="I68" s="110"/>
      <c r="J68" s="111"/>
      <c r="M68" s="181">
        <f t="shared" si="15"/>
        <v>2055</v>
      </c>
      <c r="N68" s="161">
        <f t="shared" si="10"/>
        <v>62.15456416040918</v>
      </c>
      <c r="O68" s="174"/>
      <c r="P68" s="174"/>
      <c r="Q68" s="135"/>
      <c r="R68" s="45"/>
      <c r="S68" s="162">
        <f t="shared" si="13"/>
        <v>2100</v>
      </c>
      <c r="T68" s="256">
        <f t="shared" si="7"/>
        <v>151.52376561712569</v>
      </c>
      <c r="U68" s="175"/>
      <c r="V68" s="176"/>
      <c r="Z68" s="181">
        <f t="shared" si="16"/>
        <v>2055</v>
      </c>
      <c r="AA68" s="161">
        <f t="shared" si="11"/>
        <v>88.792234514870259</v>
      </c>
      <c r="AB68" s="174"/>
      <c r="AC68" s="174"/>
      <c r="AD68" s="135"/>
      <c r="AE68" s="45"/>
      <c r="AF68" s="162">
        <f t="shared" si="14"/>
        <v>2100</v>
      </c>
      <c r="AG68" s="256">
        <f t="shared" si="8"/>
        <v>216.46252231017957</v>
      </c>
      <c r="AH68" s="175"/>
      <c r="AI68" s="176"/>
    </row>
    <row r="69" spans="1:76" ht="16.3" thickBot="1" x14ac:dyDescent="0.5">
      <c r="A69" s="14"/>
      <c r="B69" s="14"/>
      <c r="C69" s="14"/>
      <c r="D69" s="14"/>
      <c r="E69" s="14"/>
      <c r="F69" s="14"/>
      <c r="G69" s="14"/>
      <c r="I69" s="110"/>
      <c r="J69" s="111"/>
      <c r="M69" s="181">
        <f t="shared" si="15"/>
        <v>2056</v>
      </c>
      <c r="N69" s="161">
        <f t="shared" si="10"/>
        <v>63.397655443617374</v>
      </c>
      <c r="O69" s="174"/>
      <c r="P69" s="174"/>
      <c r="Q69" s="135"/>
      <c r="R69" s="45"/>
      <c r="S69" s="162">
        <f t="shared" si="13"/>
        <v>2101</v>
      </c>
      <c r="T69" s="256">
        <f t="shared" si="7"/>
        <v>154.55424092946816</v>
      </c>
      <c r="U69" s="175"/>
      <c r="V69" s="176"/>
      <c r="Z69" s="181">
        <f t="shared" si="16"/>
        <v>2056</v>
      </c>
      <c r="AA69" s="161">
        <f t="shared" si="11"/>
        <v>90.568079205167678</v>
      </c>
      <c r="AB69" s="174"/>
      <c r="AC69" s="174"/>
      <c r="AD69" s="135"/>
      <c r="AE69" s="45"/>
      <c r="AF69" s="162">
        <f t="shared" si="14"/>
        <v>2101</v>
      </c>
      <c r="AG69" s="256">
        <f t="shared" si="8"/>
        <v>220.7917727563831</v>
      </c>
      <c r="AH69" s="175"/>
      <c r="AI69" s="176"/>
    </row>
    <row r="70" spans="1:76" x14ac:dyDescent="0.45">
      <c r="B70" s="13" t="s">
        <v>30</v>
      </c>
      <c r="C70" s="13" t="s">
        <v>19</v>
      </c>
      <c r="D70" s="35" t="s">
        <v>31</v>
      </c>
      <c r="E70" s="36" t="s">
        <v>32</v>
      </c>
      <c r="F70" s="36" t="s">
        <v>33</v>
      </c>
      <c r="I70" s="110"/>
      <c r="J70" s="111"/>
      <c r="M70" s="181">
        <f t="shared" si="15"/>
        <v>2057</v>
      </c>
      <c r="N70" s="161">
        <f t="shared" si="10"/>
        <v>64.665608552489701</v>
      </c>
      <c r="O70" s="174"/>
      <c r="P70" s="174"/>
      <c r="Q70" s="135"/>
      <c r="R70" s="45"/>
      <c r="S70" s="162">
        <f t="shared" si="13"/>
        <v>2102</v>
      </c>
      <c r="T70" s="256">
        <f t="shared" si="7"/>
        <v>157.64532574805759</v>
      </c>
      <c r="U70" s="175"/>
      <c r="V70" s="176"/>
      <c r="Z70" s="181">
        <f t="shared" si="16"/>
        <v>2057</v>
      </c>
      <c r="AA70" s="161">
        <f t="shared" si="11"/>
        <v>92.379440789271001</v>
      </c>
      <c r="AB70" s="174"/>
      <c r="AC70" s="174"/>
      <c r="AD70" s="135"/>
      <c r="AE70" s="45"/>
      <c r="AF70" s="162">
        <f t="shared" si="14"/>
        <v>2102</v>
      </c>
      <c r="AG70" s="256">
        <f t="shared" si="8"/>
        <v>225.20760821151083</v>
      </c>
      <c r="AH70" s="175"/>
      <c r="AI70" s="176"/>
    </row>
    <row r="71" spans="1:76" x14ac:dyDescent="0.45">
      <c r="B71" s="3"/>
      <c r="C71" s="26"/>
      <c r="D71" s="19" t="s">
        <v>64</v>
      </c>
      <c r="E71" s="27"/>
      <c r="F71" s="28"/>
      <c r="I71" s="110"/>
      <c r="J71" s="111"/>
      <c r="M71" s="181">
        <f t="shared" si="15"/>
        <v>2058</v>
      </c>
      <c r="N71" s="161">
        <f t="shared" si="10"/>
        <v>65.958920723539507</v>
      </c>
      <c r="O71" s="174"/>
      <c r="P71" s="174"/>
      <c r="Q71" s="135"/>
      <c r="R71" s="45"/>
      <c r="S71" s="162">
        <f t="shared" si="13"/>
        <v>2103</v>
      </c>
      <c r="T71" s="256">
        <f t="shared" si="7"/>
        <v>160.79823226301872</v>
      </c>
      <c r="U71" s="175"/>
      <c r="V71" s="176"/>
      <c r="Z71" s="181">
        <f t="shared" si="16"/>
        <v>2058</v>
      </c>
      <c r="AA71" s="161">
        <f t="shared" si="11"/>
        <v>94.227029605056444</v>
      </c>
      <c r="AB71" s="174"/>
      <c r="AC71" s="174"/>
      <c r="AD71" s="135"/>
      <c r="AE71" s="45"/>
      <c r="AF71" s="162">
        <f t="shared" si="14"/>
        <v>2103</v>
      </c>
      <c r="AG71" s="256">
        <f t="shared" si="8"/>
        <v>229.71176037574105</v>
      </c>
      <c r="AH71" s="175"/>
      <c r="AI71" s="176"/>
    </row>
    <row r="72" spans="1:76" x14ac:dyDescent="0.45">
      <c r="B72" s="94"/>
      <c r="C72" s="29" t="s">
        <v>115</v>
      </c>
      <c r="D72" s="30">
        <f>D41*1000*D43</f>
        <v>241178359.96525589</v>
      </c>
      <c r="E72" s="203">
        <v>0.5</v>
      </c>
      <c r="F72" s="203">
        <f>1-E72</f>
        <v>0.5</v>
      </c>
      <c r="G72" s="11"/>
      <c r="I72" s="110"/>
      <c r="J72" s="111"/>
      <c r="M72" s="181">
        <f t="shared" si="15"/>
        <v>2059</v>
      </c>
      <c r="N72" s="161">
        <f t="shared" si="10"/>
        <v>67.278099138010305</v>
      </c>
      <c r="O72" s="174"/>
      <c r="P72" s="174"/>
      <c r="Q72" s="135"/>
      <c r="R72" s="45"/>
      <c r="S72" s="162">
        <f t="shared" si="13"/>
        <v>2104</v>
      </c>
      <c r="T72" s="256">
        <f t="shared" si="7"/>
        <v>164.0141969082791</v>
      </c>
      <c r="U72" s="175"/>
      <c r="V72" s="176"/>
      <c r="Z72" s="181">
        <f t="shared" si="16"/>
        <v>2059</v>
      </c>
      <c r="AA72" s="161">
        <f t="shared" si="11"/>
        <v>96.111570197157576</v>
      </c>
      <c r="AB72" s="174"/>
      <c r="AC72" s="174"/>
      <c r="AD72" s="135"/>
      <c r="AE72" s="45"/>
      <c r="AF72" s="162">
        <f t="shared" si="14"/>
        <v>2104</v>
      </c>
      <c r="AG72" s="256">
        <f t="shared" si="8"/>
        <v>234.30599558325588</v>
      </c>
      <c r="AH72" s="175"/>
      <c r="AI72" s="176"/>
    </row>
    <row r="73" spans="1:76" x14ac:dyDescent="0.45">
      <c r="B73" s="3"/>
      <c r="C73" s="37" t="s">
        <v>116</v>
      </c>
      <c r="D73" s="202">
        <f>SUM(D72)</f>
        <v>241178359.96525589</v>
      </c>
      <c r="E73" s="38"/>
      <c r="F73" s="38"/>
      <c r="I73" s="110"/>
      <c r="J73" s="111"/>
      <c r="M73" s="182">
        <f t="shared" si="15"/>
        <v>2060</v>
      </c>
      <c r="N73" s="183">
        <f t="shared" si="10"/>
        <v>68.623661120770507</v>
      </c>
      <c r="O73" s="177"/>
      <c r="P73" s="177"/>
      <c r="Q73" s="136"/>
      <c r="R73" s="126"/>
      <c r="S73" s="184">
        <f t="shared" si="13"/>
        <v>2105</v>
      </c>
      <c r="T73" s="257">
        <f t="shared" si="7"/>
        <v>167.29448084644466</v>
      </c>
      <c r="U73" s="178"/>
      <c r="V73" s="179"/>
      <c r="Z73" s="182">
        <f t="shared" si="16"/>
        <v>2060</v>
      </c>
      <c r="AA73" s="183">
        <f t="shared" si="11"/>
        <v>98.03380160110072</v>
      </c>
      <c r="AB73" s="177"/>
      <c r="AC73" s="177"/>
      <c r="AD73" s="136"/>
      <c r="AE73" s="126"/>
      <c r="AF73" s="184">
        <f t="shared" si="14"/>
        <v>2105</v>
      </c>
      <c r="AG73" s="257">
        <f t="shared" si="8"/>
        <v>238.99211549492091</v>
      </c>
      <c r="AH73" s="178"/>
      <c r="AI73" s="179"/>
    </row>
    <row r="74" spans="1:76" x14ac:dyDescent="0.45">
      <c r="B74" s="3"/>
      <c r="C74" s="6"/>
      <c r="D74" s="30"/>
      <c r="E74" s="31"/>
      <c r="F74" s="31"/>
      <c r="I74" s="110"/>
      <c r="J74" s="111"/>
      <c r="U74" s="173"/>
      <c r="V74" s="173"/>
    </row>
    <row r="75" spans="1:76" x14ac:dyDescent="0.45">
      <c r="B75" s="3"/>
      <c r="C75" s="15" t="s">
        <v>20</v>
      </c>
      <c r="D75" s="32" t="s">
        <v>34</v>
      </c>
      <c r="E75" s="10"/>
      <c r="F75" s="31"/>
      <c r="I75" s="110"/>
      <c r="J75" s="111"/>
      <c r="M75" s="107"/>
      <c r="N75" s="108"/>
      <c r="O75" s="69"/>
      <c r="P75" s="69"/>
      <c r="Q75" s="113"/>
    </row>
    <row r="76" spans="1:76" x14ac:dyDescent="0.45">
      <c r="B76" s="3"/>
      <c r="C76" s="33"/>
      <c r="D76" s="34" t="s">
        <v>68</v>
      </c>
      <c r="E76" s="31"/>
      <c r="F76" s="31"/>
      <c r="I76" s="110"/>
      <c r="J76" s="111"/>
      <c r="M76" s="107"/>
      <c r="N76" s="108"/>
      <c r="O76" s="69"/>
      <c r="P76" s="69"/>
      <c r="Q76" s="113"/>
    </row>
    <row r="77" spans="1:76" x14ac:dyDescent="0.45">
      <c r="B77" s="3"/>
      <c r="C77" s="6" t="s">
        <v>117</v>
      </c>
      <c r="D77" s="204">
        <f>D72*2/100+D41*8760*0.55*3.28</f>
        <v>17584521.999305118</v>
      </c>
      <c r="E77" s="5"/>
      <c r="F77" s="10"/>
      <c r="I77" s="110"/>
      <c r="J77" s="111"/>
      <c r="M77" s="107"/>
      <c r="N77" s="108"/>
      <c r="O77" s="69"/>
      <c r="P77" s="69"/>
      <c r="Q77" s="113"/>
    </row>
    <row r="78" spans="1:76" x14ac:dyDescent="0.45">
      <c r="A78" s="45"/>
      <c r="B78" s="3"/>
      <c r="C78" s="37" t="s">
        <v>118</v>
      </c>
      <c r="D78" s="202">
        <f>D77</f>
        <v>17584521.999305118</v>
      </c>
      <c r="E78" s="5"/>
      <c r="F78" s="5"/>
      <c r="G78" s="45"/>
    </row>
    <row r="79" spans="1:76" ht="16.3" thickBot="1" x14ac:dyDescent="0.5">
      <c r="A79" s="14"/>
      <c r="B79" s="14"/>
      <c r="C79" s="14"/>
      <c r="D79" s="14"/>
      <c r="E79" s="14"/>
      <c r="F79" s="14"/>
      <c r="G79" s="14"/>
    </row>
    <row r="80" spans="1:76" x14ac:dyDescent="0.45">
      <c r="B80" s="4" t="s">
        <v>35</v>
      </c>
      <c r="C80" s="4"/>
      <c r="D80" s="5"/>
      <c r="E80" s="5"/>
      <c r="F80" s="5"/>
      <c r="G80" s="5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</row>
    <row r="81" spans="1:76" x14ac:dyDescent="0.45">
      <c r="B81" s="41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 spans="1:76" s="205" customFormat="1" x14ac:dyDescent="0.45">
      <c r="B82" s="206"/>
      <c r="C82" s="42" t="s">
        <v>37</v>
      </c>
      <c r="D82" s="207">
        <f>D62</f>
        <v>2058</v>
      </c>
      <c r="E82" s="208">
        <f>D82+1</f>
        <v>2059</v>
      </c>
      <c r="F82" s="208">
        <f t="shared" ref="F82:U83" si="17">E82+1</f>
        <v>2060</v>
      </c>
      <c r="G82" s="208">
        <f t="shared" si="17"/>
        <v>2061</v>
      </c>
      <c r="H82" s="208">
        <f t="shared" si="17"/>
        <v>2062</v>
      </c>
      <c r="I82" s="208">
        <f t="shared" si="17"/>
        <v>2063</v>
      </c>
      <c r="J82" s="208">
        <f t="shared" si="17"/>
        <v>2064</v>
      </c>
      <c r="K82" s="208">
        <f t="shared" si="17"/>
        <v>2065</v>
      </c>
      <c r="L82" s="208">
        <f t="shared" si="17"/>
        <v>2066</v>
      </c>
      <c r="M82" s="208">
        <f>L82+1</f>
        <v>2067</v>
      </c>
      <c r="N82" s="208">
        <f t="shared" si="17"/>
        <v>2068</v>
      </c>
      <c r="O82" s="208">
        <f t="shared" si="17"/>
        <v>2069</v>
      </c>
      <c r="P82" s="208">
        <f t="shared" si="17"/>
        <v>2070</v>
      </c>
      <c r="Q82" s="208">
        <f>P82+1</f>
        <v>2071</v>
      </c>
      <c r="R82" s="208">
        <f>Q82+1</f>
        <v>2072</v>
      </c>
      <c r="S82" s="208">
        <f t="shared" si="17"/>
        <v>2073</v>
      </c>
      <c r="T82" s="208">
        <f t="shared" si="17"/>
        <v>2074</v>
      </c>
      <c r="U82" s="208">
        <f t="shared" si="17"/>
        <v>2075</v>
      </c>
      <c r="V82" s="208">
        <f t="shared" ref="V82:Y83" si="18">U82+1</f>
        <v>2076</v>
      </c>
      <c r="W82" s="208">
        <f t="shared" si="18"/>
        <v>2077</v>
      </c>
      <c r="X82" s="208">
        <f>W82+1</f>
        <v>2078</v>
      </c>
      <c r="Y82" s="208">
        <f t="shared" si="18"/>
        <v>2079</v>
      </c>
      <c r="Z82" s="208">
        <f t="shared" ref="Z82:Z83" si="19">Y82+1</f>
        <v>2080</v>
      </c>
      <c r="AA82" s="208">
        <f t="shared" ref="AA82:AA83" si="20">Z82+1</f>
        <v>2081</v>
      </c>
      <c r="AB82" s="208">
        <f t="shared" ref="AB82:AB83" si="21">AA82+1</f>
        <v>2082</v>
      </c>
      <c r="AC82" s="208">
        <f t="shared" ref="AC82:AC83" si="22">AB82+1</f>
        <v>2083</v>
      </c>
      <c r="AD82" s="208">
        <f t="shared" ref="AD82:AD83" si="23">AC82+1</f>
        <v>2084</v>
      </c>
      <c r="AE82" s="208">
        <f t="shared" ref="AE82:AE83" si="24">AD82+1</f>
        <v>2085</v>
      </c>
      <c r="AF82" s="208">
        <f t="shared" ref="AF82:AF83" si="25">AE82+1</f>
        <v>2086</v>
      </c>
      <c r="AG82" s="208">
        <f t="shared" ref="AG82:AG83" si="26">AF82+1</f>
        <v>2087</v>
      </c>
      <c r="AH82" s="208">
        <f t="shared" ref="AH82:AH83" si="27">AG82+1</f>
        <v>2088</v>
      </c>
      <c r="AI82" s="208">
        <f t="shared" ref="AI82:AI83" si="28">AH82+1</f>
        <v>2089</v>
      </c>
      <c r="AJ82" s="208">
        <f t="shared" ref="AJ82:AJ83" si="29">AI82+1</f>
        <v>2090</v>
      </c>
      <c r="AK82" s="208">
        <f t="shared" ref="AK82:AK83" si="30">AJ82+1</f>
        <v>2091</v>
      </c>
      <c r="AL82" s="208">
        <f t="shared" ref="AL82:AL83" si="31">AK82+1</f>
        <v>2092</v>
      </c>
      <c r="AM82" s="208">
        <f t="shared" ref="AM82:AM83" si="32">AL82+1</f>
        <v>2093</v>
      </c>
      <c r="AN82" s="208">
        <f t="shared" ref="AN82:AN83" si="33">AM82+1</f>
        <v>2094</v>
      </c>
      <c r="AO82" s="208">
        <f t="shared" ref="AO82:AO83" si="34">AN82+1</f>
        <v>2095</v>
      </c>
      <c r="AP82" s="208">
        <f t="shared" ref="AP82:AP83" si="35">AO82+1</f>
        <v>2096</v>
      </c>
      <c r="AQ82" s="208">
        <f t="shared" ref="AQ82:AQ83" si="36">AP82+1</f>
        <v>2097</v>
      </c>
      <c r="AR82" s="208">
        <f t="shared" ref="AR82:AR83" si="37">AQ82+1</f>
        <v>2098</v>
      </c>
      <c r="AS82" s="208">
        <f t="shared" ref="AS82:AS83" si="38">AR82+1</f>
        <v>2099</v>
      </c>
      <c r="AT82" s="208">
        <f t="shared" ref="AT82:AT83" si="39">AS82+1</f>
        <v>2100</v>
      </c>
      <c r="AU82" s="208">
        <f t="shared" ref="AU82:AU83" si="40">AT82+1</f>
        <v>2101</v>
      </c>
      <c r="AV82" s="208">
        <f t="shared" ref="AV82:AV83" si="41">AU82+1</f>
        <v>2102</v>
      </c>
      <c r="AW82" s="208">
        <f t="shared" ref="AW82:AW83" si="42">AV82+1</f>
        <v>2103</v>
      </c>
      <c r="AX82" s="208">
        <f t="shared" ref="AX82:AX83" si="43">AW82+1</f>
        <v>2104</v>
      </c>
      <c r="AY82" s="208">
        <f t="shared" ref="AY82:AY83" si="44">AX82+1</f>
        <v>2105</v>
      </c>
      <c r="AZ82" s="208">
        <f t="shared" ref="AZ82:AZ83" si="45">AY82+1</f>
        <v>2106</v>
      </c>
      <c r="BA82" s="208">
        <f t="shared" ref="BA82:BA83" si="46">AZ82+1</f>
        <v>2107</v>
      </c>
      <c r="BB82" s="208">
        <f t="shared" ref="BB82:BB83" si="47">BA82+1</f>
        <v>2108</v>
      </c>
      <c r="BC82" s="208">
        <f t="shared" ref="BC82:BC83" si="48">BB82+1</f>
        <v>2109</v>
      </c>
      <c r="BD82" s="208">
        <f t="shared" ref="BD82:BD83" si="49">BC82+1</f>
        <v>2110</v>
      </c>
      <c r="BE82" s="208">
        <f t="shared" ref="BE82:BE83" si="50">BD82+1</f>
        <v>2111</v>
      </c>
      <c r="BF82" s="208">
        <f t="shared" ref="BF82:BF83" si="51">BE82+1</f>
        <v>2112</v>
      </c>
      <c r="BG82" s="208">
        <f t="shared" ref="BG82:BG83" si="52">BF82+1</f>
        <v>2113</v>
      </c>
      <c r="BH82" s="208">
        <f t="shared" ref="BH82:BH83" si="53">BG82+1</f>
        <v>2114</v>
      </c>
      <c r="BI82" s="208">
        <f t="shared" ref="BI82:BI83" si="54">BH82+1</f>
        <v>2115</v>
      </c>
      <c r="BJ82" s="208">
        <f t="shared" ref="BJ82:BJ83" si="55">BI82+1</f>
        <v>2116</v>
      </c>
      <c r="BK82" s="208">
        <f t="shared" ref="BK82:BK83" si="56">BJ82+1</f>
        <v>2117</v>
      </c>
      <c r="BL82" s="208">
        <f t="shared" ref="BL82:BL83" si="57">BK82+1</f>
        <v>2118</v>
      </c>
      <c r="BM82" s="208">
        <f t="shared" ref="BM82:BM83" si="58">BL82+1</f>
        <v>2119</v>
      </c>
      <c r="BN82" s="208">
        <f t="shared" ref="BN82:BN83" si="59">BM82+1</f>
        <v>2120</v>
      </c>
      <c r="BO82" s="208">
        <f t="shared" ref="BO82:BO83" si="60">BN82+1</f>
        <v>2121</v>
      </c>
      <c r="BP82" s="208">
        <f t="shared" ref="BP82:BP83" si="61">BO82+1</f>
        <v>2122</v>
      </c>
      <c r="BQ82" s="208">
        <f t="shared" ref="BQ82:BQ83" si="62">BP82+1</f>
        <v>2123</v>
      </c>
      <c r="BR82" s="208">
        <f t="shared" ref="BR82:BR83" si="63">BQ82+1</f>
        <v>2124</v>
      </c>
      <c r="BS82" s="208">
        <f t="shared" ref="BS82:BS83" si="64">BR82+1</f>
        <v>2125</v>
      </c>
      <c r="BT82" s="208">
        <f t="shared" ref="BT82:BT83" si="65">BS82+1</f>
        <v>2126</v>
      </c>
      <c r="BU82" s="208">
        <f t="shared" ref="BU82:BU83" si="66">BT82+1</f>
        <v>2127</v>
      </c>
      <c r="BV82" s="208">
        <f t="shared" ref="BV82:BV83" si="67">BU82+1</f>
        <v>2128</v>
      </c>
      <c r="BW82" s="208">
        <f t="shared" ref="BW82:BW83" si="68">BV82+1</f>
        <v>2129</v>
      </c>
      <c r="BX82" s="208">
        <f t="shared" ref="BX82:BX83" si="69">BW82+1</f>
        <v>2130</v>
      </c>
    </row>
    <row r="83" spans="1:76" s="205" customFormat="1" x14ac:dyDescent="0.45">
      <c r="B83" s="206"/>
      <c r="C83" s="43" t="s">
        <v>38</v>
      </c>
      <c r="D83" s="209">
        <v>1</v>
      </c>
      <c r="E83" s="209">
        <f>D83+1</f>
        <v>2</v>
      </c>
      <c r="F83" s="209">
        <f t="shared" si="17"/>
        <v>3</v>
      </c>
      <c r="G83" s="209">
        <f t="shared" si="17"/>
        <v>4</v>
      </c>
      <c r="H83" s="209">
        <f t="shared" si="17"/>
        <v>5</v>
      </c>
      <c r="I83" s="209">
        <f t="shared" si="17"/>
        <v>6</v>
      </c>
      <c r="J83" s="209">
        <f t="shared" si="17"/>
        <v>7</v>
      </c>
      <c r="K83" s="209">
        <f t="shared" si="17"/>
        <v>8</v>
      </c>
      <c r="L83" s="209">
        <f t="shared" si="17"/>
        <v>9</v>
      </c>
      <c r="M83" s="209">
        <f>L83+1</f>
        <v>10</v>
      </c>
      <c r="N83" s="209">
        <f t="shared" si="17"/>
        <v>11</v>
      </c>
      <c r="O83" s="209">
        <f t="shared" si="17"/>
        <v>12</v>
      </c>
      <c r="P83" s="209">
        <f t="shared" si="17"/>
        <v>13</v>
      </c>
      <c r="Q83" s="209">
        <f>P83+1</f>
        <v>14</v>
      </c>
      <c r="R83" s="209">
        <f>Q83+1</f>
        <v>15</v>
      </c>
      <c r="S83" s="209">
        <f t="shared" si="17"/>
        <v>16</v>
      </c>
      <c r="T83" s="209">
        <f t="shared" si="17"/>
        <v>17</v>
      </c>
      <c r="U83" s="209">
        <f t="shared" si="17"/>
        <v>18</v>
      </c>
      <c r="V83" s="209">
        <f t="shared" si="18"/>
        <v>19</v>
      </c>
      <c r="W83" s="209">
        <f t="shared" si="18"/>
        <v>20</v>
      </c>
      <c r="X83" s="209">
        <f>W83+1</f>
        <v>21</v>
      </c>
      <c r="Y83" s="209">
        <f t="shared" si="18"/>
        <v>22</v>
      </c>
      <c r="Z83" s="209">
        <f t="shared" si="19"/>
        <v>23</v>
      </c>
      <c r="AA83" s="209">
        <f t="shared" si="20"/>
        <v>24</v>
      </c>
      <c r="AB83" s="209">
        <f t="shared" si="21"/>
        <v>25</v>
      </c>
      <c r="AC83" s="209">
        <f t="shared" si="22"/>
        <v>26</v>
      </c>
      <c r="AD83" s="209">
        <f t="shared" si="23"/>
        <v>27</v>
      </c>
      <c r="AE83" s="209">
        <f t="shared" si="24"/>
        <v>28</v>
      </c>
      <c r="AF83" s="209">
        <f t="shared" si="25"/>
        <v>29</v>
      </c>
      <c r="AG83" s="209">
        <f t="shared" si="26"/>
        <v>30</v>
      </c>
      <c r="AH83" s="209">
        <f t="shared" si="27"/>
        <v>31</v>
      </c>
      <c r="AI83" s="209">
        <f t="shared" si="28"/>
        <v>32</v>
      </c>
      <c r="AJ83" s="209">
        <f t="shared" si="29"/>
        <v>33</v>
      </c>
      <c r="AK83" s="209">
        <f t="shared" si="30"/>
        <v>34</v>
      </c>
      <c r="AL83" s="209">
        <f t="shared" si="31"/>
        <v>35</v>
      </c>
      <c r="AM83" s="209">
        <f t="shared" si="32"/>
        <v>36</v>
      </c>
      <c r="AN83" s="209">
        <f t="shared" si="33"/>
        <v>37</v>
      </c>
      <c r="AO83" s="209">
        <f t="shared" si="34"/>
        <v>38</v>
      </c>
      <c r="AP83" s="209">
        <f t="shared" si="35"/>
        <v>39</v>
      </c>
      <c r="AQ83" s="209">
        <f t="shared" si="36"/>
        <v>40</v>
      </c>
      <c r="AR83" s="209">
        <f t="shared" si="37"/>
        <v>41</v>
      </c>
      <c r="AS83" s="209">
        <f t="shared" si="38"/>
        <v>42</v>
      </c>
      <c r="AT83" s="209">
        <f t="shared" si="39"/>
        <v>43</v>
      </c>
      <c r="AU83" s="209">
        <f t="shared" si="40"/>
        <v>44</v>
      </c>
      <c r="AV83" s="209">
        <f t="shared" si="41"/>
        <v>45</v>
      </c>
      <c r="AW83" s="209">
        <f t="shared" si="42"/>
        <v>46</v>
      </c>
      <c r="AX83" s="209">
        <f t="shared" si="43"/>
        <v>47</v>
      </c>
      <c r="AY83" s="209">
        <f t="shared" si="44"/>
        <v>48</v>
      </c>
      <c r="AZ83" s="209">
        <f t="shared" si="45"/>
        <v>49</v>
      </c>
      <c r="BA83" s="209">
        <f t="shared" si="46"/>
        <v>50</v>
      </c>
      <c r="BB83" s="209">
        <f t="shared" si="47"/>
        <v>51</v>
      </c>
      <c r="BC83" s="209">
        <f t="shared" si="48"/>
        <v>52</v>
      </c>
      <c r="BD83" s="209">
        <f t="shared" si="49"/>
        <v>53</v>
      </c>
      <c r="BE83" s="209">
        <f t="shared" si="50"/>
        <v>54</v>
      </c>
      <c r="BF83" s="209">
        <f t="shared" si="51"/>
        <v>55</v>
      </c>
      <c r="BG83" s="209">
        <f t="shared" si="52"/>
        <v>56</v>
      </c>
      <c r="BH83" s="209">
        <f t="shared" si="53"/>
        <v>57</v>
      </c>
      <c r="BI83" s="209">
        <f t="shared" si="54"/>
        <v>58</v>
      </c>
      <c r="BJ83" s="209">
        <f t="shared" si="55"/>
        <v>59</v>
      </c>
      <c r="BK83" s="209">
        <f t="shared" si="56"/>
        <v>60</v>
      </c>
      <c r="BL83" s="209">
        <f t="shared" si="57"/>
        <v>61</v>
      </c>
      <c r="BM83" s="209">
        <f t="shared" si="58"/>
        <v>62</v>
      </c>
      <c r="BN83" s="209">
        <f t="shared" si="59"/>
        <v>63</v>
      </c>
      <c r="BO83" s="209">
        <f t="shared" si="60"/>
        <v>64</v>
      </c>
      <c r="BP83" s="209">
        <f t="shared" si="61"/>
        <v>65</v>
      </c>
      <c r="BQ83" s="209">
        <f t="shared" si="62"/>
        <v>66</v>
      </c>
      <c r="BR83" s="209">
        <f t="shared" si="63"/>
        <v>67</v>
      </c>
      <c r="BS83" s="209">
        <f t="shared" si="64"/>
        <v>68</v>
      </c>
      <c r="BT83" s="209">
        <f t="shared" si="65"/>
        <v>69</v>
      </c>
      <c r="BU83" s="209">
        <f t="shared" si="66"/>
        <v>70</v>
      </c>
      <c r="BV83" s="209">
        <f t="shared" si="67"/>
        <v>71</v>
      </c>
      <c r="BW83" s="209">
        <f t="shared" si="68"/>
        <v>72</v>
      </c>
      <c r="BX83" s="209">
        <f t="shared" si="69"/>
        <v>73</v>
      </c>
    </row>
    <row r="84" spans="1:76" x14ac:dyDescent="0.45">
      <c r="B84" s="41"/>
      <c r="C84" s="3"/>
      <c r="D84" s="3"/>
      <c r="E84" s="3"/>
      <c r="F84" s="3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3"/>
    </row>
    <row r="85" spans="1:76" s="205" customFormat="1" x14ac:dyDescent="0.45">
      <c r="B85" s="210"/>
      <c r="C85" s="5" t="s">
        <v>119</v>
      </c>
      <c r="D85" s="211">
        <f>(1+$D$55)^(D82-2020)</f>
        <v>2.1222987924018186</v>
      </c>
      <c r="E85" s="211">
        <f t="shared" ref="E85:G85" si="70">(1+$D$55)^(E82-2020)</f>
        <v>2.1647447682498542</v>
      </c>
      <c r="F85" s="211">
        <f t="shared" si="70"/>
        <v>2.2080396636148518</v>
      </c>
      <c r="G85" s="211">
        <f t="shared" si="70"/>
        <v>2.2522004568871488</v>
      </c>
      <c r="H85" s="211">
        <f>(1+$D$55)^(H82-2020)</f>
        <v>2.2972444660248916</v>
      </c>
      <c r="I85" s="211">
        <f t="shared" ref="I85:BT85" si="71">(1+$D$55)^(I82-2020)</f>
        <v>2.3431893553453893</v>
      </c>
      <c r="J85" s="211">
        <f t="shared" si="71"/>
        <v>2.3900531424522975</v>
      </c>
      <c r="K85" s="211">
        <f t="shared" si="71"/>
        <v>2.4378542053013432</v>
      </c>
      <c r="L85" s="211">
        <f t="shared" si="71"/>
        <v>2.4866112894073704</v>
      </c>
      <c r="M85" s="211">
        <f t="shared" si="71"/>
        <v>2.5363435151955169</v>
      </c>
      <c r="N85" s="211">
        <f t="shared" si="71"/>
        <v>2.5870703854994277</v>
      </c>
      <c r="O85" s="211">
        <f t="shared" si="71"/>
        <v>2.6388117932094164</v>
      </c>
      <c r="P85" s="211">
        <f t="shared" si="71"/>
        <v>2.6915880290736047</v>
      </c>
      <c r="Q85" s="211">
        <f t="shared" si="71"/>
        <v>2.7454197896550765</v>
      </c>
      <c r="R85" s="211">
        <f t="shared" si="71"/>
        <v>2.8003281854481785</v>
      </c>
      <c r="S85" s="211">
        <f t="shared" si="71"/>
        <v>2.8563347491571416</v>
      </c>
      <c r="T85" s="211">
        <f t="shared" si="71"/>
        <v>2.9134614441402849</v>
      </c>
      <c r="U85" s="211">
        <f t="shared" si="71"/>
        <v>2.9717306730230897</v>
      </c>
      <c r="V85" s="211">
        <f t="shared" si="71"/>
        <v>3.0311652864835517</v>
      </c>
      <c r="W85" s="211">
        <f t="shared" si="71"/>
        <v>3.0917885922132227</v>
      </c>
      <c r="X85" s="211">
        <f t="shared" si="71"/>
        <v>3.1536243640574875</v>
      </c>
      <c r="Y85" s="211">
        <f t="shared" si="71"/>
        <v>3.2166968513386367</v>
      </c>
      <c r="Z85" s="211">
        <f t="shared" si="71"/>
        <v>3.2810307883654102</v>
      </c>
      <c r="AA85" s="211">
        <f t="shared" si="71"/>
        <v>3.346651404132718</v>
      </c>
      <c r="AB85" s="211">
        <f t="shared" si="71"/>
        <v>3.4135844322153726</v>
      </c>
      <c r="AC85" s="211">
        <f t="shared" si="71"/>
        <v>3.4818561208596792</v>
      </c>
      <c r="AD85" s="211">
        <f t="shared" si="71"/>
        <v>3.5514932432768735</v>
      </c>
      <c r="AE85" s="211">
        <f t="shared" si="71"/>
        <v>3.6225231081424112</v>
      </c>
      <c r="AF85" s="211">
        <f>(1+$D$55)^(AF82-2020)</f>
        <v>3.6949735703052591</v>
      </c>
      <c r="AG85" s="211">
        <f t="shared" si="71"/>
        <v>3.7688730417113643</v>
      </c>
      <c r="AH85" s="211">
        <f t="shared" si="71"/>
        <v>3.8442505025455915</v>
      </c>
      <c r="AI85" s="211">
        <f t="shared" si="71"/>
        <v>3.9211355125965035</v>
      </c>
      <c r="AJ85" s="211">
        <f t="shared" si="71"/>
        <v>3.9995582228484339</v>
      </c>
      <c r="AK85" s="211">
        <f t="shared" si="71"/>
        <v>4.0795493873054021</v>
      </c>
      <c r="AL85" s="211">
        <f t="shared" si="71"/>
        <v>4.1611403750515104</v>
      </c>
      <c r="AM85" s="211">
        <f t="shared" si="71"/>
        <v>4.2443631825525401</v>
      </c>
      <c r="AN85" s="211">
        <f t="shared" si="71"/>
        <v>4.3292504462035915</v>
      </c>
      <c r="AO85" s="211">
        <f t="shared" si="71"/>
        <v>4.4158354551276622</v>
      </c>
      <c r="AP85" s="211">
        <f t="shared" si="71"/>
        <v>4.5041521642302165</v>
      </c>
      <c r="AQ85" s="211">
        <f>(1+$D$55)^(AQ82-2020)</f>
        <v>4.5942352075148207</v>
      </c>
      <c r="AR85" s="211">
        <f t="shared" si="71"/>
        <v>4.6861199116651173</v>
      </c>
      <c r="AS85" s="211">
        <f t="shared" si="71"/>
        <v>4.7798423098984184</v>
      </c>
      <c r="AT85" s="211">
        <f t="shared" si="71"/>
        <v>4.8754391560963874</v>
      </c>
      <c r="AU85" s="211">
        <f t="shared" si="71"/>
        <v>4.9729479392183151</v>
      </c>
      <c r="AV85" s="211">
        <f t="shared" si="71"/>
        <v>5.0724068980026811</v>
      </c>
      <c r="AW85" s="211">
        <f t="shared" si="71"/>
        <v>5.1738550359627347</v>
      </c>
      <c r="AX85" s="211">
        <f t="shared" si="71"/>
        <v>5.2773321366819896</v>
      </c>
      <c r="AY85" s="211">
        <f t="shared" si="71"/>
        <v>5.3828787794156296</v>
      </c>
      <c r="AZ85" s="211">
        <f t="shared" si="71"/>
        <v>5.4905363550039423</v>
      </c>
      <c r="BA85" s="211">
        <f t="shared" si="71"/>
        <v>5.6003470821040198</v>
      </c>
      <c r="BB85" s="211">
        <f t="shared" si="71"/>
        <v>5.7123540237461006</v>
      </c>
      <c r="BC85" s="211">
        <f>(1+$D$55)^(BC82-2020)</f>
        <v>5.8266011042210231</v>
      </c>
      <c r="BD85" s="211">
        <f t="shared" si="71"/>
        <v>5.9431331263054439</v>
      </c>
      <c r="BE85" s="211">
        <f t="shared" si="71"/>
        <v>6.0619957888315517</v>
      </c>
      <c r="BF85" s="211">
        <f t="shared" si="71"/>
        <v>6.1832357046081841</v>
      </c>
      <c r="BG85" s="211">
        <f t="shared" si="71"/>
        <v>6.306900418700347</v>
      </c>
      <c r="BH85" s="211">
        <f t="shared" si="71"/>
        <v>6.4330384270743544</v>
      </c>
      <c r="BI85" s="211">
        <f t="shared" si="71"/>
        <v>6.5616991956158399</v>
      </c>
      <c r="BJ85" s="211">
        <f t="shared" si="71"/>
        <v>6.6929331795281577</v>
      </c>
      <c r="BK85" s="211">
        <f t="shared" si="71"/>
        <v>6.8267918431187216</v>
      </c>
      <c r="BL85" s="211">
        <f t="shared" si="71"/>
        <v>6.963327679981095</v>
      </c>
      <c r="BM85" s="211">
        <f t="shared" si="71"/>
        <v>7.1025942335807173</v>
      </c>
      <c r="BN85" s="211">
        <f t="shared" si="71"/>
        <v>7.244646118252331</v>
      </c>
      <c r="BO85" s="211">
        <f t="shared" si="71"/>
        <v>7.3895390406173789</v>
      </c>
      <c r="BP85" s="211">
        <f t="shared" si="71"/>
        <v>7.5373298214297266</v>
      </c>
      <c r="BQ85" s="211">
        <f t="shared" si="71"/>
        <v>7.6880764178583183</v>
      </c>
      <c r="BR85" s="211">
        <f t="shared" si="71"/>
        <v>7.8418379462154872</v>
      </c>
      <c r="BS85" s="211">
        <f t="shared" si="71"/>
        <v>7.9986747051397966</v>
      </c>
      <c r="BT85" s="211">
        <f t="shared" si="71"/>
        <v>8.1586481992425917</v>
      </c>
      <c r="BU85" s="211">
        <f t="shared" ref="BU85:BX85" si="72">(1+$D$55)^(BU82-2020)</f>
        <v>8.3218211632274439</v>
      </c>
      <c r="BV85" s="211">
        <f t="shared" si="72"/>
        <v>8.4882575864919936</v>
      </c>
      <c r="BW85" s="211">
        <f t="shared" si="72"/>
        <v>8.6580227382218329</v>
      </c>
      <c r="BX85" s="211">
        <f t="shared" si="72"/>
        <v>8.8311831929862699</v>
      </c>
    </row>
    <row r="86" spans="1:76" s="205" customFormat="1" x14ac:dyDescent="0.45">
      <c r="B86" s="210"/>
      <c r="C86" s="212" t="s">
        <v>120</v>
      </c>
      <c r="D86" s="213">
        <f>(1+$D$60)^(D83-1)</f>
        <v>1</v>
      </c>
      <c r="E86" s="213">
        <f t="shared" ref="E86:BP86" si="73">(1+$D$60)^(E83-1)</f>
        <v>1.1499999999999999</v>
      </c>
      <c r="F86" s="213">
        <f t="shared" si="73"/>
        <v>1.3224999999999998</v>
      </c>
      <c r="G86" s="213">
        <f t="shared" si="73"/>
        <v>1.5208749999999995</v>
      </c>
      <c r="H86" s="213">
        <f t="shared" si="73"/>
        <v>1.7490062499999994</v>
      </c>
      <c r="I86" s="213">
        <f t="shared" si="73"/>
        <v>2.0113571874999994</v>
      </c>
      <c r="J86" s="213">
        <f t="shared" si="73"/>
        <v>2.3130607656249991</v>
      </c>
      <c r="K86" s="213">
        <f t="shared" si="73"/>
        <v>2.6600198804687483</v>
      </c>
      <c r="L86" s="213">
        <f t="shared" si="73"/>
        <v>3.0590228625390603</v>
      </c>
      <c r="M86" s="213">
        <f t="shared" si="73"/>
        <v>3.5178762919199191</v>
      </c>
      <c r="N86" s="213">
        <f t="shared" si="73"/>
        <v>4.0455577357079067</v>
      </c>
      <c r="O86" s="213">
        <f t="shared" si="73"/>
        <v>4.6523913960640924</v>
      </c>
      <c r="P86" s="213">
        <f t="shared" si="73"/>
        <v>5.3502501054737053</v>
      </c>
      <c r="Q86" s="213">
        <f t="shared" si="73"/>
        <v>6.1527876212947614</v>
      </c>
      <c r="R86" s="213">
        <f t="shared" si="73"/>
        <v>7.0757057644889754</v>
      </c>
      <c r="S86" s="213">
        <f t="shared" si="73"/>
        <v>8.1370616291623197</v>
      </c>
      <c r="T86" s="213">
        <f t="shared" si="73"/>
        <v>9.3576208735366659</v>
      </c>
      <c r="U86" s="213">
        <f t="shared" si="73"/>
        <v>10.761264004567165</v>
      </c>
      <c r="V86" s="213">
        <f t="shared" si="73"/>
        <v>12.375453605252238</v>
      </c>
      <c r="W86" s="213">
        <f t="shared" si="73"/>
        <v>14.231771646040073</v>
      </c>
      <c r="X86" s="213">
        <f t="shared" si="73"/>
        <v>16.366537392946082</v>
      </c>
      <c r="Y86" s="213">
        <f t="shared" si="73"/>
        <v>18.821518001887995</v>
      </c>
      <c r="Z86" s="213">
        <f t="shared" si="73"/>
        <v>21.644745702171193</v>
      </c>
      <c r="AA86" s="213">
        <f t="shared" si="73"/>
        <v>24.891457557496867</v>
      </c>
      <c r="AB86" s="213">
        <f t="shared" si="73"/>
        <v>28.625176191121394</v>
      </c>
      <c r="AC86" s="213">
        <f t="shared" si="73"/>
        <v>32.9189526197896</v>
      </c>
      <c r="AD86" s="213">
        <f t="shared" si="73"/>
        <v>37.85679551275804</v>
      </c>
      <c r="AE86" s="213">
        <f t="shared" si="73"/>
        <v>43.535314839671742</v>
      </c>
      <c r="AF86" s="213">
        <f t="shared" si="73"/>
        <v>50.065612065622496</v>
      </c>
      <c r="AG86" s="213">
        <f t="shared" si="73"/>
        <v>57.575453875465868</v>
      </c>
      <c r="AH86" s="213">
        <f t="shared" si="73"/>
        <v>66.211771956785753</v>
      </c>
      <c r="AI86" s="213">
        <f t="shared" si="73"/>
        <v>76.143537750303594</v>
      </c>
      <c r="AJ86" s="213">
        <f t="shared" si="73"/>
        <v>87.565068412849115</v>
      </c>
      <c r="AK86" s="213">
        <f t="shared" si="73"/>
        <v>100.69982867477647</v>
      </c>
      <c r="AL86" s="213">
        <f t="shared" si="73"/>
        <v>115.80480297599294</v>
      </c>
      <c r="AM86" s="213">
        <f t="shared" si="73"/>
        <v>133.17552342239185</v>
      </c>
      <c r="AN86" s="213">
        <f t="shared" si="73"/>
        <v>153.15185193575064</v>
      </c>
      <c r="AO86" s="213">
        <f t="shared" si="73"/>
        <v>176.12462972611323</v>
      </c>
      <c r="AP86" s="213">
        <f t="shared" si="73"/>
        <v>202.5433241850302</v>
      </c>
      <c r="AQ86" s="213">
        <f t="shared" si="73"/>
        <v>232.92482281278467</v>
      </c>
      <c r="AR86" s="213">
        <f t="shared" si="73"/>
        <v>267.86354623470237</v>
      </c>
      <c r="AS86" s="213">
        <f t="shared" si="73"/>
        <v>308.04307816990769</v>
      </c>
      <c r="AT86" s="213">
        <f t="shared" si="73"/>
        <v>354.24953989539381</v>
      </c>
      <c r="AU86" s="213">
        <f t="shared" si="73"/>
        <v>407.38697087970286</v>
      </c>
      <c r="AV86" s="213">
        <f t="shared" si="73"/>
        <v>468.49501651165821</v>
      </c>
      <c r="AW86" s="213">
        <f t="shared" si="73"/>
        <v>538.76926898840691</v>
      </c>
      <c r="AX86" s="213">
        <f t="shared" si="73"/>
        <v>619.58465933666798</v>
      </c>
      <c r="AY86" s="213">
        <f t="shared" si="73"/>
        <v>712.52235823716796</v>
      </c>
      <c r="AZ86" s="213">
        <f t="shared" si="73"/>
        <v>819.40071197274301</v>
      </c>
      <c r="BA86" s="213">
        <f t="shared" si="73"/>
        <v>942.31081876865449</v>
      </c>
      <c r="BB86" s="213">
        <f t="shared" si="73"/>
        <v>1083.6574415839525</v>
      </c>
      <c r="BC86" s="213">
        <f t="shared" si="73"/>
        <v>1246.2060578215453</v>
      </c>
      <c r="BD86" s="213">
        <f t="shared" si="73"/>
        <v>1433.136966494777</v>
      </c>
      <c r="BE86" s="213">
        <f t="shared" si="73"/>
        <v>1648.1075114689934</v>
      </c>
      <c r="BF86" s="213">
        <f t="shared" si="73"/>
        <v>1895.3236381893423</v>
      </c>
      <c r="BG86" s="213">
        <f t="shared" si="73"/>
        <v>2179.6221839177433</v>
      </c>
      <c r="BH86" s="213">
        <f t="shared" si="73"/>
        <v>2506.5655115054046</v>
      </c>
      <c r="BI86" s="213">
        <f t="shared" si="73"/>
        <v>2882.5503382312149</v>
      </c>
      <c r="BJ86" s="213">
        <f t="shared" si="73"/>
        <v>3314.9328889658973</v>
      </c>
      <c r="BK86" s="213">
        <f t="shared" si="73"/>
        <v>3812.1728223107812</v>
      </c>
      <c r="BL86" s="213">
        <f t="shared" si="73"/>
        <v>4383.9987456573981</v>
      </c>
      <c r="BM86" s="213">
        <f t="shared" si="73"/>
        <v>5041.5985575060076</v>
      </c>
      <c r="BN86" s="213">
        <f t="shared" si="73"/>
        <v>5797.8383411319091</v>
      </c>
      <c r="BO86" s="213">
        <f t="shared" si="73"/>
        <v>6667.5140923016934</v>
      </c>
      <c r="BP86" s="213">
        <f t="shared" si="73"/>
        <v>7667.6412061469455</v>
      </c>
      <c r="BQ86" s="213">
        <f t="shared" ref="BQ86:BX86" si="74">(1+$D$60)^(BQ83-1)</f>
        <v>8817.7873870689873</v>
      </c>
      <c r="BR86" s="213">
        <f t="shared" si="74"/>
        <v>10140.455495129334</v>
      </c>
      <c r="BS86" s="213">
        <f t="shared" si="74"/>
        <v>11661.523819398732</v>
      </c>
      <c r="BT86" s="213">
        <f t="shared" si="74"/>
        <v>13410.752392308541</v>
      </c>
      <c r="BU86" s="213">
        <f t="shared" si="74"/>
        <v>15422.365251154823</v>
      </c>
      <c r="BV86" s="213">
        <f t="shared" si="74"/>
        <v>17735.720038828043</v>
      </c>
      <c r="BW86" s="213">
        <f t="shared" si="74"/>
        <v>20396.078044652248</v>
      </c>
      <c r="BX86" s="213">
        <f t="shared" si="74"/>
        <v>23455.489751350084</v>
      </c>
    </row>
    <row r="87" spans="1:76" x14ac:dyDescent="0.45">
      <c r="B87" s="44"/>
      <c r="C87" s="3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</row>
    <row r="88" spans="1:76" s="205" customFormat="1" x14ac:dyDescent="0.45">
      <c r="B88" s="30">
        <f>SUM(D88:CY88)</f>
        <v>21008889</v>
      </c>
      <c r="C88" s="214" t="s">
        <v>121</v>
      </c>
      <c r="D88" s="215">
        <f t="shared" ref="D88:AI88" si="75">IF(D133="Oper Period",$D$42,0)</f>
        <v>0</v>
      </c>
      <c r="E88" s="215">
        <f t="shared" si="75"/>
        <v>0</v>
      </c>
      <c r="F88" s="215">
        <f t="shared" si="75"/>
        <v>1750740.75</v>
      </c>
      <c r="G88" s="215">
        <f t="shared" si="75"/>
        <v>1750740.75</v>
      </c>
      <c r="H88" s="215">
        <f t="shared" si="75"/>
        <v>1750740.75</v>
      </c>
      <c r="I88" s="215">
        <f t="shared" si="75"/>
        <v>1750740.75</v>
      </c>
      <c r="J88" s="215">
        <f t="shared" si="75"/>
        <v>1750740.75</v>
      </c>
      <c r="K88" s="215">
        <f t="shared" si="75"/>
        <v>1750740.75</v>
      </c>
      <c r="L88" s="215">
        <f t="shared" si="75"/>
        <v>1750740.75</v>
      </c>
      <c r="M88" s="215">
        <f t="shared" si="75"/>
        <v>1750740.75</v>
      </c>
      <c r="N88" s="215">
        <f t="shared" si="75"/>
        <v>1750740.75</v>
      </c>
      <c r="O88" s="215">
        <f t="shared" si="75"/>
        <v>1750740.75</v>
      </c>
      <c r="P88" s="215">
        <f t="shared" si="75"/>
        <v>1750740.75</v>
      </c>
      <c r="Q88" s="215">
        <f t="shared" si="75"/>
        <v>1750740.75</v>
      </c>
      <c r="R88" s="215">
        <f t="shared" si="75"/>
        <v>0</v>
      </c>
      <c r="S88" s="215">
        <f t="shared" si="75"/>
        <v>0</v>
      </c>
      <c r="T88" s="215">
        <f t="shared" si="75"/>
        <v>0</v>
      </c>
      <c r="U88" s="215">
        <f t="shared" si="75"/>
        <v>0</v>
      </c>
      <c r="V88" s="215">
        <f t="shared" si="75"/>
        <v>0</v>
      </c>
      <c r="W88" s="215">
        <f t="shared" si="75"/>
        <v>0</v>
      </c>
      <c r="X88" s="215">
        <f t="shared" si="75"/>
        <v>0</v>
      </c>
      <c r="Y88" s="215">
        <f t="shared" si="75"/>
        <v>0</v>
      </c>
      <c r="Z88" s="215">
        <f t="shared" si="75"/>
        <v>0</v>
      </c>
      <c r="AA88" s="215">
        <f t="shared" si="75"/>
        <v>0</v>
      </c>
      <c r="AB88" s="215">
        <f t="shared" si="75"/>
        <v>0</v>
      </c>
      <c r="AC88" s="215">
        <f t="shared" si="75"/>
        <v>0</v>
      </c>
      <c r="AD88" s="215">
        <f t="shared" si="75"/>
        <v>0</v>
      </c>
      <c r="AE88" s="215">
        <f t="shared" si="75"/>
        <v>0</v>
      </c>
      <c r="AF88" s="215">
        <f t="shared" si="75"/>
        <v>0</v>
      </c>
      <c r="AG88" s="215">
        <f t="shared" si="75"/>
        <v>0</v>
      </c>
      <c r="AH88" s="215">
        <f t="shared" si="75"/>
        <v>0</v>
      </c>
      <c r="AI88" s="215">
        <f t="shared" si="75"/>
        <v>0</v>
      </c>
      <c r="AJ88" s="215">
        <f t="shared" ref="AJ88:BO88" si="76">IF(AJ133="Oper Period",$D$42,0)</f>
        <v>0</v>
      </c>
      <c r="AK88" s="215">
        <f t="shared" si="76"/>
        <v>0</v>
      </c>
      <c r="AL88" s="215">
        <f t="shared" si="76"/>
        <v>0</v>
      </c>
      <c r="AM88" s="215">
        <f t="shared" si="76"/>
        <v>0</v>
      </c>
      <c r="AN88" s="215">
        <f t="shared" si="76"/>
        <v>0</v>
      </c>
      <c r="AO88" s="215">
        <f t="shared" si="76"/>
        <v>0</v>
      </c>
      <c r="AP88" s="215">
        <f t="shared" si="76"/>
        <v>0</v>
      </c>
      <c r="AQ88" s="215">
        <f t="shared" si="76"/>
        <v>0</v>
      </c>
      <c r="AR88" s="215">
        <f t="shared" si="76"/>
        <v>0</v>
      </c>
      <c r="AS88" s="215">
        <f t="shared" si="76"/>
        <v>0</v>
      </c>
      <c r="AT88" s="215">
        <f t="shared" si="76"/>
        <v>0</v>
      </c>
      <c r="AU88" s="215">
        <f t="shared" si="76"/>
        <v>0</v>
      </c>
      <c r="AV88" s="215">
        <f t="shared" si="76"/>
        <v>0</v>
      </c>
      <c r="AW88" s="215">
        <f t="shared" si="76"/>
        <v>0</v>
      </c>
      <c r="AX88" s="215">
        <f t="shared" si="76"/>
        <v>0</v>
      </c>
      <c r="AY88" s="215">
        <f t="shared" si="76"/>
        <v>0</v>
      </c>
      <c r="AZ88" s="215">
        <f t="shared" si="76"/>
        <v>0</v>
      </c>
      <c r="BA88" s="215">
        <f t="shared" si="76"/>
        <v>0</v>
      </c>
      <c r="BB88" s="215">
        <f t="shared" si="76"/>
        <v>0</v>
      </c>
      <c r="BC88" s="215">
        <f t="shared" si="76"/>
        <v>0</v>
      </c>
      <c r="BD88" s="215">
        <f t="shared" si="76"/>
        <v>0</v>
      </c>
      <c r="BE88" s="215">
        <f t="shared" si="76"/>
        <v>0</v>
      </c>
      <c r="BF88" s="215">
        <f t="shared" si="76"/>
        <v>0</v>
      </c>
      <c r="BG88" s="215">
        <f t="shared" si="76"/>
        <v>0</v>
      </c>
      <c r="BH88" s="215">
        <f t="shared" si="76"/>
        <v>0</v>
      </c>
      <c r="BI88" s="215">
        <f t="shared" si="76"/>
        <v>0</v>
      </c>
      <c r="BJ88" s="215">
        <f t="shared" si="76"/>
        <v>0</v>
      </c>
      <c r="BK88" s="215">
        <f t="shared" si="76"/>
        <v>0</v>
      </c>
      <c r="BL88" s="215">
        <f t="shared" si="76"/>
        <v>0</v>
      </c>
      <c r="BM88" s="215">
        <f t="shared" si="76"/>
        <v>0</v>
      </c>
      <c r="BN88" s="215">
        <f t="shared" si="76"/>
        <v>0</v>
      </c>
      <c r="BO88" s="215">
        <f t="shared" si="76"/>
        <v>0</v>
      </c>
      <c r="BP88" s="215">
        <f t="shared" ref="BP88:BX88" si="77">IF(BP133="Oper Period",$D$42,0)</f>
        <v>0</v>
      </c>
      <c r="BQ88" s="215">
        <f t="shared" si="77"/>
        <v>0</v>
      </c>
      <c r="BR88" s="215">
        <f t="shared" si="77"/>
        <v>0</v>
      </c>
      <c r="BS88" s="215">
        <f t="shared" si="77"/>
        <v>0</v>
      </c>
      <c r="BT88" s="215">
        <f t="shared" si="77"/>
        <v>0</v>
      </c>
      <c r="BU88" s="215">
        <f t="shared" si="77"/>
        <v>0</v>
      </c>
      <c r="BV88" s="215">
        <f t="shared" si="77"/>
        <v>0</v>
      </c>
      <c r="BW88" s="215">
        <f t="shared" si="77"/>
        <v>0</v>
      </c>
      <c r="BX88" s="215">
        <f t="shared" si="77"/>
        <v>0</v>
      </c>
    </row>
    <row r="89" spans="1:76" s="205" customFormat="1" x14ac:dyDescent="0.45">
      <c r="B89" s="30">
        <f>SUM(D89:CY89)</f>
        <v>8252259.6272570109</v>
      </c>
      <c r="C89" s="5" t="s">
        <v>159</v>
      </c>
      <c r="D89" s="217">
        <f>D88/D86</f>
        <v>0</v>
      </c>
      <c r="E89" s="217">
        <f t="shared" ref="E89:H89" si="78">E88/E86</f>
        <v>0</v>
      </c>
      <c r="F89" s="217">
        <f t="shared" si="78"/>
        <v>1323811.5311909264</v>
      </c>
      <c r="G89" s="217">
        <f t="shared" si="78"/>
        <v>1151140.4619051537</v>
      </c>
      <c r="H89" s="217">
        <f t="shared" si="78"/>
        <v>1000991.7060044814</v>
      </c>
      <c r="I89" s="217">
        <f t="shared" ref="I89" si="79">I88/I86</f>
        <v>870427.57043867954</v>
      </c>
      <c r="J89" s="217">
        <f t="shared" ref="J89" si="80">J88/J86</f>
        <v>756893.53951189527</v>
      </c>
      <c r="K89" s="217">
        <f t="shared" ref="K89:L89" si="81">K88/K86</f>
        <v>658168.29522773519</v>
      </c>
      <c r="L89" s="217">
        <f t="shared" si="81"/>
        <v>572320.25671976979</v>
      </c>
      <c r="M89" s="217">
        <f t="shared" ref="M89" si="82">M88/M86</f>
        <v>497669.78845197376</v>
      </c>
      <c r="N89" s="217">
        <f t="shared" ref="N89" si="83">N88/N86</f>
        <v>432756.33778432501</v>
      </c>
      <c r="O89" s="217">
        <f t="shared" ref="O89:P89" si="84">O88/O86</f>
        <v>376309.85894289135</v>
      </c>
      <c r="P89" s="217">
        <f t="shared" si="84"/>
        <v>327225.96429816645</v>
      </c>
      <c r="Q89" s="217">
        <f t="shared" ref="Q89" si="85">Q88/Q86</f>
        <v>284544.31678101432</v>
      </c>
      <c r="R89" s="217">
        <f t="shared" ref="R89" si="86">R88/R86</f>
        <v>0</v>
      </c>
      <c r="S89" s="217">
        <f t="shared" ref="S89:T89" si="87">S88/S86</f>
        <v>0</v>
      </c>
      <c r="T89" s="217">
        <f t="shared" si="87"/>
        <v>0</v>
      </c>
      <c r="U89" s="217">
        <f t="shared" ref="U89" si="88">U88/U86</f>
        <v>0</v>
      </c>
      <c r="V89" s="217">
        <f t="shared" ref="V89" si="89">V88/V86</f>
        <v>0</v>
      </c>
      <c r="W89" s="217">
        <f t="shared" ref="W89:X89" si="90">W88/W86</f>
        <v>0</v>
      </c>
      <c r="X89" s="217">
        <f t="shared" si="90"/>
        <v>0</v>
      </c>
      <c r="Y89" s="217">
        <f t="shared" ref="Y89" si="91">Y88/Y86</f>
        <v>0</v>
      </c>
      <c r="Z89" s="217">
        <f t="shared" ref="Z89" si="92">Z88/Z86</f>
        <v>0</v>
      </c>
      <c r="AA89" s="217">
        <f t="shared" ref="AA89:AB89" si="93">AA88/AA86</f>
        <v>0</v>
      </c>
      <c r="AB89" s="217">
        <f t="shared" si="93"/>
        <v>0</v>
      </c>
      <c r="AC89" s="217">
        <f t="shared" ref="AC89" si="94">AC88/AC86</f>
        <v>0</v>
      </c>
      <c r="AD89" s="217">
        <f t="shared" ref="AD89" si="95">AD88/AD86</f>
        <v>0</v>
      </c>
      <c r="AE89" s="217">
        <f t="shared" ref="AE89:AF89" si="96">AE88/AE86</f>
        <v>0</v>
      </c>
      <c r="AF89" s="217">
        <f t="shared" si="96"/>
        <v>0</v>
      </c>
      <c r="AG89" s="217">
        <f t="shared" ref="AG89" si="97">AG88/AG86</f>
        <v>0</v>
      </c>
      <c r="AH89" s="217">
        <f t="shared" ref="AH89" si="98">AH88/AH86</f>
        <v>0</v>
      </c>
      <c r="AI89" s="217">
        <f t="shared" ref="AI89:AJ89" si="99">AI88/AI86</f>
        <v>0</v>
      </c>
      <c r="AJ89" s="217">
        <f t="shared" si="99"/>
        <v>0</v>
      </c>
      <c r="AK89" s="217">
        <f t="shared" ref="AK89" si="100">AK88/AK86</f>
        <v>0</v>
      </c>
      <c r="AL89" s="217">
        <f t="shared" ref="AL89" si="101">AL88/AL86</f>
        <v>0</v>
      </c>
      <c r="AM89" s="217">
        <f t="shared" ref="AM89:AN89" si="102">AM88/AM86</f>
        <v>0</v>
      </c>
      <c r="AN89" s="217">
        <f t="shared" si="102"/>
        <v>0</v>
      </c>
      <c r="AO89" s="217">
        <f t="shared" ref="AO89" si="103">AO88/AO86</f>
        <v>0</v>
      </c>
      <c r="AP89" s="217">
        <f t="shared" ref="AP89" si="104">AP88/AP86</f>
        <v>0</v>
      </c>
      <c r="AQ89" s="217">
        <f t="shared" ref="AQ89:AR89" si="105">AQ88/AQ86</f>
        <v>0</v>
      </c>
      <c r="AR89" s="217">
        <f t="shared" si="105"/>
        <v>0</v>
      </c>
      <c r="AS89" s="217">
        <f t="shared" ref="AS89" si="106">AS88/AS86</f>
        <v>0</v>
      </c>
      <c r="AT89" s="217">
        <f t="shared" ref="AT89" si="107">AT88/AT86</f>
        <v>0</v>
      </c>
      <c r="AU89" s="217">
        <f t="shared" ref="AU89:AV89" si="108">AU88/AU86</f>
        <v>0</v>
      </c>
      <c r="AV89" s="217">
        <f t="shared" si="108"/>
        <v>0</v>
      </c>
      <c r="AW89" s="217">
        <f t="shared" ref="AW89" si="109">AW88/AW86</f>
        <v>0</v>
      </c>
      <c r="AX89" s="217">
        <f t="shared" ref="AX89" si="110">AX88/AX86</f>
        <v>0</v>
      </c>
      <c r="AY89" s="217">
        <f t="shared" ref="AY89:AZ89" si="111">AY88/AY86</f>
        <v>0</v>
      </c>
      <c r="AZ89" s="217">
        <f t="shared" si="111"/>
        <v>0</v>
      </c>
      <c r="BA89" s="217">
        <f t="shared" ref="BA89" si="112">BA88/BA86</f>
        <v>0</v>
      </c>
      <c r="BB89" s="217">
        <f t="shared" ref="BB89" si="113">BB88/BB86</f>
        <v>0</v>
      </c>
      <c r="BC89" s="217">
        <f t="shared" ref="BC89:BD89" si="114">BC88/BC86</f>
        <v>0</v>
      </c>
      <c r="BD89" s="217">
        <f t="shared" si="114"/>
        <v>0</v>
      </c>
      <c r="BE89" s="217">
        <f t="shared" ref="BE89" si="115">BE88/BE86</f>
        <v>0</v>
      </c>
      <c r="BF89" s="217">
        <f t="shared" ref="BF89" si="116">BF88/BF86</f>
        <v>0</v>
      </c>
      <c r="BG89" s="217">
        <f t="shared" ref="BG89:BH89" si="117">BG88/BG86</f>
        <v>0</v>
      </c>
      <c r="BH89" s="217">
        <f t="shared" si="117"/>
        <v>0</v>
      </c>
      <c r="BI89" s="217">
        <f t="shared" ref="BI89" si="118">BI88/BI86</f>
        <v>0</v>
      </c>
      <c r="BJ89" s="217">
        <f t="shared" ref="BJ89" si="119">BJ88/BJ86</f>
        <v>0</v>
      </c>
      <c r="BK89" s="217">
        <f t="shared" ref="BK89:BL89" si="120">BK88/BK86</f>
        <v>0</v>
      </c>
      <c r="BL89" s="217">
        <f t="shared" si="120"/>
        <v>0</v>
      </c>
      <c r="BM89" s="217">
        <f t="shared" ref="BM89" si="121">BM88/BM86</f>
        <v>0</v>
      </c>
      <c r="BN89" s="217">
        <f t="shared" ref="BN89" si="122">BN88/BN86</f>
        <v>0</v>
      </c>
      <c r="BO89" s="217">
        <f t="shared" ref="BO89:BP89" si="123">BO88/BO86</f>
        <v>0</v>
      </c>
      <c r="BP89" s="217">
        <f t="shared" si="123"/>
        <v>0</v>
      </c>
      <c r="BQ89" s="217">
        <f t="shared" ref="BQ89" si="124">BQ88/BQ86</f>
        <v>0</v>
      </c>
      <c r="BR89" s="217">
        <f t="shared" ref="BR89" si="125">BR88/BR86</f>
        <v>0</v>
      </c>
      <c r="BS89" s="217">
        <f t="shared" ref="BS89:BT89" si="126">BS88/BS86</f>
        <v>0</v>
      </c>
      <c r="BT89" s="217">
        <f t="shared" si="126"/>
        <v>0</v>
      </c>
      <c r="BU89" s="217">
        <f t="shared" ref="BU89" si="127">BU88/BU86</f>
        <v>0</v>
      </c>
      <c r="BV89" s="217">
        <f t="shared" ref="BV89" si="128">BV88/BV86</f>
        <v>0</v>
      </c>
      <c r="BW89" s="217">
        <f t="shared" ref="BW89:BX89" si="129">BW88/BW86</f>
        <v>0</v>
      </c>
      <c r="BX89" s="217">
        <f t="shared" si="129"/>
        <v>0</v>
      </c>
    </row>
    <row r="90" spans="1:76" s="205" customFormat="1" x14ac:dyDescent="0.45">
      <c r="B90" s="216"/>
      <c r="C90" s="218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  <c r="BR90" s="219"/>
      <c r="BS90" s="219"/>
      <c r="BT90" s="219"/>
      <c r="BU90" s="219"/>
      <c r="BV90" s="219"/>
      <c r="BW90" s="219"/>
      <c r="BX90" s="219"/>
    </row>
    <row r="91" spans="1:76" s="205" customFormat="1" ht="16.3" thickBot="1" x14ac:dyDescent="0.5">
      <c r="A91" s="220"/>
    </row>
    <row r="92" spans="1:76" x14ac:dyDescent="0.45">
      <c r="B92" s="39" t="s">
        <v>46</v>
      </c>
      <c r="C92" s="39"/>
      <c r="D92" s="46"/>
      <c r="E92" s="46"/>
      <c r="F92" s="46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</row>
    <row r="93" spans="1:76" x14ac:dyDescent="0.45">
      <c r="B93" s="41"/>
      <c r="C93" s="3"/>
      <c r="D93" s="3"/>
      <c r="E93" s="3"/>
      <c r="F93" s="3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3"/>
    </row>
    <row r="94" spans="1:76" s="205" customFormat="1" x14ac:dyDescent="0.45">
      <c r="B94" s="262" t="s">
        <v>36</v>
      </c>
      <c r="C94" s="42" t="s">
        <v>37</v>
      </c>
      <c r="D94" s="207">
        <f t="shared" ref="D94:Y94" si="130">D82</f>
        <v>2058</v>
      </c>
      <c r="E94" s="207">
        <f t="shared" si="130"/>
        <v>2059</v>
      </c>
      <c r="F94" s="207">
        <f t="shared" si="130"/>
        <v>2060</v>
      </c>
      <c r="G94" s="207">
        <f t="shared" si="130"/>
        <v>2061</v>
      </c>
      <c r="H94" s="207">
        <f t="shared" si="130"/>
        <v>2062</v>
      </c>
      <c r="I94" s="207">
        <f t="shared" si="130"/>
        <v>2063</v>
      </c>
      <c r="J94" s="207">
        <f t="shared" si="130"/>
        <v>2064</v>
      </c>
      <c r="K94" s="207">
        <f t="shared" si="130"/>
        <v>2065</v>
      </c>
      <c r="L94" s="207">
        <f t="shared" si="130"/>
        <v>2066</v>
      </c>
      <c r="M94" s="207">
        <f t="shared" si="130"/>
        <v>2067</v>
      </c>
      <c r="N94" s="207">
        <f t="shared" si="130"/>
        <v>2068</v>
      </c>
      <c r="O94" s="207">
        <f t="shared" si="130"/>
        <v>2069</v>
      </c>
      <c r="P94" s="207">
        <f t="shared" si="130"/>
        <v>2070</v>
      </c>
      <c r="Q94" s="207">
        <f t="shared" si="130"/>
        <v>2071</v>
      </c>
      <c r="R94" s="207">
        <f t="shared" si="130"/>
        <v>2072</v>
      </c>
      <c r="S94" s="207">
        <f t="shared" si="130"/>
        <v>2073</v>
      </c>
      <c r="T94" s="207">
        <f t="shared" si="130"/>
        <v>2074</v>
      </c>
      <c r="U94" s="207">
        <f t="shared" si="130"/>
        <v>2075</v>
      </c>
      <c r="V94" s="207">
        <f t="shared" si="130"/>
        <v>2076</v>
      </c>
      <c r="W94" s="207">
        <f t="shared" si="130"/>
        <v>2077</v>
      </c>
      <c r="X94" s="207">
        <f t="shared" si="130"/>
        <v>2078</v>
      </c>
      <c r="Y94" s="207">
        <f t="shared" si="130"/>
        <v>2079</v>
      </c>
      <c r="Z94" s="207">
        <f t="shared" ref="Z94:AC94" si="131">Z82</f>
        <v>2080</v>
      </c>
      <c r="AA94" s="207">
        <f t="shared" si="131"/>
        <v>2081</v>
      </c>
      <c r="AB94" s="207">
        <f t="shared" si="131"/>
        <v>2082</v>
      </c>
      <c r="AC94" s="207">
        <f t="shared" si="131"/>
        <v>2083</v>
      </c>
      <c r="AD94" s="207">
        <f t="shared" ref="AD94:AI94" si="132">AD82</f>
        <v>2084</v>
      </c>
      <c r="AE94" s="207">
        <f t="shared" si="132"/>
        <v>2085</v>
      </c>
      <c r="AF94" s="207">
        <f t="shared" si="132"/>
        <v>2086</v>
      </c>
      <c r="AG94" s="207">
        <f t="shared" si="132"/>
        <v>2087</v>
      </c>
      <c r="AH94" s="207">
        <f t="shared" si="132"/>
        <v>2088</v>
      </c>
      <c r="AI94" s="207">
        <f t="shared" si="132"/>
        <v>2089</v>
      </c>
      <c r="AJ94" s="207">
        <f t="shared" ref="AJ94:AP94" si="133">AJ82</f>
        <v>2090</v>
      </c>
      <c r="AK94" s="207">
        <f t="shared" si="133"/>
        <v>2091</v>
      </c>
      <c r="AL94" s="207">
        <f t="shared" si="133"/>
        <v>2092</v>
      </c>
      <c r="AM94" s="207">
        <f t="shared" si="133"/>
        <v>2093</v>
      </c>
      <c r="AN94" s="207">
        <f t="shared" si="133"/>
        <v>2094</v>
      </c>
      <c r="AO94" s="207">
        <f t="shared" si="133"/>
        <v>2095</v>
      </c>
      <c r="AP94" s="207">
        <f t="shared" si="133"/>
        <v>2096</v>
      </c>
      <c r="AQ94" s="207">
        <f t="shared" ref="AQ94:BX94" si="134">AQ82</f>
        <v>2097</v>
      </c>
      <c r="AR94" s="207">
        <f t="shared" si="134"/>
        <v>2098</v>
      </c>
      <c r="AS94" s="207">
        <f t="shared" si="134"/>
        <v>2099</v>
      </c>
      <c r="AT94" s="207">
        <f t="shared" si="134"/>
        <v>2100</v>
      </c>
      <c r="AU94" s="207">
        <f t="shared" si="134"/>
        <v>2101</v>
      </c>
      <c r="AV94" s="207">
        <f t="shared" si="134"/>
        <v>2102</v>
      </c>
      <c r="AW94" s="207">
        <f t="shared" si="134"/>
        <v>2103</v>
      </c>
      <c r="AX94" s="207">
        <f t="shared" si="134"/>
        <v>2104</v>
      </c>
      <c r="AY94" s="207">
        <f t="shared" si="134"/>
        <v>2105</v>
      </c>
      <c r="AZ94" s="207">
        <f t="shared" si="134"/>
        <v>2106</v>
      </c>
      <c r="BA94" s="207">
        <f t="shared" si="134"/>
        <v>2107</v>
      </c>
      <c r="BB94" s="207">
        <f t="shared" si="134"/>
        <v>2108</v>
      </c>
      <c r="BC94" s="207">
        <f t="shared" si="134"/>
        <v>2109</v>
      </c>
      <c r="BD94" s="207">
        <f t="shared" si="134"/>
        <v>2110</v>
      </c>
      <c r="BE94" s="207">
        <f t="shared" si="134"/>
        <v>2111</v>
      </c>
      <c r="BF94" s="207">
        <f t="shared" si="134"/>
        <v>2112</v>
      </c>
      <c r="BG94" s="207">
        <f t="shared" si="134"/>
        <v>2113</v>
      </c>
      <c r="BH94" s="207">
        <f t="shared" si="134"/>
        <v>2114</v>
      </c>
      <c r="BI94" s="207">
        <f t="shared" si="134"/>
        <v>2115</v>
      </c>
      <c r="BJ94" s="207">
        <f t="shared" si="134"/>
        <v>2116</v>
      </c>
      <c r="BK94" s="207">
        <f t="shared" si="134"/>
        <v>2117</v>
      </c>
      <c r="BL94" s="207">
        <f t="shared" si="134"/>
        <v>2118</v>
      </c>
      <c r="BM94" s="207">
        <f t="shared" si="134"/>
        <v>2119</v>
      </c>
      <c r="BN94" s="207">
        <f t="shared" si="134"/>
        <v>2120</v>
      </c>
      <c r="BO94" s="207">
        <f t="shared" si="134"/>
        <v>2121</v>
      </c>
      <c r="BP94" s="207">
        <f t="shared" si="134"/>
        <v>2122</v>
      </c>
      <c r="BQ94" s="207">
        <f t="shared" si="134"/>
        <v>2123</v>
      </c>
      <c r="BR94" s="207">
        <f t="shared" si="134"/>
        <v>2124</v>
      </c>
      <c r="BS94" s="207">
        <f t="shared" si="134"/>
        <v>2125</v>
      </c>
      <c r="BT94" s="207">
        <f t="shared" si="134"/>
        <v>2126</v>
      </c>
      <c r="BU94" s="207">
        <f t="shared" si="134"/>
        <v>2127</v>
      </c>
      <c r="BV94" s="207">
        <f t="shared" si="134"/>
        <v>2128</v>
      </c>
      <c r="BW94" s="207">
        <f t="shared" si="134"/>
        <v>2129</v>
      </c>
      <c r="BX94" s="207">
        <f t="shared" si="134"/>
        <v>2130</v>
      </c>
    </row>
    <row r="95" spans="1:76" s="205" customFormat="1" x14ac:dyDescent="0.45">
      <c r="B95" s="262"/>
      <c r="C95" s="43" t="s">
        <v>38</v>
      </c>
      <c r="D95" s="209">
        <v>1</v>
      </c>
      <c r="E95" s="209">
        <f>D95+1</f>
        <v>2</v>
      </c>
      <c r="F95" s="209">
        <f t="shared" ref="F95:U95" si="135">E95+1</f>
        <v>3</v>
      </c>
      <c r="G95" s="209">
        <f t="shared" si="135"/>
        <v>4</v>
      </c>
      <c r="H95" s="209">
        <f t="shared" si="135"/>
        <v>5</v>
      </c>
      <c r="I95" s="209">
        <f t="shared" si="135"/>
        <v>6</v>
      </c>
      <c r="J95" s="209">
        <f t="shared" si="135"/>
        <v>7</v>
      </c>
      <c r="K95" s="209">
        <f t="shared" si="135"/>
        <v>8</v>
      </c>
      <c r="L95" s="209">
        <f t="shared" si="135"/>
        <v>9</v>
      </c>
      <c r="M95" s="209">
        <f>L95+1</f>
        <v>10</v>
      </c>
      <c r="N95" s="209">
        <f t="shared" si="135"/>
        <v>11</v>
      </c>
      <c r="O95" s="209">
        <f t="shared" si="135"/>
        <v>12</v>
      </c>
      <c r="P95" s="209">
        <f t="shared" si="135"/>
        <v>13</v>
      </c>
      <c r="Q95" s="209">
        <f>P95+1</f>
        <v>14</v>
      </c>
      <c r="R95" s="209">
        <f>Q95+1</f>
        <v>15</v>
      </c>
      <c r="S95" s="209">
        <f t="shared" si="135"/>
        <v>16</v>
      </c>
      <c r="T95" s="209">
        <f t="shared" si="135"/>
        <v>17</v>
      </c>
      <c r="U95" s="209">
        <f t="shared" si="135"/>
        <v>18</v>
      </c>
      <c r="V95" s="209">
        <f t="shared" ref="V95:Y95" si="136">U95+1</f>
        <v>19</v>
      </c>
      <c r="W95" s="209">
        <f t="shared" si="136"/>
        <v>20</v>
      </c>
      <c r="X95" s="209">
        <f>W95+1</f>
        <v>21</v>
      </c>
      <c r="Y95" s="209">
        <f t="shared" si="136"/>
        <v>22</v>
      </c>
      <c r="Z95" s="209">
        <f t="shared" ref="Z95" si="137">Y95+1</f>
        <v>23</v>
      </c>
      <c r="AA95" s="209">
        <f t="shared" ref="AA95" si="138">Z95+1</f>
        <v>24</v>
      </c>
      <c r="AB95" s="209">
        <f t="shared" ref="AB95" si="139">AA95+1</f>
        <v>25</v>
      </c>
      <c r="AC95" s="209">
        <f t="shared" ref="AC95" si="140">AB95+1</f>
        <v>26</v>
      </c>
      <c r="AD95" s="209">
        <f t="shared" ref="AD95" si="141">AC95+1</f>
        <v>27</v>
      </c>
      <c r="AE95" s="209">
        <f t="shared" ref="AE95" si="142">AD95+1</f>
        <v>28</v>
      </c>
      <c r="AF95" s="209">
        <f t="shared" ref="AF95" si="143">AE95+1</f>
        <v>29</v>
      </c>
      <c r="AG95" s="209">
        <f t="shared" ref="AG95" si="144">AF95+1</f>
        <v>30</v>
      </c>
      <c r="AH95" s="209">
        <f t="shared" ref="AH95" si="145">AG95+1</f>
        <v>31</v>
      </c>
      <c r="AI95" s="209">
        <f t="shared" ref="AI95" si="146">AH95+1</f>
        <v>32</v>
      </c>
      <c r="AJ95" s="209">
        <f t="shared" ref="AJ95" si="147">AI95+1</f>
        <v>33</v>
      </c>
      <c r="AK95" s="209">
        <f t="shared" ref="AK95" si="148">AJ95+1</f>
        <v>34</v>
      </c>
      <c r="AL95" s="209">
        <f t="shared" ref="AL95" si="149">AK95+1</f>
        <v>35</v>
      </c>
      <c r="AM95" s="209">
        <f t="shared" ref="AM95" si="150">AL95+1</f>
        <v>36</v>
      </c>
      <c r="AN95" s="209">
        <f t="shared" ref="AN95" si="151">AM95+1</f>
        <v>37</v>
      </c>
      <c r="AO95" s="209">
        <f t="shared" ref="AO95" si="152">AN95+1</f>
        <v>38</v>
      </c>
      <c r="AP95" s="209">
        <f t="shared" ref="AP95" si="153">AO95+1</f>
        <v>39</v>
      </c>
      <c r="AQ95" s="209">
        <f t="shared" ref="AQ95" si="154">AP95+1</f>
        <v>40</v>
      </c>
      <c r="AR95" s="209">
        <f t="shared" ref="AR95" si="155">AQ95+1</f>
        <v>41</v>
      </c>
      <c r="AS95" s="209">
        <f t="shared" ref="AS95" si="156">AR95+1</f>
        <v>42</v>
      </c>
      <c r="AT95" s="209">
        <f t="shared" ref="AT95" si="157">AS95+1</f>
        <v>43</v>
      </c>
      <c r="AU95" s="209">
        <f t="shared" ref="AU95" si="158">AT95+1</f>
        <v>44</v>
      </c>
      <c r="AV95" s="209">
        <f t="shared" ref="AV95" si="159">AU95+1</f>
        <v>45</v>
      </c>
      <c r="AW95" s="209">
        <f t="shared" ref="AW95" si="160">AV95+1</f>
        <v>46</v>
      </c>
      <c r="AX95" s="209">
        <f t="shared" ref="AX95" si="161">AW95+1</f>
        <v>47</v>
      </c>
      <c r="AY95" s="209">
        <f t="shared" ref="AY95" si="162">AX95+1</f>
        <v>48</v>
      </c>
      <c r="AZ95" s="209">
        <f t="shared" ref="AZ95" si="163">AY95+1</f>
        <v>49</v>
      </c>
      <c r="BA95" s="209">
        <f t="shared" ref="BA95" si="164">AZ95+1</f>
        <v>50</v>
      </c>
      <c r="BB95" s="209">
        <f t="shared" ref="BB95" si="165">BA95+1</f>
        <v>51</v>
      </c>
      <c r="BC95" s="209">
        <f t="shared" ref="BC95" si="166">BB95+1</f>
        <v>52</v>
      </c>
      <c r="BD95" s="209">
        <f t="shared" ref="BD95" si="167">BC95+1</f>
        <v>53</v>
      </c>
      <c r="BE95" s="209">
        <f t="shared" ref="BE95" si="168">BD95+1</f>
        <v>54</v>
      </c>
      <c r="BF95" s="209">
        <f t="shared" ref="BF95" si="169">BE95+1</f>
        <v>55</v>
      </c>
      <c r="BG95" s="209">
        <f t="shared" ref="BG95" si="170">BF95+1</f>
        <v>56</v>
      </c>
      <c r="BH95" s="209">
        <f t="shared" ref="BH95" si="171">BG95+1</f>
        <v>57</v>
      </c>
      <c r="BI95" s="209">
        <f t="shared" ref="BI95" si="172">BH95+1</f>
        <v>58</v>
      </c>
      <c r="BJ95" s="209">
        <f t="shared" ref="BJ95" si="173">BI95+1</f>
        <v>59</v>
      </c>
      <c r="BK95" s="209">
        <f t="shared" ref="BK95" si="174">BJ95+1</f>
        <v>60</v>
      </c>
      <c r="BL95" s="209">
        <f t="shared" ref="BL95" si="175">BK95+1</f>
        <v>61</v>
      </c>
      <c r="BM95" s="209">
        <f t="shared" ref="BM95" si="176">BL95+1</f>
        <v>62</v>
      </c>
      <c r="BN95" s="209">
        <f t="shared" ref="BN95" si="177">BM95+1</f>
        <v>63</v>
      </c>
      <c r="BO95" s="209">
        <f t="shared" ref="BO95" si="178">BN95+1</f>
        <v>64</v>
      </c>
      <c r="BP95" s="209">
        <f t="shared" ref="BP95" si="179">BO95+1</f>
        <v>65</v>
      </c>
      <c r="BQ95" s="209">
        <f t="shared" ref="BQ95" si="180">BP95+1</f>
        <v>66</v>
      </c>
      <c r="BR95" s="209">
        <f t="shared" ref="BR95" si="181">BQ95+1</f>
        <v>67</v>
      </c>
      <c r="BS95" s="209">
        <f t="shared" ref="BS95" si="182">BR95+1</f>
        <v>68</v>
      </c>
      <c r="BT95" s="209">
        <f t="shared" ref="BT95" si="183">BS95+1</f>
        <v>69</v>
      </c>
      <c r="BU95" s="209">
        <f t="shared" ref="BU95" si="184">BT95+1</f>
        <v>70</v>
      </c>
      <c r="BV95" s="209">
        <f t="shared" ref="BV95" si="185">BU95+1</f>
        <v>71</v>
      </c>
      <c r="BW95" s="209">
        <f t="shared" ref="BW95" si="186">BV95+1</f>
        <v>72</v>
      </c>
      <c r="BX95" s="209">
        <f t="shared" ref="BX95" si="187">BW95+1</f>
        <v>73</v>
      </c>
    </row>
    <row r="96" spans="1:76" x14ac:dyDescent="0.45">
      <c r="B96" s="262"/>
      <c r="C96" s="3"/>
      <c r="D96" s="3"/>
      <c r="E96" s="3"/>
      <c r="F96" s="3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3"/>
    </row>
    <row r="97" spans="2:76" x14ac:dyDescent="0.45">
      <c r="B97" s="3"/>
      <c r="C97" s="13" t="s">
        <v>39</v>
      </c>
      <c r="D97" s="3"/>
      <c r="E97" s="47"/>
      <c r="F97" s="3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3"/>
    </row>
    <row r="98" spans="2:76" x14ac:dyDescent="0.45">
      <c r="B98" s="3"/>
      <c r="C98" s="48" t="s">
        <v>44</v>
      </c>
      <c r="D98" s="49"/>
      <c r="E98" s="50"/>
      <c r="F98" s="50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</row>
    <row r="99" spans="2:76" s="205" customFormat="1" x14ac:dyDescent="0.45">
      <c r="B99" s="30">
        <f>SUM(D99:CY99)</f>
        <v>516971067.52879071</v>
      </c>
      <c r="C99" s="221" t="s">
        <v>115</v>
      </c>
      <c r="D99" s="10">
        <f>D72*E72*D85</f>
        <v>255926271.05385685</v>
      </c>
      <c r="E99" s="10">
        <f>D72*F72*E85</f>
        <v>261044796.47493389</v>
      </c>
      <c r="F99" s="10">
        <v>0</v>
      </c>
      <c r="G99" s="10">
        <v>0</v>
      </c>
      <c r="H99" s="10">
        <v>0</v>
      </c>
      <c r="I99" s="10">
        <v>0</v>
      </c>
      <c r="J99" s="10">
        <v>0</v>
      </c>
      <c r="K99" s="10">
        <v>0</v>
      </c>
      <c r="L99" s="10">
        <v>0</v>
      </c>
      <c r="M99" s="10">
        <v>0</v>
      </c>
      <c r="N99" s="10">
        <v>0</v>
      </c>
      <c r="O99" s="10">
        <v>0</v>
      </c>
      <c r="P99" s="10">
        <v>0</v>
      </c>
      <c r="Q99" s="10">
        <v>0</v>
      </c>
      <c r="R99" s="10">
        <v>0</v>
      </c>
      <c r="S99" s="10">
        <v>0</v>
      </c>
      <c r="T99" s="10">
        <v>0</v>
      </c>
      <c r="U99" s="10">
        <v>0</v>
      </c>
      <c r="V99" s="10">
        <v>0</v>
      </c>
      <c r="W99" s="10">
        <v>0</v>
      </c>
      <c r="X99" s="10">
        <v>0</v>
      </c>
      <c r="Y99" s="10">
        <v>0</v>
      </c>
      <c r="Z99" s="10">
        <v>0</v>
      </c>
      <c r="AA99" s="10">
        <v>0</v>
      </c>
      <c r="AB99" s="10">
        <v>0</v>
      </c>
      <c r="AC99" s="10">
        <v>0</v>
      </c>
      <c r="AD99" s="10">
        <v>0</v>
      </c>
      <c r="AE99" s="10">
        <v>0</v>
      </c>
      <c r="AF99" s="10">
        <v>0</v>
      </c>
      <c r="AG99" s="10">
        <v>0</v>
      </c>
      <c r="AH99" s="10">
        <v>0</v>
      </c>
      <c r="AI99" s="10">
        <v>0</v>
      </c>
      <c r="AJ99" s="10">
        <v>0</v>
      </c>
      <c r="AK99" s="10">
        <v>0</v>
      </c>
      <c r="AL99" s="10">
        <v>0</v>
      </c>
      <c r="AM99" s="10">
        <v>0</v>
      </c>
      <c r="AN99" s="10">
        <v>0</v>
      </c>
      <c r="AO99" s="10">
        <v>0</v>
      </c>
      <c r="AP99" s="10">
        <v>0</v>
      </c>
      <c r="AQ99" s="10">
        <v>0</v>
      </c>
      <c r="AR99" s="10">
        <v>0</v>
      </c>
      <c r="AS99" s="10">
        <v>0</v>
      </c>
      <c r="AT99" s="10">
        <v>0</v>
      </c>
      <c r="AU99" s="10">
        <v>0</v>
      </c>
      <c r="AV99" s="10">
        <v>0</v>
      </c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0</v>
      </c>
      <c r="BD99" s="10">
        <v>0</v>
      </c>
      <c r="BE99" s="10">
        <v>0</v>
      </c>
      <c r="BF99" s="10">
        <v>0</v>
      </c>
      <c r="BG99" s="10">
        <v>0</v>
      </c>
      <c r="BH99" s="10">
        <v>0</v>
      </c>
      <c r="BI99" s="10">
        <v>0</v>
      </c>
      <c r="BJ99" s="10">
        <v>0</v>
      </c>
      <c r="BK99" s="10">
        <v>0</v>
      </c>
      <c r="BL99" s="10">
        <v>0</v>
      </c>
      <c r="BM99" s="10">
        <v>0</v>
      </c>
      <c r="BN99" s="10">
        <v>0</v>
      </c>
      <c r="BO99" s="10">
        <v>0</v>
      </c>
      <c r="BP99" s="10">
        <v>0</v>
      </c>
      <c r="BQ99" s="10">
        <v>0</v>
      </c>
      <c r="BR99" s="10">
        <v>0</v>
      </c>
      <c r="BS99" s="10">
        <v>0</v>
      </c>
      <c r="BT99" s="10">
        <v>0</v>
      </c>
      <c r="BU99" s="10">
        <v>0</v>
      </c>
      <c r="BV99" s="10">
        <v>0</v>
      </c>
      <c r="BW99" s="10">
        <v>0</v>
      </c>
      <c r="BX99" s="10">
        <v>0</v>
      </c>
    </row>
    <row r="100" spans="2:76" x14ac:dyDescent="0.45">
      <c r="B100" s="21"/>
      <c r="C100" s="48" t="s">
        <v>20</v>
      </c>
      <c r="D100" s="21"/>
      <c r="E100" s="21"/>
      <c r="F100" s="21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21"/>
    </row>
    <row r="101" spans="2:76" s="205" customFormat="1" x14ac:dyDescent="0.45">
      <c r="B101" s="30">
        <f>SUM(D101:CY101)</f>
        <v>520755527.10570216</v>
      </c>
      <c r="C101" s="53" t="s">
        <v>117</v>
      </c>
      <c r="D101" s="10">
        <f t="shared" ref="D101:AI101" si="188">IF(D133="Oper Period",$D$77*D85,0)</f>
        <v>0</v>
      </c>
      <c r="E101" s="10">
        <f t="shared" si="188"/>
        <v>0</v>
      </c>
      <c r="F101" s="10">
        <f t="shared" si="188"/>
        <v>38827322.040173635</v>
      </c>
      <c r="G101" s="10">
        <f t="shared" si="188"/>
        <v>39603868.480977103</v>
      </c>
      <c r="H101" s="10">
        <f t="shared" si="188"/>
        <v>40395945.850596644</v>
      </c>
      <c r="I101" s="10">
        <f t="shared" si="188"/>
        <v>41203864.767608576</v>
      </c>
      <c r="J101" s="10">
        <f t="shared" si="188"/>
        <v>42027942.062960751</v>
      </c>
      <c r="K101" s="10">
        <f t="shared" si="188"/>
        <v>42868500.904219963</v>
      </c>
      <c r="L101" s="10">
        <f t="shared" si="188"/>
        <v>43725870.92230437</v>
      </c>
      <c r="M101" s="10">
        <f t="shared" si="188"/>
        <v>44600388.340750441</v>
      </c>
      <c r="N101" s="10">
        <f t="shared" si="188"/>
        <v>45492396.107565455</v>
      </c>
      <c r="O101" s="10">
        <f t="shared" si="188"/>
        <v>46402244.029716767</v>
      </c>
      <c r="P101" s="10">
        <f t="shared" si="188"/>
        <v>47330288.910311103</v>
      </c>
      <c r="Q101" s="10">
        <f t="shared" si="188"/>
        <v>48276894.688517325</v>
      </c>
      <c r="R101" s="10">
        <f t="shared" si="188"/>
        <v>0</v>
      </c>
      <c r="S101" s="10">
        <f t="shared" si="188"/>
        <v>0</v>
      </c>
      <c r="T101" s="10">
        <f t="shared" si="188"/>
        <v>0</v>
      </c>
      <c r="U101" s="10">
        <f t="shared" si="188"/>
        <v>0</v>
      </c>
      <c r="V101" s="10">
        <f t="shared" si="188"/>
        <v>0</v>
      </c>
      <c r="W101" s="10">
        <f t="shared" si="188"/>
        <v>0</v>
      </c>
      <c r="X101" s="10">
        <f t="shared" si="188"/>
        <v>0</v>
      </c>
      <c r="Y101" s="10">
        <f t="shared" si="188"/>
        <v>0</v>
      </c>
      <c r="Z101" s="10">
        <f t="shared" si="188"/>
        <v>0</v>
      </c>
      <c r="AA101" s="10">
        <f t="shared" si="188"/>
        <v>0</v>
      </c>
      <c r="AB101" s="10">
        <f t="shared" si="188"/>
        <v>0</v>
      </c>
      <c r="AC101" s="10">
        <f t="shared" si="188"/>
        <v>0</v>
      </c>
      <c r="AD101" s="10">
        <f t="shared" si="188"/>
        <v>0</v>
      </c>
      <c r="AE101" s="10">
        <f t="shared" si="188"/>
        <v>0</v>
      </c>
      <c r="AF101" s="10">
        <f t="shared" si="188"/>
        <v>0</v>
      </c>
      <c r="AG101" s="10">
        <f t="shared" si="188"/>
        <v>0</v>
      </c>
      <c r="AH101" s="10">
        <f t="shared" si="188"/>
        <v>0</v>
      </c>
      <c r="AI101" s="10">
        <f t="shared" si="188"/>
        <v>0</v>
      </c>
      <c r="AJ101" s="10">
        <f t="shared" ref="AJ101:BO101" si="189">IF(AJ133="Oper Period",$D$77*AJ85,0)</f>
        <v>0</v>
      </c>
      <c r="AK101" s="10">
        <f t="shared" si="189"/>
        <v>0</v>
      </c>
      <c r="AL101" s="10">
        <f t="shared" si="189"/>
        <v>0</v>
      </c>
      <c r="AM101" s="10">
        <f t="shared" si="189"/>
        <v>0</v>
      </c>
      <c r="AN101" s="10">
        <f t="shared" si="189"/>
        <v>0</v>
      </c>
      <c r="AO101" s="10">
        <f t="shared" si="189"/>
        <v>0</v>
      </c>
      <c r="AP101" s="10">
        <f t="shared" si="189"/>
        <v>0</v>
      </c>
      <c r="AQ101" s="10">
        <f t="shared" si="189"/>
        <v>0</v>
      </c>
      <c r="AR101" s="10">
        <f t="shared" si="189"/>
        <v>0</v>
      </c>
      <c r="AS101" s="10">
        <f t="shared" si="189"/>
        <v>0</v>
      </c>
      <c r="AT101" s="10">
        <f t="shared" si="189"/>
        <v>0</v>
      </c>
      <c r="AU101" s="10">
        <f t="shared" si="189"/>
        <v>0</v>
      </c>
      <c r="AV101" s="10">
        <f t="shared" si="189"/>
        <v>0</v>
      </c>
      <c r="AW101" s="10">
        <f t="shared" si="189"/>
        <v>0</v>
      </c>
      <c r="AX101" s="10">
        <f t="shared" si="189"/>
        <v>0</v>
      </c>
      <c r="AY101" s="10">
        <f t="shared" si="189"/>
        <v>0</v>
      </c>
      <c r="AZ101" s="10">
        <f t="shared" si="189"/>
        <v>0</v>
      </c>
      <c r="BA101" s="10">
        <f t="shared" si="189"/>
        <v>0</v>
      </c>
      <c r="BB101" s="10">
        <f t="shared" si="189"/>
        <v>0</v>
      </c>
      <c r="BC101" s="10">
        <f t="shared" si="189"/>
        <v>0</v>
      </c>
      <c r="BD101" s="10">
        <f t="shared" si="189"/>
        <v>0</v>
      </c>
      <c r="BE101" s="10">
        <f t="shared" si="189"/>
        <v>0</v>
      </c>
      <c r="BF101" s="10">
        <f t="shared" si="189"/>
        <v>0</v>
      </c>
      <c r="BG101" s="10">
        <f t="shared" si="189"/>
        <v>0</v>
      </c>
      <c r="BH101" s="10">
        <f t="shared" si="189"/>
        <v>0</v>
      </c>
      <c r="BI101" s="10">
        <f t="shared" si="189"/>
        <v>0</v>
      </c>
      <c r="BJ101" s="10">
        <f t="shared" si="189"/>
        <v>0</v>
      </c>
      <c r="BK101" s="10">
        <f t="shared" si="189"/>
        <v>0</v>
      </c>
      <c r="BL101" s="10">
        <f t="shared" si="189"/>
        <v>0</v>
      </c>
      <c r="BM101" s="10">
        <f t="shared" si="189"/>
        <v>0</v>
      </c>
      <c r="BN101" s="10">
        <f t="shared" si="189"/>
        <v>0</v>
      </c>
      <c r="BO101" s="10">
        <f t="shared" si="189"/>
        <v>0</v>
      </c>
      <c r="BP101" s="10">
        <f t="shared" ref="BP101:BX101" si="190">IF(BP133="Oper Period",$D$77*BP85,0)</f>
        <v>0</v>
      </c>
      <c r="BQ101" s="10">
        <f t="shared" si="190"/>
        <v>0</v>
      </c>
      <c r="BR101" s="10">
        <f t="shared" si="190"/>
        <v>0</v>
      </c>
      <c r="BS101" s="10">
        <f t="shared" si="190"/>
        <v>0</v>
      </c>
      <c r="BT101" s="10">
        <f t="shared" si="190"/>
        <v>0</v>
      </c>
      <c r="BU101" s="10">
        <f t="shared" si="190"/>
        <v>0</v>
      </c>
      <c r="BV101" s="10">
        <f t="shared" si="190"/>
        <v>0</v>
      </c>
      <c r="BW101" s="10">
        <f t="shared" si="190"/>
        <v>0</v>
      </c>
      <c r="BX101" s="10">
        <f t="shared" si="190"/>
        <v>0</v>
      </c>
    </row>
    <row r="102" spans="2:76" x14ac:dyDescent="0.45">
      <c r="B102" s="104"/>
      <c r="C102" s="48" t="s">
        <v>53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  <c r="AA102" s="105"/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105"/>
      <c r="BP102" s="105"/>
      <c r="BQ102" s="105"/>
      <c r="BR102" s="105"/>
      <c r="BS102" s="105"/>
      <c r="BT102" s="105"/>
      <c r="BU102" s="105"/>
      <c r="BV102" s="105"/>
      <c r="BW102" s="105"/>
      <c r="BX102" s="105"/>
    </row>
    <row r="103" spans="2:76" s="205" customFormat="1" x14ac:dyDescent="0.45">
      <c r="B103" s="30"/>
      <c r="C103" s="53" t="s">
        <v>122</v>
      </c>
      <c r="D103" s="222">
        <f>IF(_xlfn.IFNA(MATCH(D94,$I$15:$I$19,0),0)=0,0,D94)</f>
        <v>0</v>
      </c>
      <c r="E103" s="222">
        <f>IF(_xlfn.IFNA(MATCH(E94,$I$15:$I$19,0),0)=0,0,E94)</f>
        <v>0</v>
      </c>
      <c r="F103" s="222">
        <f t="shared" ref="F103:BQ103" si="191">IF(_xlfn.IFNA(MATCH(F94,$I$15:$I$19,0),0)=0,0,F94)</f>
        <v>2060</v>
      </c>
      <c r="G103" s="222">
        <f t="shared" si="191"/>
        <v>0</v>
      </c>
      <c r="H103" s="222">
        <f t="shared" si="191"/>
        <v>2062</v>
      </c>
      <c r="I103" s="222">
        <f t="shared" si="191"/>
        <v>0</v>
      </c>
      <c r="J103" s="222">
        <f t="shared" si="191"/>
        <v>0</v>
      </c>
      <c r="K103" s="222">
        <f t="shared" si="191"/>
        <v>0</v>
      </c>
      <c r="L103" s="222">
        <f t="shared" si="191"/>
        <v>0</v>
      </c>
      <c r="M103" s="222">
        <f t="shared" si="191"/>
        <v>0</v>
      </c>
      <c r="N103" s="222">
        <f t="shared" si="191"/>
        <v>0</v>
      </c>
      <c r="O103" s="222">
        <f t="shared" si="191"/>
        <v>0</v>
      </c>
      <c r="P103" s="222">
        <f t="shared" si="191"/>
        <v>0</v>
      </c>
      <c r="Q103" s="222">
        <f t="shared" si="191"/>
        <v>0</v>
      </c>
      <c r="R103" s="222">
        <f t="shared" si="191"/>
        <v>0</v>
      </c>
      <c r="S103" s="222">
        <f t="shared" si="191"/>
        <v>0</v>
      </c>
      <c r="T103" s="222">
        <f t="shared" si="191"/>
        <v>0</v>
      </c>
      <c r="U103" s="222">
        <f t="shared" si="191"/>
        <v>0</v>
      </c>
      <c r="V103" s="222">
        <f t="shared" si="191"/>
        <v>0</v>
      </c>
      <c r="W103" s="222">
        <f t="shared" si="191"/>
        <v>0</v>
      </c>
      <c r="X103" s="222">
        <f t="shared" si="191"/>
        <v>0</v>
      </c>
      <c r="Y103" s="222">
        <f t="shared" si="191"/>
        <v>0</v>
      </c>
      <c r="Z103" s="222">
        <f t="shared" si="191"/>
        <v>0</v>
      </c>
      <c r="AA103" s="222">
        <f t="shared" si="191"/>
        <v>0</v>
      </c>
      <c r="AB103" s="222">
        <f t="shared" si="191"/>
        <v>0</v>
      </c>
      <c r="AC103" s="222">
        <f t="shared" si="191"/>
        <v>0</v>
      </c>
      <c r="AD103" s="222">
        <f t="shared" si="191"/>
        <v>0</v>
      </c>
      <c r="AE103" s="222">
        <f t="shared" si="191"/>
        <v>0</v>
      </c>
      <c r="AF103" s="222">
        <f t="shared" si="191"/>
        <v>0</v>
      </c>
      <c r="AG103" s="222">
        <f t="shared" si="191"/>
        <v>0</v>
      </c>
      <c r="AH103" s="222">
        <f t="shared" si="191"/>
        <v>0</v>
      </c>
      <c r="AI103" s="222">
        <f t="shared" si="191"/>
        <v>0</v>
      </c>
      <c r="AJ103" s="222">
        <f t="shared" si="191"/>
        <v>0</v>
      </c>
      <c r="AK103" s="222">
        <f t="shared" si="191"/>
        <v>0</v>
      </c>
      <c r="AL103" s="222">
        <f t="shared" si="191"/>
        <v>0</v>
      </c>
      <c r="AM103" s="222">
        <f t="shared" si="191"/>
        <v>0</v>
      </c>
      <c r="AN103" s="222">
        <f t="shared" si="191"/>
        <v>0</v>
      </c>
      <c r="AO103" s="222">
        <f t="shared" si="191"/>
        <v>0</v>
      </c>
      <c r="AP103" s="222">
        <f t="shared" si="191"/>
        <v>0</v>
      </c>
      <c r="AQ103" s="222">
        <f t="shared" si="191"/>
        <v>0</v>
      </c>
      <c r="AR103" s="222">
        <f t="shared" si="191"/>
        <v>0</v>
      </c>
      <c r="AS103" s="222">
        <f t="shared" si="191"/>
        <v>0</v>
      </c>
      <c r="AT103" s="222">
        <f t="shared" si="191"/>
        <v>0</v>
      </c>
      <c r="AU103" s="222">
        <f t="shared" si="191"/>
        <v>0</v>
      </c>
      <c r="AV103" s="222">
        <f t="shared" si="191"/>
        <v>0</v>
      </c>
      <c r="AW103" s="222">
        <f t="shared" si="191"/>
        <v>0</v>
      </c>
      <c r="AX103" s="222">
        <f t="shared" si="191"/>
        <v>0</v>
      </c>
      <c r="AY103" s="222">
        <f t="shared" si="191"/>
        <v>0</v>
      </c>
      <c r="AZ103" s="222">
        <f t="shared" si="191"/>
        <v>0</v>
      </c>
      <c r="BA103" s="222">
        <f t="shared" si="191"/>
        <v>0</v>
      </c>
      <c r="BB103" s="222">
        <f t="shared" si="191"/>
        <v>0</v>
      </c>
      <c r="BC103" s="222">
        <f t="shared" si="191"/>
        <v>0</v>
      </c>
      <c r="BD103" s="222">
        <f t="shared" si="191"/>
        <v>0</v>
      </c>
      <c r="BE103" s="222">
        <f t="shared" si="191"/>
        <v>0</v>
      </c>
      <c r="BF103" s="222">
        <f t="shared" si="191"/>
        <v>0</v>
      </c>
      <c r="BG103" s="222">
        <f t="shared" si="191"/>
        <v>0</v>
      </c>
      <c r="BH103" s="222">
        <f t="shared" si="191"/>
        <v>0</v>
      </c>
      <c r="BI103" s="222">
        <f t="shared" si="191"/>
        <v>0</v>
      </c>
      <c r="BJ103" s="222">
        <f t="shared" si="191"/>
        <v>0</v>
      </c>
      <c r="BK103" s="222">
        <f t="shared" si="191"/>
        <v>0</v>
      </c>
      <c r="BL103" s="222">
        <f t="shared" si="191"/>
        <v>0</v>
      </c>
      <c r="BM103" s="222">
        <f t="shared" si="191"/>
        <v>0</v>
      </c>
      <c r="BN103" s="222">
        <f t="shared" si="191"/>
        <v>0</v>
      </c>
      <c r="BO103" s="222">
        <f t="shared" si="191"/>
        <v>0</v>
      </c>
      <c r="BP103" s="222">
        <f t="shared" si="191"/>
        <v>0</v>
      </c>
      <c r="BQ103" s="222">
        <f t="shared" si="191"/>
        <v>0</v>
      </c>
      <c r="BR103" s="222">
        <f t="shared" ref="BR103:BX103" si="192">IF(_xlfn.IFNA(MATCH(BR94,$I$15:$I$19,0),0)=0,0,BR94)</f>
        <v>0</v>
      </c>
      <c r="BS103" s="222">
        <f t="shared" si="192"/>
        <v>0</v>
      </c>
      <c r="BT103" s="222">
        <f t="shared" si="192"/>
        <v>0</v>
      </c>
      <c r="BU103" s="222">
        <f t="shared" si="192"/>
        <v>0</v>
      </c>
      <c r="BV103" s="222">
        <f t="shared" si="192"/>
        <v>0</v>
      </c>
      <c r="BW103" s="222">
        <f t="shared" si="192"/>
        <v>0</v>
      </c>
      <c r="BX103" s="222">
        <f t="shared" si="192"/>
        <v>0</v>
      </c>
    </row>
    <row r="104" spans="2:76" s="205" customFormat="1" x14ac:dyDescent="0.45">
      <c r="B104" s="30"/>
      <c r="C104" s="53" t="s">
        <v>123</v>
      </c>
      <c r="D104" s="223">
        <f>IF(D103=0,0,VLOOKUP(D103,$I$15:$J$19,2,FALSE))</f>
        <v>0</v>
      </c>
      <c r="E104" s="223">
        <f t="shared" ref="E104:H104" si="193">IF(E103=0,0,VLOOKUP(E103,$I$15:$J$19,2,FALSE))</f>
        <v>0</v>
      </c>
      <c r="F104" s="223">
        <f t="shared" si="193"/>
        <v>11.2203</v>
      </c>
      <c r="G104" s="223">
        <f t="shared" si="193"/>
        <v>0</v>
      </c>
      <c r="H104" s="223">
        <f t="shared" si="193"/>
        <v>12.193199999999999</v>
      </c>
      <c r="I104" s="223">
        <f t="shared" ref="I104" si="194">IF(I103=0,0,VLOOKUP(I103,$I$15:$J$19,2,FALSE))</f>
        <v>0</v>
      </c>
      <c r="J104" s="223">
        <f t="shared" ref="J104" si="195">IF(J103=0,0,VLOOKUP(J103,$I$15:$J$19,2,FALSE))</f>
        <v>0</v>
      </c>
      <c r="K104" s="223">
        <f t="shared" ref="K104" si="196">IF(K103=0,0,VLOOKUP(K103,$I$15:$J$19,2,FALSE))</f>
        <v>0</v>
      </c>
      <c r="L104" s="223">
        <f t="shared" ref="L104" si="197">IF(L103=0,0,VLOOKUP(L103,$I$15:$J$19,2,FALSE))</f>
        <v>0</v>
      </c>
      <c r="M104" s="223">
        <f t="shared" ref="M104" si="198">IF(M103=0,0,VLOOKUP(M103,$I$15:$J$19,2,FALSE))</f>
        <v>0</v>
      </c>
      <c r="N104" s="223">
        <f t="shared" ref="N104" si="199">IF(N103=0,0,VLOOKUP(N103,$I$15:$J$19,2,FALSE))</f>
        <v>0</v>
      </c>
      <c r="O104" s="223">
        <f t="shared" ref="O104" si="200">IF(O103=0,0,VLOOKUP(O103,$I$15:$J$19,2,FALSE))</f>
        <v>0</v>
      </c>
      <c r="P104" s="223">
        <f t="shared" ref="P104" si="201">IF(P103=0,0,VLOOKUP(P103,$I$15:$J$19,2,FALSE))</f>
        <v>0</v>
      </c>
      <c r="Q104" s="223">
        <f t="shared" ref="Q104" si="202">IF(Q103=0,0,VLOOKUP(Q103,$I$15:$J$19,2,FALSE))</f>
        <v>0</v>
      </c>
      <c r="R104" s="223">
        <f t="shared" ref="R104" si="203">IF(R103=0,0,VLOOKUP(R103,$I$15:$J$19,2,FALSE))</f>
        <v>0</v>
      </c>
      <c r="S104" s="223">
        <f t="shared" ref="S104" si="204">IF(S103=0,0,VLOOKUP(S103,$I$15:$J$19,2,FALSE))</f>
        <v>0</v>
      </c>
      <c r="T104" s="223">
        <f t="shared" ref="T104" si="205">IF(T103=0,0,VLOOKUP(T103,$I$15:$J$19,2,FALSE))</f>
        <v>0</v>
      </c>
      <c r="U104" s="223">
        <f t="shared" ref="U104" si="206">IF(U103=0,0,VLOOKUP(U103,$I$15:$J$19,2,FALSE))</f>
        <v>0</v>
      </c>
      <c r="V104" s="223">
        <f t="shared" ref="V104" si="207">IF(V103=0,0,VLOOKUP(V103,$I$15:$J$19,2,FALSE))</f>
        <v>0</v>
      </c>
      <c r="W104" s="223">
        <f t="shared" ref="W104" si="208">IF(W103=0,0,VLOOKUP(W103,$I$15:$J$19,2,FALSE))</f>
        <v>0</v>
      </c>
      <c r="X104" s="223">
        <f t="shared" ref="X104" si="209">IF(X103=0,0,VLOOKUP(X103,$I$15:$J$19,2,FALSE))</f>
        <v>0</v>
      </c>
      <c r="Y104" s="223">
        <f t="shared" ref="Y104" si="210">IF(Y103=0,0,VLOOKUP(Y103,$I$15:$J$19,2,FALSE))</f>
        <v>0</v>
      </c>
      <c r="Z104" s="223">
        <f t="shared" ref="Z104" si="211">IF(Z103=0,0,VLOOKUP(Z103,$I$15:$J$19,2,FALSE))</f>
        <v>0</v>
      </c>
      <c r="AA104" s="223">
        <f t="shared" ref="AA104" si="212">IF(AA103=0,0,VLOOKUP(AA103,$I$15:$J$19,2,FALSE))</f>
        <v>0</v>
      </c>
      <c r="AB104" s="223">
        <f t="shared" ref="AB104" si="213">IF(AB103=0,0,VLOOKUP(AB103,$I$15:$J$19,2,FALSE))</f>
        <v>0</v>
      </c>
      <c r="AC104" s="223">
        <f t="shared" ref="AC104" si="214">IF(AC103=0,0,VLOOKUP(AC103,$I$15:$J$19,2,FALSE))</f>
        <v>0</v>
      </c>
      <c r="AD104" s="223">
        <f t="shared" ref="AD104" si="215">IF(AD103=0,0,VLOOKUP(AD103,$I$15:$J$19,2,FALSE))</f>
        <v>0</v>
      </c>
      <c r="AE104" s="223">
        <f t="shared" ref="AE104" si="216">IF(AE103=0,0,VLOOKUP(AE103,$I$15:$J$19,2,FALSE))</f>
        <v>0</v>
      </c>
      <c r="AF104" s="223">
        <f t="shared" ref="AF104" si="217">IF(AF103=0,0,VLOOKUP(AF103,$I$15:$J$19,2,FALSE))</f>
        <v>0</v>
      </c>
      <c r="AG104" s="223">
        <f t="shared" ref="AG104" si="218">IF(AG103=0,0,VLOOKUP(AG103,$I$15:$J$19,2,FALSE))</f>
        <v>0</v>
      </c>
      <c r="AH104" s="223">
        <f t="shared" ref="AH104" si="219">IF(AH103=0,0,VLOOKUP(AH103,$I$15:$J$19,2,FALSE))</f>
        <v>0</v>
      </c>
      <c r="AI104" s="223">
        <f t="shared" ref="AI104" si="220">IF(AI103=0,0,VLOOKUP(AI103,$I$15:$J$19,2,FALSE))</f>
        <v>0</v>
      </c>
      <c r="AJ104" s="223">
        <f t="shared" ref="AJ104" si="221">IF(AJ103=0,0,VLOOKUP(AJ103,$I$15:$J$19,2,FALSE))</f>
        <v>0</v>
      </c>
      <c r="AK104" s="223">
        <f t="shared" ref="AK104" si="222">IF(AK103=0,0,VLOOKUP(AK103,$I$15:$J$19,2,FALSE))</f>
        <v>0</v>
      </c>
      <c r="AL104" s="223">
        <f t="shared" ref="AL104" si="223">IF(AL103=0,0,VLOOKUP(AL103,$I$15:$J$19,2,FALSE))</f>
        <v>0</v>
      </c>
      <c r="AM104" s="223">
        <f t="shared" ref="AM104" si="224">IF(AM103=0,0,VLOOKUP(AM103,$I$15:$J$19,2,FALSE))</f>
        <v>0</v>
      </c>
      <c r="AN104" s="223">
        <f t="shared" ref="AN104" si="225">IF(AN103=0,0,VLOOKUP(AN103,$I$15:$J$19,2,FALSE))</f>
        <v>0</v>
      </c>
      <c r="AO104" s="223">
        <f t="shared" ref="AO104" si="226">IF(AO103=0,0,VLOOKUP(AO103,$I$15:$J$19,2,FALSE))</f>
        <v>0</v>
      </c>
      <c r="AP104" s="223">
        <f t="shared" ref="AP104" si="227">IF(AP103=0,0,VLOOKUP(AP103,$I$15:$J$19,2,FALSE))</f>
        <v>0</v>
      </c>
      <c r="AQ104" s="223">
        <f t="shared" ref="AQ104" si="228">IF(AQ103=0,0,VLOOKUP(AQ103,$I$15:$J$19,2,FALSE))</f>
        <v>0</v>
      </c>
      <c r="AR104" s="223">
        <f t="shared" ref="AR104" si="229">IF(AR103=0,0,VLOOKUP(AR103,$I$15:$J$19,2,FALSE))</f>
        <v>0</v>
      </c>
      <c r="AS104" s="223">
        <f t="shared" ref="AS104" si="230">IF(AS103=0,0,VLOOKUP(AS103,$I$15:$J$19,2,FALSE))</f>
        <v>0</v>
      </c>
      <c r="AT104" s="223">
        <f t="shared" ref="AT104" si="231">IF(AT103=0,0,VLOOKUP(AT103,$I$15:$J$19,2,FALSE))</f>
        <v>0</v>
      </c>
      <c r="AU104" s="223">
        <f t="shared" ref="AU104" si="232">IF(AU103=0,0,VLOOKUP(AU103,$I$15:$J$19,2,FALSE))</f>
        <v>0</v>
      </c>
      <c r="AV104" s="223">
        <f t="shared" ref="AV104" si="233">IF(AV103=0,0,VLOOKUP(AV103,$I$15:$J$19,2,FALSE))</f>
        <v>0</v>
      </c>
      <c r="AW104" s="223">
        <f t="shared" ref="AW104" si="234">IF(AW103=0,0,VLOOKUP(AW103,$I$15:$J$19,2,FALSE))</f>
        <v>0</v>
      </c>
      <c r="AX104" s="223">
        <f t="shared" ref="AX104" si="235">IF(AX103=0,0,VLOOKUP(AX103,$I$15:$J$19,2,FALSE))</f>
        <v>0</v>
      </c>
      <c r="AY104" s="223">
        <f t="shared" ref="AY104" si="236">IF(AY103=0,0,VLOOKUP(AY103,$I$15:$J$19,2,FALSE))</f>
        <v>0</v>
      </c>
      <c r="AZ104" s="223">
        <f t="shared" ref="AZ104" si="237">IF(AZ103=0,0,VLOOKUP(AZ103,$I$15:$J$19,2,FALSE))</f>
        <v>0</v>
      </c>
      <c r="BA104" s="223">
        <f t="shared" ref="BA104" si="238">IF(BA103=0,0,VLOOKUP(BA103,$I$15:$J$19,2,FALSE))</f>
        <v>0</v>
      </c>
      <c r="BB104" s="223">
        <f t="shared" ref="BB104" si="239">IF(BB103=0,0,VLOOKUP(BB103,$I$15:$J$19,2,FALSE))</f>
        <v>0</v>
      </c>
      <c r="BC104" s="223">
        <f t="shared" ref="BC104" si="240">IF(BC103=0,0,VLOOKUP(BC103,$I$15:$J$19,2,FALSE))</f>
        <v>0</v>
      </c>
      <c r="BD104" s="223">
        <f t="shared" ref="BD104" si="241">IF(BD103=0,0,VLOOKUP(BD103,$I$15:$J$19,2,FALSE))</f>
        <v>0</v>
      </c>
      <c r="BE104" s="223">
        <f t="shared" ref="BE104" si="242">IF(BE103=0,0,VLOOKUP(BE103,$I$15:$J$19,2,FALSE))</f>
        <v>0</v>
      </c>
      <c r="BF104" s="223">
        <f t="shared" ref="BF104" si="243">IF(BF103=0,0,VLOOKUP(BF103,$I$15:$J$19,2,FALSE))</f>
        <v>0</v>
      </c>
      <c r="BG104" s="223">
        <f t="shared" ref="BG104" si="244">IF(BG103=0,0,VLOOKUP(BG103,$I$15:$J$19,2,FALSE))</f>
        <v>0</v>
      </c>
      <c r="BH104" s="223">
        <f t="shared" ref="BH104" si="245">IF(BH103=0,0,VLOOKUP(BH103,$I$15:$J$19,2,FALSE))</f>
        <v>0</v>
      </c>
      <c r="BI104" s="223">
        <f t="shared" ref="BI104" si="246">IF(BI103=0,0,VLOOKUP(BI103,$I$15:$J$19,2,FALSE))</f>
        <v>0</v>
      </c>
      <c r="BJ104" s="223">
        <f t="shared" ref="BJ104" si="247">IF(BJ103=0,0,VLOOKUP(BJ103,$I$15:$J$19,2,FALSE))</f>
        <v>0</v>
      </c>
      <c r="BK104" s="223">
        <f t="shared" ref="BK104" si="248">IF(BK103=0,0,VLOOKUP(BK103,$I$15:$J$19,2,FALSE))</f>
        <v>0</v>
      </c>
      <c r="BL104" s="223">
        <f t="shared" ref="BL104" si="249">IF(BL103=0,0,VLOOKUP(BL103,$I$15:$J$19,2,FALSE))</f>
        <v>0</v>
      </c>
      <c r="BM104" s="223">
        <f t="shared" ref="BM104" si="250">IF(BM103=0,0,VLOOKUP(BM103,$I$15:$J$19,2,FALSE))</f>
        <v>0</v>
      </c>
      <c r="BN104" s="223">
        <f t="shared" ref="BN104" si="251">IF(BN103=0,0,VLOOKUP(BN103,$I$15:$J$19,2,FALSE))</f>
        <v>0</v>
      </c>
      <c r="BO104" s="223">
        <f t="shared" ref="BO104" si="252">IF(BO103=0,0,VLOOKUP(BO103,$I$15:$J$19,2,FALSE))</f>
        <v>0</v>
      </c>
      <c r="BP104" s="223">
        <f t="shared" ref="BP104" si="253">IF(BP103=0,0,VLOOKUP(BP103,$I$15:$J$19,2,FALSE))</f>
        <v>0</v>
      </c>
      <c r="BQ104" s="223">
        <f t="shared" ref="BQ104" si="254">IF(BQ103=0,0,VLOOKUP(BQ103,$I$15:$J$19,2,FALSE))</f>
        <v>0</v>
      </c>
      <c r="BR104" s="223">
        <f t="shared" ref="BR104" si="255">IF(BR103=0,0,VLOOKUP(BR103,$I$15:$J$19,2,FALSE))</f>
        <v>0</v>
      </c>
      <c r="BS104" s="223">
        <f t="shared" ref="BS104" si="256">IF(BS103=0,0,VLOOKUP(BS103,$I$15:$J$19,2,FALSE))</f>
        <v>0</v>
      </c>
      <c r="BT104" s="223">
        <f t="shared" ref="BT104" si="257">IF(BT103=0,0,VLOOKUP(BT103,$I$15:$J$19,2,FALSE))</f>
        <v>0</v>
      </c>
      <c r="BU104" s="223">
        <f t="shared" ref="BU104" si="258">IF(BU103=0,0,VLOOKUP(BU103,$I$15:$J$19,2,FALSE))</f>
        <v>0</v>
      </c>
      <c r="BV104" s="223">
        <f t="shared" ref="BV104" si="259">IF(BV103=0,0,VLOOKUP(BV103,$I$15:$J$19,2,FALSE))</f>
        <v>0</v>
      </c>
      <c r="BW104" s="223">
        <f t="shared" ref="BW104" si="260">IF(BW103=0,0,VLOOKUP(BW103,$I$15:$J$19,2,FALSE))</f>
        <v>0</v>
      </c>
      <c r="BX104" s="223">
        <f t="shared" ref="BX104" si="261">IF(BX103=0,0,VLOOKUP(BX103,$I$15:$J$19,2,FALSE))</f>
        <v>0</v>
      </c>
    </row>
    <row r="105" spans="2:76" s="205" customFormat="1" x14ac:dyDescent="0.45">
      <c r="B105" s="30"/>
      <c r="C105" s="53" t="s">
        <v>124</v>
      </c>
      <c r="D105" s="223">
        <f>IF(D133="Oper Period",IF(D104&lt;&gt;0,D104,C105*(1+$D$55)),0)</f>
        <v>0</v>
      </c>
      <c r="E105" s="223">
        <f t="shared" ref="E105:AI105" si="262">IF(E133="Oper Period",IF(E104&lt;&gt;0,E104,D105*(1+$D$55)),0)</f>
        <v>0</v>
      </c>
      <c r="F105" s="223">
        <f t="shared" si="262"/>
        <v>11.2203</v>
      </c>
      <c r="G105" s="223">
        <f t="shared" si="262"/>
        <v>11.444706</v>
      </c>
      <c r="H105" s="223">
        <f t="shared" si="262"/>
        <v>12.193199999999999</v>
      </c>
      <c r="I105" s="223">
        <f t="shared" si="262"/>
        <v>12.437063999999999</v>
      </c>
      <c r="J105" s="223">
        <f t="shared" si="262"/>
        <v>12.68580528</v>
      </c>
      <c r="K105" s="223">
        <f t="shared" si="262"/>
        <v>12.939521385600001</v>
      </c>
      <c r="L105" s="223">
        <f t="shared" si="262"/>
        <v>13.198311813312001</v>
      </c>
      <c r="M105" s="223">
        <f t="shared" si="262"/>
        <v>13.462278049578241</v>
      </c>
      <c r="N105" s="223">
        <f t="shared" si="262"/>
        <v>13.731523610569807</v>
      </c>
      <c r="O105" s="223">
        <f t="shared" si="262"/>
        <v>14.006154082781205</v>
      </c>
      <c r="P105" s="223">
        <f t="shared" si="262"/>
        <v>14.286277164436829</v>
      </c>
      <c r="Q105" s="223">
        <f t="shared" si="262"/>
        <v>14.572002707725565</v>
      </c>
      <c r="R105" s="223">
        <f t="shared" si="262"/>
        <v>0</v>
      </c>
      <c r="S105" s="223">
        <f t="shared" si="262"/>
        <v>0</v>
      </c>
      <c r="T105" s="223">
        <f t="shared" si="262"/>
        <v>0</v>
      </c>
      <c r="U105" s="223">
        <f t="shared" si="262"/>
        <v>0</v>
      </c>
      <c r="V105" s="223">
        <f t="shared" si="262"/>
        <v>0</v>
      </c>
      <c r="W105" s="223">
        <f t="shared" si="262"/>
        <v>0</v>
      </c>
      <c r="X105" s="223">
        <f t="shared" si="262"/>
        <v>0</v>
      </c>
      <c r="Y105" s="223">
        <f t="shared" si="262"/>
        <v>0</v>
      </c>
      <c r="Z105" s="223">
        <f t="shared" si="262"/>
        <v>0</v>
      </c>
      <c r="AA105" s="223">
        <f t="shared" si="262"/>
        <v>0</v>
      </c>
      <c r="AB105" s="223">
        <f t="shared" si="262"/>
        <v>0</v>
      </c>
      <c r="AC105" s="223">
        <f t="shared" si="262"/>
        <v>0</v>
      </c>
      <c r="AD105" s="223">
        <f t="shared" si="262"/>
        <v>0</v>
      </c>
      <c r="AE105" s="223">
        <f t="shared" si="262"/>
        <v>0</v>
      </c>
      <c r="AF105" s="223">
        <f t="shared" si="262"/>
        <v>0</v>
      </c>
      <c r="AG105" s="223">
        <f t="shared" si="262"/>
        <v>0</v>
      </c>
      <c r="AH105" s="223">
        <f t="shared" si="262"/>
        <v>0</v>
      </c>
      <c r="AI105" s="223">
        <f t="shared" si="262"/>
        <v>0</v>
      </c>
      <c r="AJ105" s="223">
        <f t="shared" ref="AJ105:BO105" si="263">IF(AJ133="Oper Period",IF(AJ104&lt;&gt;0,AJ104,AI105*(1+$D$55)),0)</f>
        <v>0</v>
      </c>
      <c r="AK105" s="223">
        <f t="shared" si="263"/>
        <v>0</v>
      </c>
      <c r="AL105" s="223">
        <f t="shared" si="263"/>
        <v>0</v>
      </c>
      <c r="AM105" s="223">
        <f t="shared" si="263"/>
        <v>0</v>
      </c>
      <c r="AN105" s="223">
        <f t="shared" si="263"/>
        <v>0</v>
      </c>
      <c r="AO105" s="223">
        <f t="shared" si="263"/>
        <v>0</v>
      </c>
      <c r="AP105" s="223">
        <f t="shared" si="263"/>
        <v>0</v>
      </c>
      <c r="AQ105" s="223">
        <f t="shared" si="263"/>
        <v>0</v>
      </c>
      <c r="AR105" s="223">
        <f t="shared" si="263"/>
        <v>0</v>
      </c>
      <c r="AS105" s="223">
        <f t="shared" si="263"/>
        <v>0</v>
      </c>
      <c r="AT105" s="223">
        <f t="shared" si="263"/>
        <v>0</v>
      </c>
      <c r="AU105" s="223">
        <f t="shared" si="263"/>
        <v>0</v>
      </c>
      <c r="AV105" s="223">
        <f t="shared" si="263"/>
        <v>0</v>
      </c>
      <c r="AW105" s="223">
        <f t="shared" si="263"/>
        <v>0</v>
      </c>
      <c r="AX105" s="223">
        <f t="shared" si="263"/>
        <v>0</v>
      </c>
      <c r="AY105" s="223">
        <f t="shared" si="263"/>
        <v>0</v>
      </c>
      <c r="AZ105" s="223">
        <f t="shared" si="263"/>
        <v>0</v>
      </c>
      <c r="BA105" s="223">
        <f t="shared" si="263"/>
        <v>0</v>
      </c>
      <c r="BB105" s="223">
        <f t="shared" si="263"/>
        <v>0</v>
      </c>
      <c r="BC105" s="223">
        <f t="shared" si="263"/>
        <v>0</v>
      </c>
      <c r="BD105" s="223">
        <f t="shared" si="263"/>
        <v>0</v>
      </c>
      <c r="BE105" s="223">
        <f t="shared" si="263"/>
        <v>0</v>
      </c>
      <c r="BF105" s="223">
        <f t="shared" si="263"/>
        <v>0</v>
      </c>
      <c r="BG105" s="223">
        <f t="shared" si="263"/>
        <v>0</v>
      </c>
      <c r="BH105" s="223">
        <f t="shared" si="263"/>
        <v>0</v>
      </c>
      <c r="BI105" s="223">
        <f t="shared" si="263"/>
        <v>0</v>
      </c>
      <c r="BJ105" s="223">
        <f t="shared" si="263"/>
        <v>0</v>
      </c>
      <c r="BK105" s="223">
        <f t="shared" si="263"/>
        <v>0</v>
      </c>
      <c r="BL105" s="223">
        <f t="shared" si="263"/>
        <v>0</v>
      </c>
      <c r="BM105" s="223">
        <f t="shared" si="263"/>
        <v>0</v>
      </c>
      <c r="BN105" s="223">
        <f t="shared" si="263"/>
        <v>0</v>
      </c>
      <c r="BO105" s="223">
        <f t="shared" si="263"/>
        <v>0</v>
      </c>
      <c r="BP105" s="223">
        <f t="shared" ref="BP105:BX105" si="264">IF(BP133="Oper Period",IF(BP104&lt;&gt;0,BP104,BO105*(1+$D$55)),0)</f>
        <v>0</v>
      </c>
      <c r="BQ105" s="223">
        <f t="shared" si="264"/>
        <v>0</v>
      </c>
      <c r="BR105" s="223">
        <f t="shared" si="264"/>
        <v>0</v>
      </c>
      <c r="BS105" s="223">
        <f t="shared" si="264"/>
        <v>0</v>
      </c>
      <c r="BT105" s="223">
        <f t="shared" si="264"/>
        <v>0</v>
      </c>
      <c r="BU105" s="223">
        <f t="shared" si="264"/>
        <v>0</v>
      </c>
      <c r="BV105" s="223">
        <f t="shared" si="264"/>
        <v>0</v>
      </c>
      <c r="BW105" s="223">
        <f t="shared" si="264"/>
        <v>0</v>
      </c>
      <c r="BX105" s="223">
        <f t="shared" si="264"/>
        <v>0</v>
      </c>
    </row>
    <row r="106" spans="2:76" s="205" customFormat="1" x14ac:dyDescent="0.45">
      <c r="B106" s="30">
        <f>SUM(D106:CY106)</f>
        <v>273425690.38399404</v>
      </c>
      <c r="C106" s="53" t="s">
        <v>125</v>
      </c>
      <c r="D106" s="10">
        <f t="shared" ref="D106:AI106" si="265">IF(D133="Oper Period",$D$42*D105,0)</f>
        <v>0</v>
      </c>
      <c r="E106" s="10">
        <f t="shared" si="265"/>
        <v>0</v>
      </c>
      <c r="F106" s="10">
        <f>IF(F133="Oper Period",$D$42*F105,0)</f>
        <v>19643836.437224999</v>
      </c>
      <c r="G106" s="10">
        <f t="shared" si="265"/>
        <v>20036713.165969498</v>
      </c>
      <c r="H106" s="10">
        <f t="shared" si="265"/>
        <v>21347132.1129</v>
      </c>
      <c r="I106" s="10">
        <f t="shared" si="265"/>
        <v>21774074.755158</v>
      </c>
      <c r="J106" s="10">
        <f t="shared" si="265"/>
        <v>22209556.250261161</v>
      </c>
      <c r="K106" s="10">
        <f t="shared" si="265"/>
        <v>22653747.375266384</v>
      </c>
      <c r="L106" s="10">
        <f t="shared" si="265"/>
        <v>23106822.322771713</v>
      </c>
      <c r="M106" s="10">
        <f t="shared" si="265"/>
        <v>23568958.769227147</v>
      </c>
      <c r="N106" s="10">
        <f t="shared" si="265"/>
        <v>24040337.944611691</v>
      </c>
      <c r="O106" s="10">
        <f t="shared" si="265"/>
        <v>24521144.703503929</v>
      </c>
      <c r="P106" s="10">
        <f t="shared" si="265"/>
        <v>25011567.597574007</v>
      </c>
      <c r="Q106" s="10">
        <f t="shared" si="265"/>
        <v>25511798.949525487</v>
      </c>
      <c r="R106" s="10">
        <f t="shared" si="265"/>
        <v>0</v>
      </c>
      <c r="S106" s="10">
        <f t="shared" si="265"/>
        <v>0</v>
      </c>
      <c r="T106" s="10">
        <f t="shared" si="265"/>
        <v>0</v>
      </c>
      <c r="U106" s="10">
        <f t="shared" si="265"/>
        <v>0</v>
      </c>
      <c r="V106" s="10">
        <f t="shared" si="265"/>
        <v>0</v>
      </c>
      <c r="W106" s="10">
        <f t="shared" si="265"/>
        <v>0</v>
      </c>
      <c r="X106" s="10">
        <f t="shared" si="265"/>
        <v>0</v>
      </c>
      <c r="Y106" s="10">
        <f t="shared" si="265"/>
        <v>0</v>
      </c>
      <c r="Z106" s="10">
        <f t="shared" si="265"/>
        <v>0</v>
      </c>
      <c r="AA106" s="10">
        <f t="shared" si="265"/>
        <v>0</v>
      </c>
      <c r="AB106" s="10">
        <f t="shared" si="265"/>
        <v>0</v>
      </c>
      <c r="AC106" s="10">
        <f t="shared" si="265"/>
        <v>0</v>
      </c>
      <c r="AD106" s="10">
        <f t="shared" si="265"/>
        <v>0</v>
      </c>
      <c r="AE106" s="10">
        <f t="shared" si="265"/>
        <v>0</v>
      </c>
      <c r="AF106" s="10">
        <f t="shared" si="265"/>
        <v>0</v>
      </c>
      <c r="AG106" s="10">
        <f t="shared" si="265"/>
        <v>0</v>
      </c>
      <c r="AH106" s="10">
        <f t="shared" si="265"/>
        <v>0</v>
      </c>
      <c r="AI106" s="10">
        <f t="shared" si="265"/>
        <v>0</v>
      </c>
      <c r="AJ106" s="10">
        <f t="shared" ref="AJ106:BO106" si="266">IF(AJ133="Oper Period",$D$42*AJ105,0)</f>
        <v>0</v>
      </c>
      <c r="AK106" s="10">
        <f t="shared" si="266"/>
        <v>0</v>
      </c>
      <c r="AL106" s="10">
        <f t="shared" si="266"/>
        <v>0</v>
      </c>
      <c r="AM106" s="10">
        <f t="shared" si="266"/>
        <v>0</v>
      </c>
      <c r="AN106" s="10">
        <f t="shared" si="266"/>
        <v>0</v>
      </c>
      <c r="AO106" s="10">
        <f t="shared" si="266"/>
        <v>0</v>
      </c>
      <c r="AP106" s="10">
        <f t="shared" si="266"/>
        <v>0</v>
      </c>
      <c r="AQ106" s="10">
        <f t="shared" si="266"/>
        <v>0</v>
      </c>
      <c r="AR106" s="10">
        <f t="shared" si="266"/>
        <v>0</v>
      </c>
      <c r="AS106" s="10">
        <f t="shared" si="266"/>
        <v>0</v>
      </c>
      <c r="AT106" s="10">
        <f t="shared" si="266"/>
        <v>0</v>
      </c>
      <c r="AU106" s="10">
        <f t="shared" si="266"/>
        <v>0</v>
      </c>
      <c r="AV106" s="10">
        <f t="shared" si="266"/>
        <v>0</v>
      </c>
      <c r="AW106" s="10">
        <f t="shared" si="266"/>
        <v>0</v>
      </c>
      <c r="AX106" s="10">
        <f t="shared" si="266"/>
        <v>0</v>
      </c>
      <c r="AY106" s="10">
        <f t="shared" si="266"/>
        <v>0</v>
      </c>
      <c r="AZ106" s="10">
        <f t="shared" si="266"/>
        <v>0</v>
      </c>
      <c r="BA106" s="10">
        <f t="shared" si="266"/>
        <v>0</v>
      </c>
      <c r="BB106" s="10">
        <f t="shared" si="266"/>
        <v>0</v>
      </c>
      <c r="BC106" s="10">
        <f t="shared" si="266"/>
        <v>0</v>
      </c>
      <c r="BD106" s="10">
        <f t="shared" si="266"/>
        <v>0</v>
      </c>
      <c r="BE106" s="10">
        <f t="shared" si="266"/>
        <v>0</v>
      </c>
      <c r="BF106" s="10">
        <f t="shared" si="266"/>
        <v>0</v>
      </c>
      <c r="BG106" s="10">
        <f t="shared" si="266"/>
        <v>0</v>
      </c>
      <c r="BH106" s="10">
        <f t="shared" si="266"/>
        <v>0</v>
      </c>
      <c r="BI106" s="10">
        <f t="shared" si="266"/>
        <v>0</v>
      </c>
      <c r="BJ106" s="10">
        <f t="shared" si="266"/>
        <v>0</v>
      </c>
      <c r="BK106" s="10">
        <f t="shared" si="266"/>
        <v>0</v>
      </c>
      <c r="BL106" s="10">
        <f t="shared" si="266"/>
        <v>0</v>
      </c>
      <c r="BM106" s="10">
        <f t="shared" si="266"/>
        <v>0</v>
      </c>
      <c r="BN106" s="10">
        <f t="shared" si="266"/>
        <v>0</v>
      </c>
      <c r="BO106" s="10">
        <f t="shared" si="266"/>
        <v>0</v>
      </c>
      <c r="BP106" s="10">
        <f t="shared" ref="BP106:BX106" si="267">IF(BP133="Oper Period",$D$42*BP105,0)</f>
        <v>0</v>
      </c>
      <c r="BQ106" s="10">
        <f t="shared" si="267"/>
        <v>0</v>
      </c>
      <c r="BR106" s="10">
        <f t="shared" si="267"/>
        <v>0</v>
      </c>
      <c r="BS106" s="10">
        <f t="shared" si="267"/>
        <v>0</v>
      </c>
      <c r="BT106" s="10">
        <f t="shared" si="267"/>
        <v>0</v>
      </c>
      <c r="BU106" s="10">
        <f t="shared" si="267"/>
        <v>0</v>
      </c>
      <c r="BV106" s="10">
        <f t="shared" si="267"/>
        <v>0</v>
      </c>
      <c r="BW106" s="10">
        <f t="shared" si="267"/>
        <v>0</v>
      </c>
      <c r="BX106" s="10">
        <f t="shared" si="267"/>
        <v>0</v>
      </c>
    </row>
    <row r="107" spans="2:76" x14ac:dyDescent="0.45">
      <c r="B107" s="21"/>
      <c r="C107" s="3"/>
      <c r="D107" s="21"/>
      <c r="E107" s="21"/>
      <c r="F107" s="21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21"/>
    </row>
    <row r="108" spans="2:76" s="205" customFormat="1" x14ac:dyDescent="0.45">
      <c r="B108" s="30">
        <f>SUM(D108:CY108)</f>
        <v>516971067.52879071</v>
      </c>
      <c r="C108" s="224" t="s">
        <v>126</v>
      </c>
      <c r="D108" s="55">
        <f t="shared" ref="D108:AI108" si="268">SUM(D99:D99)</f>
        <v>255926271.05385685</v>
      </c>
      <c r="E108" s="55">
        <f t="shared" si="268"/>
        <v>261044796.47493389</v>
      </c>
      <c r="F108" s="55">
        <f t="shared" si="268"/>
        <v>0</v>
      </c>
      <c r="G108" s="55">
        <f t="shared" si="268"/>
        <v>0</v>
      </c>
      <c r="H108" s="55">
        <f t="shared" si="268"/>
        <v>0</v>
      </c>
      <c r="I108" s="55">
        <f t="shared" si="268"/>
        <v>0</v>
      </c>
      <c r="J108" s="55">
        <f t="shared" si="268"/>
        <v>0</v>
      </c>
      <c r="K108" s="55">
        <f t="shared" si="268"/>
        <v>0</v>
      </c>
      <c r="L108" s="55">
        <f t="shared" si="268"/>
        <v>0</v>
      </c>
      <c r="M108" s="55">
        <f t="shared" si="268"/>
        <v>0</v>
      </c>
      <c r="N108" s="55">
        <f t="shared" si="268"/>
        <v>0</v>
      </c>
      <c r="O108" s="55">
        <f t="shared" si="268"/>
        <v>0</v>
      </c>
      <c r="P108" s="55">
        <f t="shared" si="268"/>
        <v>0</v>
      </c>
      <c r="Q108" s="55">
        <f t="shared" si="268"/>
        <v>0</v>
      </c>
      <c r="R108" s="55">
        <f t="shared" si="268"/>
        <v>0</v>
      </c>
      <c r="S108" s="55">
        <f t="shared" si="268"/>
        <v>0</v>
      </c>
      <c r="T108" s="55">
        <f t="shared" si="268"/>
        <v>0</v>
      </c>
      <c r="U108" s="55">
        <f t="shared" si="268"/>
        <v>0</v>
      </c>
      <c r="V108" s="55">
        <f t="shared" si="268"/>
        <v>0</v>
      </c>
      <c r="W108" s="55">
        <f t="shared" si="268"/>
        <v>0</v>
      </c>
      <c r="X108" s="55">
        <f t="shared" si="268"/>
        <v>0</v>
      </c>
      <c r="Y108" s="55">
        <f t="shared" si="268"/>
        <v>0</v>
      </c>
      <c r="Z108" s="55">
        <f t="shared" si="268"/>
        <v>0</v>
      </c>
      <c r="AA108" s="55">
        <f t="shared" si="268"/>
        <v>0</v>
      </c>
      <c r="AB108" s="55">
        <f t="shared" si="268"/>
        <v>0</v>
      </c>
      <c r="AC108" s="55">
        <f t="shared" si="268"/>
        <v>0</v>
      </c>
      <c r="AD108" s="55">
        <f t="shared" si="268"/>
        <v>0</v>
      </c>
      <c r="AE108" s="55">
        <f t="shared" si="268"/>
        <v>0</v>
      </c>
      <c r="AF108" s="55">
        <f t="shared" si="268"/>
        <v>0</v>
      </c>
      <c r="AG108" s="55">
        <f t="shared" si="268"/>
        <v>0</v>
      </c>
      <c r="AH108" s="55">
        <f t="shared" si="268"/>
        <v>0</v>
      </c>
      <c r="AI108" s="55">
        <f t="shared" si="268"/>
        <v>0</v>
      </c>
      <c r="AJ108" s="55">
        <f t="shared" ref="AJ108:BO108" si="269">SUM(AJ99:AJ99)</f>
        <v>0</v>
      </c>
      <c r="AK108" s="55">
        <f t="shared" si="269"/>
        <v>0</v>
      </c>
      <c r="AL108" s="55">
        <f t="shared" si="269"/>
        <v>0</v>
      </c>
      <c r="AM108" s="55">
        <f t="shared" si="269"/>
        <v>0</v>
      </c>
      <c r="AN108" s="55">
        <f t="shared" si="269"/>
        <v>0</v>
      </c>
      <c r="AO108" s="55">
        <f t="shared" si="269"/>
        <v>0</v>
      </c>
      <c r="AP108" s="55">
        <f t="shared" si="269"/>
        <v>0</v>
      </c>
      <c r="AQ108" s="55">
        <f t="shared" si="269"/>
        <v>0</v>
      </c>
      <c r="AR108" s="55">
        <f t="shared" si="269"/>
        <v>0</v>
      </c>
      <c r="AS108" s="55">
        <f t="shared" si="269"/>
        <v>0</v>
      </c>
      <c r="AT108" s="55">
        <f t="shared" si="269"/>
        <v>0</v>
      </c>
      <c r="AU108" s="55">
        <f t="shared" si="269"/>
        <v>0</v>
      </c>
      <c r="AV108" s="55">
        <f t="shared" si="269"/>
        <v>0</v>
      </c>
      <c r="AW108" s="55">
        <f t="shared" si="269"/>
        <v>0</v>
      </c>
      <c r="AX108" s="55">
        <f t="shared" si="269"/>
        <v>0</v>
      </c>
      <c r="AY108" s="55">
        <f t="shared" si="269"/>
        <v>0</v>
      </c>
      <c r="AZ108" s="55">
        <f t="shared" si="269"/>
        <v>0</v>
      </c>
      <c r="BA108" s="55">
        <f t="shared" si="269"/>
        <v>0</v>
      </c>
      <c r="BB108" s="55">
        <f t="shared" si="269"/>
        <v>0</v>
      </c>
      <c r="BC108" s="55">
        <f t="shared" si="269"/>
        <v>0</v>
      </c>
      <c r="BD108" s="55">
        <f t="shared" si="269"/>
        <v>0</v>
      </c>
      <c r="BE108" s="55">
        <f t="shared" si="269"/>
        <v>0</v>
      </c>
      <c r="BF108" s="55">
        <f t="shared" si="269"/>
        <v>0</v>
      </c>
      <c r="BG108" s="55">
        <f t="shared" si="269"/>
        <v>0</v>
      </c>
      <c r="BH108" s="55">
        <f t="shared" si="269"/>
        <v>0</v>
      </c>
      <c r="BI108" s="55">
        <f t="shared" si="269"/>
        <v>0</v>
      </c>
      <c r="BJ108" s="55">
        <f t="shared" si="269"/>
        <v>0</v>
      </c>
      <c r="BK108" s="55">
        <f t="shared" si="269"/>
        <v>0</v>
      </c>
      <c r="BL108" s="55">
        <f t="shared" si="269"/>
        <v>0</v>
      </c>
      <c r="BM108" s="55">
        <f t="shared" si="269"/>
        <v>0</v>
      </c>
      <c r="BN108" s="55">
        <f t="shared" si="269"/>
        <v>0</v>
      </c>
      <c r="BO108" s="55">
        <f t="shared" si="269"/>
        <v>0</v>
      </c>
      <c r="BP108" s="55">
        <f t="shared" ref="BP108:BX108" si="270">SUM(BP99:BP99)</f>
        <v>0</v>
      </c>
      <c r="BQ108" s="55">
        <f t="shared" si="270"/>
        <v>0</v>
      </c>
      <c r="BR108" s="55">
        <f t="shared" si="270"/>
        <v>0</v>
      </c>
      <c r="BS108" s="55">
        <f t="shared" si="270"/>
        <v>0</v>
      </c>
      <c r="BT108" s="55">
        <f t="shared" si="270"/>
        <v>0</v>
      </c>
      <c r="BU108" s="55">
        <f t="shared" si="270"/>
        <v>0</v>
      </c>
      <c r="BV108" s="55">
        <f t="shared" si="270"/>
        <v>0</v>
      </c>
      <c r="BW108" s="55">
        <f t="shared" si="270"/>
        <v>0</v>
      </c>
      <c r="BX108" s="55">
        <f t="shared" si="270"/>
        <v>0</v>
      </c>
    </row>
    <row r="109" spans="2:76" s="205" customFormat="1" x14ac:dyDescent="0.45">
      <c r="B109" s="30">
        <f>SUM(D109:CY109)</f>
        <v>516971067.52879071</v>
      </c>
      <c r="C109" s="224" t="s">
        <v>127</v>
      </c>
      <c r="D109" s="55">
        <f>D108*(1+$D$56)</f>
        <v>255926271.05385685</v>
      </c>
      <c r="E109" s="55">
        <f t="shared" ref="E109:Y109" si="271">E108*(1+$D$56)</f>
        <v>261044796.47493389</v>
      </c>
      <c r="F109" s="55">
        <f t="shared" si="271"/>
        <v>0</v>
      </c>
      <c r="G109" s="55">
        <f t="shared" si="271"/>
        <v>0</v>
      </c>
      <c r="H109" s="55">
        <f t="shared" si="271"/>
        <v>0</v>
      </c>
      <c r="I109" s="55">
        <f t="shared" si="271"/>
        <v>0</v>
      </c>
      <c r="J109" s="55">
        <f t="shared" si="271"/>
        <v>0</v>
      </c>
      <c r="K109" s="55">
        <f t="shared" si="271"/>
        <v>0</v>
      </c>
      <c r="L109" s="55">
        <f t="shared" si="271"/>
        <v>0</v>
      </c>
      <c r="M109" s="55">
        <f t="shared" si="271"/>
        <v>0</v>
      </c>
      <c r="N109" s="55">
        <f t="shared" si="271"/>
        <v>0</v>
      </c>
      <c r="O109" s="55">
        <f t="shared" si="271"/>
        <v>0</v>
      </c>
      <c r="P109" s="55">
        <f t="shared" si="271"/>
        <v>0</v>
      </c>
      <c r="Q109" s="55">
        <f t="shared" si="271"/>
        <v>0</v>
      </c>
      <c r="R109" s="55">
        <f t="shared" si="271"/>
        <v>0</v>
      </c>
      <c r="S109" s="55">
        <f t="shared" si="271"/>
        <v>0</v>
      </c>
      <c r="T109" s="55">
        <f t="shared" si="271"/>
        <v>0</v>
      </c>
      <c r="U109" s="55">
        <f t="shared" si="271"/>
        <v>0</v>
      </c>
      <c r="V109" s="55">
        <f t="shared" si="271"/>
        <v>0</v>
      </c>
      <c r="W109" s="55">
        <f t="shared" si="271"/>
        <v>0</v>
      </c>
      <c r="X109" s="55">
        <f t="shared" si="271"/>
        <v>0</v>
      </c>
      <c r="Y109" s="55">
        <f t="shared" si="271"/>
        <v>0</v>
      </c>
      <c r="Z109" s="55">
        <f t="shared" ref="Z109:AI109" si="272">Z108*(1+$D$56)</f>
        <v>0</v>
      </c>
      <c r="AA109" s="55">
        <f t="shared" si="272"/>
        <v>0</v>
      </c>
      <c r="AB109" s="55">
        <f t="shared" si="272"/>
        <v>0</v>
      </c>
      <c r="AC109" s="55">
        <f t="shared" si="272"/>
        <v>0</v>
      </c>
      <c r="AD109" s="55">
        <f t="shared" si="272"/>
        <v>0</v>
      </c>
      <c r="AE109" s="55">
        <f t="shared" si="272"/>
        <v>0</v>
      </c>
      <c r="AF109" s="55">
        <f t="shared" si="272"/>
        <v>0</v>
      </c>
      <c r="AG109" s="55">
        <f t="shared" si="272"/>
        <v>0</v>
      </c>
      <c r="AH109" s="55">
        <f t="shared" si="272"/>
        <v>0</v>
      </c>
      <c r="AI109" s="55">
        <f t="shared" si="272"/>
        <v>0</v>
      </c>
      <c r="AJ109" s="55">
        <f t="shared" ref="AJ109:BX109" si="273">AJ108*(1+$D$56)</f>
        <v>0</v>
      </c>
      <c r="AK109" s="55">
        <f t="shared" si="273"/>
        <v>0</v>
      </c>
      <c r="AL109" s="55">
        <f t="shared" si="273"/>
        <v>0</v>
      </c>
      <c r="AM109" s="55">
        <f t="shared" si="273"/>
        <v>0</v>
      </c>
      <c r="AN109" s="55">
        <f t="shared" si="273"/>
        <v>0</v>
      </c>
      <c r="AO109" s="55">
        <f t="shared" si="273"/>
        <v>0</v>
      </c>
      <c r="AP109" s="55">
        <f t="shared" si="273"/>
        <v>0</v>
      </c>
      <c r="AQ109" s="55">
        <f t="shared" si="273"/>
        <v>0</v>
      </c>
      <c r="AR109" s="55">
        <f t="shared" si="273"/>
        <v>0</v>
      </c>
      <c r="AS109" s="55">
        <f t="shared" si="273"/>
        <v>0</v>
      </c>
      <c r="AT109" s="55">
        <f t="shared" si="273"/>
        <v>0</v>
      </c>
      <c r="AU109" s="55">
        <f t="shared" si="273"/>
        <v>0</v>
      </c>
      <c r="AV109" s="55">
        <f t="shared" si="273"/>
        <v>0</v>
      </c>
      <c r="AW109" s="55">
        <f t="shared" si="273"/>
        <v>0</v>
      </c>
      <c r="AX109" s="55">
        <f t="shared" si="273"/>
        <v>0</v>
      </c>
      <c r="AY109" s="55">
        <f t="shared" si="273"/>
        <v>0</v>
      </c>
      <c r="AZ109" s="55">
        <f t="shared" si="273"/>
        <v>0</v>
      </c>
      <c r="BA109" s="55">
        <f t="shared" si="273"/>
        <v>0</v>
      </c>
      <c r="BB109" s="55">
        <f t="shared" si="273"/>
        <v>0</v>
      </c>
      <c r="BC109" s="55">
        <f t="shared" si="273"/>
        <v>0</v>
      </c>
      <c r="BD109" s="55">
        <f t="shared" si="273"/>
        <v>0</v>
      </c>
      <c r="BE109" s="55">
        <f t="shared" si="273"/>
        <v>0</v>
      </c>
      <c r="BF109" s="55">
        <f t="shared" si="273"/>
        <v>0</v>
      </c>
      <c r="BG109" s="55">
        <f t="shared" si="273"/>
        <v>0</v>
      </c>
      <c r="BH109" s="55">
        <f t="shared" si="273"/>
        <v>0</v>
      </c>
      <c r="BI109" s="55">
        <f t="shared" si="273"/>
        <v>0</v>
      </c>
      <c r="BJ109" s="55">
        <f t="shared" si="273"/>
        <v>0</v>
      </c>
      <c r="BK109" s="55">
        <f t="shared" si="273"/>
        <v>0</v>
      </c>
      <c r="BL109" s="55">
        <f t="shared" si="273"/>
        <v>0</v>
      </c>
      <c r="BM109" s="55">
        <f t="shared" si="273"/>
        <v>0</v>
      </c>
      <c r="BN109" s="55">
        <f t="shared" si="273"/>
        <v>0</v>
      </c>
      <c r="BO109" s="55">
        <f t="shared" si="273"/>
        <v>0</v>
      </c>
      <c r="BP109" s="55">
        <f t="shared" si="273"/>
        <v>0</v>
      </c>
      <c r="BQ109" s="55">
        <f t="shared" si="273"/>
        <v>0</v>
      </c>
      <c r="BR109" s="55">
        <f t="shared" si="273"/>
        <v>0</v>
      </c>
      <c r="BS109" s="55">
        <f t="shared" si="273"/>
        <v>0</v>
      </c>
      <c r="BT109" s="55">
        <f t="shared" si="273"/>
        <v>0</v>
      </c>
      <c r="BU109" s="55">
        <f t="shared" si="273"/>
        <v>0</v>
      </c>
      <c r="BV109" s="55">
        <f t="shared" si="273"/>
        <v>0</v>
      </c>
      <c r="BW109" s="55">
        <f t="shared" si="273"/>
        <v>0</v>
      </c>
      <c r="BX109" s="55">
        <f t="shared" si="273"/>
        <v>0</v>
      </c>
    </row>
    <row r="110" spans="2:76" s="205" customFormat="1" x14ac:dyDescent="0.45">
      <c r="B110" s="30">
        <f>SUM(D110:CY110)</f>
        <v>794181217.48969615</v>
      </c>
      <c r="C110" s="224" t="s">
        <v>128</v>
      </c>
      <c r="D110" s="55">
        <f t="shared" ref="D110:AI110" si="274">D101+D106</f>
        <v>0</v>
      </c>
      <c r="E110" s="55">
        <f t="shared" si="274"/>
        <v>0</v>
      </c>
      <c r="F110" s="55">
        <f t="shared" si="274"/>
        <v>58471158.477398634</v>
      </c>
      <c r="G110" s="55">
        <f t="shared" si="274"/>
        <v>59640581.646946602</v>
      </c>
      <c r="H110" s="55">
        <f t="shared" si="274"/>
        <v>61743077.96349664</v>
      </c>
      <c r="I110" s="55">
        <f t="shared" si="274"/>
        <v>62977939.522766575</v>
      </c>
      <c r="J110" s="55">
        <f t="shared" si="274"/>
        <v>64237498.313221917</v>
      </c>
      <c r="K110" s="55">
        <f t="shared" si="274"/>
        <v>65522248.279486343</v>
      </c>
      <c r="L110" s="55">
        <f t="shared" si="274"/>
        <v>66832693.245076083</v>
      </c>
      <c r="M110" s="55">
        <f t="shared" si="274"/>
        <v>68169347.109977588</v>
      </c>
      <c r="N110" s="55">
        <f t="shared" si="274"/>
        <v>69532734.052177146</v>
      </c>
      <c r="O110" s="55">
        <f t="shared" si="274"/>
        <v>70923388.733220696</v>
      </c>
      <c r="P110" s="55">
        <f t="shared" si="274"/>
        <v>72341856.507885113</v>
      </c>
      <c r="Q110" s="55">
        <f t="shared" si="274"/>
        <v>73788693.638042808</v>
      </c>
      <c r="R110" s="55">
        <f t="shared" si="274"/>
        <v>0</v>
      </c>
      <c r="S110" s="55">
        <f t="shared" si="274"/>
        <v>0</v>
      </c>
      <c r="T110" s="55">
        <f t="shared" si="274"/>
        <v>0</v>
      </c>
      <c r="U110" s="55">
        <f t="shared" si="274"/>
        <v>0</v>
      </c>
      <c r="V110" s="55">
        <f t="shared" si="274"/>
        <v>0</v>
      </c>
      <c r="W110" s="55">
        <f t="shared" si="274"/>
        <v>0</v>
      </c>
      <c r="X110" s="55">
        <f t="shared" si="274"/>
        <v>0</v>
      </c>
      <c r="Y110" s="55">
        <f t="shared" si="274"/>
        <v>0</v>
      </c>
      <c r="Z110" s="55">
        <f t="shared" si="274"/>
        <v>0</v>
      </c>
      <c r="AA110" s="55">
        <f t="shared" si="274"/>
        <v>0</v>
      </c>
      <c r="AB110" s="55">
        <f t="shared" si="274"/>
        <v>0</v>
      </c>
      <c r="AC110" s="55">
        <f t="shared" si="274"/>
        <v>0</v>
      </c>
      <c r="AD110" s="55">
        <f t="shared" si="274"/>
        <v>0</v>
      </c>
      <c r="AE110" s="55">
        <f t="shared" si="274"/>
        <v>0</v>
      </c>
      <c r="AF110" s="55">
        <f t="shared" si="274"/>
        <v>0</v>
      </c>
      <c r="AG110" s="55">
        <f t="shared" si="274"/>
        <v>0</v>
      </c>
      <c r="AH110" s="55">
        <f t="shared" si="274"/>
        <v>0</v>
      </c>
      <c r="AI110" s="55">
        <f t="shared" si="274"/>
        <v>0</v>
      </c>
      <c r="AJ110" s="55">
        <f t="shared" ref="AJ110:BO110" si="275">AJ101+AJ106</f>
        <v>0</v>
      </c>
      <c r="AK110" s="55">
        <f t="shared" si="275"/>
        <v>0</v>
      </c>
      <c r="AL110" s="55">
        <f t="shared" si="275"/>
        <v>0</v>
      </c>
      <c r="AM110" s="55">
        <f t="shared" si="275"/>
        <v>0</v>
      </c>
      <c r="AN110" s="55">
        <f t="shared" si="275"/>
        <v>0</v>
      </c>
      <c r="AO110" s="55">
        <f t="shared" si="275"/>
        <v>0</v>
      </c>
      <c r="AP110" s="55">
        <f t="shared" si="275"/>
        <v>0</v>
      </c>
      <c r="AQ110" s="55">
        <f t="shared" si="275"/>
        <v>0</v>
      </c>
      <c r="AR110" s="55">
        <f t="shared" si="275"/>
        <v>0</v>
      </c>
      <c r="AS110" s="55">
        <f t="shared" si="275"/>
        <v>0</v>
      </c>
      <c r="AT110" s="55">
        <f t="shared" si="275"/>
        <v>0</v>
      </c>
      <c r="AU110" s="55">
        <f t="shared" si="275"/>
        <v>0</v>
      </c>
      <c r="AV110" s="55">
        <f t="shared" si="275"/>
        <v>0</v>
      </c>
      <c r="AW110" s="55">
        <f t="shared" si="275"/>
        <v>0</v>
      </c>
      <c r="AX110" s="55">
        <f t="shared" si="275"/>
        <v>0</v>
      </c>
      <c r="AY110" s="55">
        <f t="shared" si="275"/>
        <v>0</v>
      </c>
      <c r="AZ110" s="55">
        <f t="shared" si="275"/>
        <v>0</v>
      </c>
      <c r="BA110" s="55">
        <f t="shared" si="275"/>
        <v>0</v>
      </c>
      <c r="BB110" s="55">
        <f t="shared" si="275"/>
        <v>0</v>
      </c>
      <c r="BC110" s="55">
        <f t="shared" si="275"/>
        <v>0</v>
      </c>
      <c r="BD110" s="55">
        <f t="shared" si="275"/>
        <v>0</v>
      </c>
      <c r="BE110" s="55">
        <f t="shared" si="275"/>
        <v>0</v>
      </c>
      <c r="BF110" s="55">
        <f t="shared" si="275"/>
        <v>0</v>
      </c>
      <c r="BG110" s="55">
        <f t="shared" si="275"/>
        <v>0</v>
      </c>
      <c r="BH110" s="55">
        <f t="shared" si="275"/>
        <v>0</v>
      </c>
      <c r="BI110" s="55">
        <f t="shared" si="275"/>
        <v>0</v>
      </c>
      <c r="BJ110" s="55">
        <f t="shared" si="275"/>
        <v>0</v>
      </c>
      <c r="BK110" s="55">
        <f t="shared" si="275"/>
        <v>0</v>
      </c>
      <c r="BL110" s="55">
        <f t="shared" si="275"/>
        <v>0</v>
      </c>
      <c r="BM110" s="55">
        <f t="shared" si="275"/>
        <v>0</v>
      </c>
      <c r="BN110" s="55">
        <f t="shared" si="275"/>
        <v>0</v>
      </c>
      <c r="BO110" s="55">
        <f t="shared" si="275"/>
        <v>0</v>
      </c>
      <c r="BP110" s="55">
        <f t="shared" ref="BP110:BX110" si="276">BP101+BP106</f>
        <v>0</v>
      </c>
      <c r="BQ110" s="55">
        <f t="shared" si="276"/>
        <v>0</v>
      </c>
      <c r="BR110" s="55">
        <f t="shared" si="276"/>
        <v>0</v>
      </c>
      <c r="BS110" s="55">
        <f t="shared" si="276"/>
        <v>0</v>
      </c>
      <c r="BT110" s="55">
        <f t="shared" si="276"/>
        <v>0</v>
      </c>
      <c r="BU110" s="55">
        <f t="shared" si="276"/>
        <v>0</v>
      </c>
      <c r="BV110" s="55">
        <f t="shared" si="276"/>
        <v>0</v>
      </c>
      <c r="BW110" s="55">
        <f t="shared" si="276"/>
        <v>0</v>
      </c>
      <c r="BX110" s="55">
        <f t="shared" si="276"/>
        <v>0</v>
      </c>
    </row>
    <row r="111" spans="2:76" x14ac:dyDescent="0.45">
      <c r="B111" s="52"/>
      <c r="C111" s="3"/>
      <c r="D111" s="54"/>
      <c r="E111" s="54"/>
      <c r="F111" s="54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4"/>
    </row>
    <row r="112" spans="2:76" x14ac:dyDescent="0.45">
      <c r="B112" s="52"/>
      <c r="C112" s="13" t="s">
        <v>102</v>
      </c>
      <c r="D112" s="54"/>
      <c r="E112" s="54"/>
      <c r="F112" s="54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4"/>
    </row>
    <row r="113" spans="1:76" s="205" customFormat="1" x14ac:dyDescent="0.45">
      <c r="B113" s="30">
        <f>SUM(D113:CY113)</f>
        <v>241178359.96525589</v>
      </c>
      <c r="C113" s="224" t="s">
        <v>129</v>
      </c>
      <c r="D113" s="55">
        <f t="shared" ref="D113:AI113" si="277">D109/D85</f>
        <v>120589179.98262794</v>
      </c>
      <c r="E113" s="55">
        <f t="shared" si="277"/>
        <v>120589179.98262794</v>
      </c>
      <c r="F113" s="55">
        <f t="shared" si="277"/>
        <v>0</v>
      </c>
      <c r="G113" s="55">
        <f t="shared" si="277"/>
        <v>0</v>
      </c>
      <c r="H113" s="55">
        <f t="shared" si="277"/>
        <v>0</v>
      </c>
      <c r="I113" s="55">
        <f t="shared" si="277"/>
        <v>0</v>
      </c>
      <c r="J113" s="55">
        <f t="shared" si="277"/>
        <v>0</v>
      </c>
      <c r="K113" s="55">
        <f t="shared" si="277"/>
        <v>0</v>
      </c>
      <c r="L113" s="55">
        <f t="shared" si="277"/>
        <v>0</v>
      </c>
      <c r="M113" s="55">
        <f t="shared" si="277"/>
        <v>0</v>
      </c>
      <c r="N113" s="55">
        <f t="shared" si="277"/>
        <v>0</v>
      </c>
      <c r="O113" s="55">
        <f t="shared" si="277"/>
        <v>0</v>
      </c>
      <c r="P113" s="55">
        <f t="shared" si="277"/>
        <v>0</v>
      </c>
      <c r="Q113" s="55">
        <f t="shared" si="277"/>
        <v>0</v>
      </c>
      <c r="R113" s="55">
        <f t="shared" si="277"/>
        <v>0</v>
      </c>
      <c r="S113" s="55">
        <f t="shared" si="277"/>
        <v>0</v>
      </c>
      <c r="T113" s="55">
        <f t="shared" si="277"/>
        <v>0</v>
      </c>
      <c r="U113" s="55">
        <f t="shared" si="277"/>
        <v>0</v>
      </c>
      <c r="V113" s="55">
        <f t="shared" si="277"/>
        <v>0</v>
      </c>
      <c r="W113" s="55">
        <f t="shared" si="277"/>
        <v>0</v>
      </c>
      <c r="X113" s="55">
        <f t="shared" si="277"/>
        <v>0</v>
      </c>
      <c r="Y113" s="55">
        <f t="shared" si="277"/>
        <v>0</v>
      </c>
      <c r="Z113" s="55">
        <f t="shared" si="277"/>
        <v>0</v>
      </c>
      <c r="AA113" s="55">
        <f t="shared" si="277"/>
        <v>0</v>
      </c>
      <c r="AB113" s="55">
        <f t="shared" si="277"/>
        <v>0</v>
      </c>
      <c r="AC113" s="55">
        <f t="shared" si="277"/>
        <v>0</v>
      </c>
      <c r="AD113" s="55">
        <f t="shared" si="277"/>
        <v>0</v>
      </c>
      <c r="AE113" s="55">
        <f t="shared" si="277"/>
        <v>0</v>
      </c>
      <c r="AF113" s="55">
        <f t="shared" si="277"/>
        <v>0</v>
      </c>
      <c r="AG113" s="55">
        <f t="shared" si="277"/>
        <v>0</v>
      </c>
      <c r="AH113" s="55">
        <f t="shared" si="277"/>
        <v>0</v>
      </c>
      <c r="AI113" s="55">
        <f t="shared" si="277"/>
        <v>0</v>
      </c>
      <c r="AJ113" s="55">
        <f t="shared" ref="AJ113:BO113" si="278">AJ109/AJ85</f>
        <v>0</v>
      </c>
      <c r="AK113" s="55">
        <f t="shared" si="278"/>
        <v>0</v>
      </c>
      <c r="AL113" s="55">
        <f t="shared" si="278"/>
        <v>0</v>
      </c>
      <c r="AM113" s="55">
        <f t="shared" si="278"/>
        <v>0</v>
      </c>
      <c r="AN113" s="55">
        <f t="shared" si="278"/>
        <v>0</v>
      </c>
      <c r="AO113" s="55">
        <f t="shared" si="278"/>
        <v>0</v>
      </c>
      <c r="AP113" s="55">
        <f t="shared" si="278"/>
        <v>0</v>
      </c>
      <c r="AQ113" s="55">
        <f t="shared" si="278"/>
        <v>0</v>
      </c>
      <c r="AR113" s="55">
        <f t="shared" si="278"/>
        <v>0</v>
      </c>
      <c r="AS113" s="55">
        <f t="shared" si="278"/>
        <v>0</v>
      </c>
      <c r="AT113" s="55">
        <f t="shared" si="278"/>
        <v>0</v>
      </c>
      <c r="AU113" s="55">
        <f t="shared" si="278"/>
        <v>0</v>
      </c>
      <c r="AV113" s="55">
        <f t="shared" si="278"/>
        <v>0</v>
      </c>
      <c r="AW113" s="55">
        <f t="shared" si="278"/>
        <v>0</v>
      </c>
      <c r="AX113" s="55">
        <f t="shared" si="278"/>
        <v>0</v>
      </c>
      <c r="AY113" s="55">
        <f t="shared" si="278"/>
        <v>0</v>
      </c>
      <c r="AZ113" s="55">
        <f t="shared" si="278"/>
        <v>0</v>
      </c>
      <c r="BA113" s="55">
        <f t="shared" si="278"/>
        <v>0</v>
      </c>
      <c r="BB113" s="55">
        <f t="shared" si="278"/>
        <v>0</v>
      </c>
      <c r="BC113" s="55">
        <f t="shared" si="278"/>
        <v>0</v>
      </c>
      <c r="BD113" s="55">
        <f t="shared" si="278"/>
        <v>0</v>
      </c>
      <c r="BE113" s="55">
        <f t="shared" si="278"/>
        <v>0</v>
      </c>
      <c r="BF113" s="55">
        <f t="shared" si="278"/>
        <v>0</v>
      </c>
      <c r="BG113" s="55">
        <f t="shared" si="278"/>
        <v>0</v>
      </c>
      <c r="BH113" s="55">
        <f t="shared" si="278"/>
        <v>0</v>
      </c>
      <c r="BI113" s="55">
        <f t="shared" si="278"/>
        <v>0</v>
      </c>
      <c r="BJ113" s="55">
        <f t="shared" si="278"/>
        <v>0</v>
      </c>
      <c r="BK113" s="55">
        <f t="shared" si="278"/>
        <v>0</v>
      </c>
      <c r="BL113" s="55">
        <f t="shared" si="278"/>
        <v>0</v>
      </c>
      <c r="BM113" s="55">
        <f t="shared" si="278"/>
        <v>0</v>
      </c>
      <c r="BN113" s="55">
        <f t="shared" si="278"/>
        <v>0</v>
      </c>
      <c r="BO113" s="55">
        <f t="shared" si="278"/>
        <v>0</v>
      </c>
      <c r="BP113" s="55">
        <f t="shared" ref="BP113:BX113" si="279">BP109/BP85</f>
        <v>0</v>
      </c>
      <c r="BQ113" s="55">
        <f t="shared" si="279"/>
        <v>0</v>
      </c>
      <c r="BR113" s="55">
        <f t="shared" si="279"/>
        <v>0</v>
      </c>
      <c r="BS113" s="55">
        <f t="shared" si="279"/>
        <v>0</v>
      </c>
      <c r="BT113" s="55">
        <f t="shared" si="279"/>
        <v>0</v>
      </c>
      <c r="BU113" s="55">
        <f t="shared" si="279"/>
        <v>0</v>
      </c>
      <c r="BV113" s="55">
        <f t="shared" si="279"/>
        <v>0</v>
      </c>
      <c r="BW113" s="55">
        <f t="shared" si="279"/>
        <v>0</v>
      </c>
      <c r="BX113" s="55">
        <f t="shared" si="279"/>
        <v>0</v>
      </c>
    </row>
    <row r="114" spans="1:76" s="205" customFormat="1" x14ac:dyDescent="0.45">
      <c r="B114" s="30">
        <f>SUM(D114:CY114)</f>
        <v>211014263.99166146</v>
      </c>
      <c r="C114" s="224" t="s">
        <v>71</v>
      </c>
      <c r="D114" s="55">
        <f t="shared" ref="D114:AI114" si="280">D101/D85</f>
        <v>0</v>
      </c>
      <c r="E114" s="55">
        <f t="shared" si="280"/>
        <v>0</v>
      </c>
      <c r="F114" s="55">
        <f t="shared" si="280"/>
        <v>17584521.999305118</v>
      </c>
      <c r="G114" s="55">
        <f t="shared" si="280"/>
        <v>17584521.999305118</v>
      </c>
      <c r="H114" s="55">
        <f t="shared" si="280"/>
        <v>17584521.999305118</v>
      </c>
      <c r="I114" s="55">
        <f t="shared" si="280"/>
        <v>17584521.999305118</v>
      </c>
      <c r="J114" s="55">
        <f t="shared" si="280"/>
        <v>17584521.999305118</v>
      </c>
      <c r="K114" s="55">
        <f t="shared" si="280"/>
        <v>17584521.999305118</v>
      </c>
      <c r="L114" s="55">
        <f t="shared" si="280"/>
        <v>17584521.999305118</v>
      </c>
      <c r="M114" s="55">
        <f t="shared" si="280"/>
        <v>17584521.999305118</v>
      </c>
      <c r="N114" s="55">
        <f t="shared" si="280"/>
        <v>17584521.999305118</v>
      </c>
      <c r="O114" s="55">
        <f t="shared" si="280"/>
        <v>17584521.999305118</v>
      </c>
      <c r="P114" s="55">
        <f t="shared" si="280"/>
        <v>17584521.999305118</v>
      </c>
      <c r="Q114" s="55">
        <f t="shared" si="280"/>
        <v>17584521.999305118</v>
      </c>
      <c r="R114" s="55">
        <f t="shared" si="280"/>
        <v>0</v>
      </c>
      <c r="S114" s="55">
        <f t="shared" si="280"/>
        <v>0</v>
      </c>
      <c r="T114" s="55">
        <f t="shared" si="280"/>
        <v>0</v>
      </c>
      <c r="U114" s="55">
        <f t="shared" si="280"/>
        <v>0</v>
      </c>
      <c r="V114" s="55">
        <f t="shared" si="280"/>
        <v>0</v>
      </c>
      <c r="W114" s="55">
        <f t="shared" si="280"/>
        <v>0</v>
      </c>
      <c r="X114" s="55">
        <f t="shared" si="280"/>
        <v>0</v>
      </c>
      <c r="Y114" s="55">
        <f t="shared" si="280"/>
        <v>0</v>
      </c>
      <c r="Z114" s="55">
        <f t="shared" si="280"/>
        <v>0</v>
      </c>
      <c r="AA114" s="55">
        <f t="shared" si="280"/>
        <v>0</v>
      </c>
      <c r="AB114" s="55">
        <f t="shared" si="280"/>
        <v>0</v>
      </c>
      <c r="AC114" s="55">
        <f t="shared" si="280"/>
        <v>0</v>
      </c>
      <c r="AD114" s="55">
        <f t="shared" si="280"/>
        <v>0</v>
      </c>
      <c r="AE114" s="55">
        <f t="shared" si="280"/>
        <v>0</v>
      </c>
      <c r="AF114" s="55">
        <f t="shared" si="280"/>
        <v>0</v>
      </c>
      <c r="AG114" s="55">
        <f t="shared" si="280"/>
        <v>0</v>
      </c>
      <c r="AH114" s="55">
        <f t="shared" si="280"/>
        <v>0</v>
      </c>
      <c r="AI114" s="55">
        <f t="shared" si="280"/>
        <v>0</v>
      </c>
      <c r="AJ114" s="55">
        <f t="shared" ref="AJ114:BO114" si="281">AJ101/AJ85</f>
        <v>0</v>
      </c>
      <c r="AK114" s="55">
        <f t="shared" si="281"/>
        <v>0</v>
      </c>
      <c r="AL114" s="55">
        <f t="shared" si="281"/>
        <v>0</v>
      </c>
      <c r="AM114" s="55">
        <f t="shared" si="281"/>
        <v>0</v>
      </c>
      <c r="AN114" s="55">
        <f t="shared" si="281"/>
        <v>0</v>
      </c>
      <c r="AO114" s="55">
        <f t="shared" si="281"/>
        <v>0</v>
      </c>
      <c r="AP114" s="55">
        <f t="shared" si="281"/>
        <v>0</v>
      </c>
      <c r="AQ114" s="55">
        <f t="shared" si="281"/>
        <v>0</v>
      </c>
      <c r="AR114" s="55">
        <f t="shared" si="281"/>
        <v>0</v>
      </c>
      <c r="AS114" s="55">
        <f t="shared" si="281"/>
        <v>0</v>
      </c>
      <c r="AT114" s="55">
        <f t="shared" si="281"/>
        <v>0</v>
      </c>
      <c r="AU114" s="55">
        <f t="shared" si="281"/>
        <v>0</v>
      </c>
      <c r="AV114" s="55">
        <f t="shared" si="281"/>
        <v>0</v>
      </c>
      <c r="AW114" s="55">
        <f t="shared" si="281"/>
        <v>0</v>
      </c>
      <c r="AX114" s="55">
        <f t="shared" si="281"/>
        <v>0</v>
      </c>
      <c r="AY114" s="55">
        <f t="shared" si="281"/>
        <v>0</v>
      </c>
      <c r="AZ114" s="55">
        <f t="shared" si="281"/>
        <v>0</v>
      </c>
      <c r="BA114" s="55">
        <f t="shared" si="281"/>
        <v>0</v>
      </c>
      <c r="BB114" s="55">
        <f t="shared" si="281"/>
        <v>0</v>
      </c>
      <c r="BC114" s="55">
        <f t="shared" si="281"/>
        <v>0</v>
      </c>
      <c r="BD114" s="55">
        <f t="shared" si="281"/>
        <v>0</v>
      </c>
      <c r="BE114" s="55">
        <f t="shared" si="281"/>
        <v>0</v>
      </c>
      <c r="BF114" s="55">
        <f t="shared" si="281"/>
        <v>0</v>
      </c>
      <c r="BG114" s="55">
        <f t="shared" si="281"/>
        <v>0</v>
      </c>
      <c r="BH114" s="55">
        <f t="shared" si="281"/>
        <v>0</v>
      </c>
      <c r="BI114" s="55">
        <f t="shared" si="281"/>
        <v>0</v>
      </c>
      <c r="BJ114" s="55">
        <f t="shared" si="281"/>
        <v>0</v>
      </c>
      <c r="BK114" s="55">
        <f t="shared" si="281"/>
        <v>0</v>
      </c>
      <c r="BL114" s="55">
        <f t="shared" si="281"/>
        <v>0</v>
      </c>
      <c r="BM114" s="55">
        <f t="shared" si="281"/>
        <v>0</v>
      </c>
      <c r="BN114" s="55">
        <f t="shared" si="281"/>
        <v>0</v>
      </c>
      <c r="BO114" s="55">
        <f t="shared" si="281"/>
        <v>0</v>
      </c>
      <c r="BP114" s="55">
        <f t="shared" ref="BP114:BX114" si="282">BP101/BP85</f>
        <v>0</v>
      </c>
      <c r="BQ114" s="55">
        <f t="shared" si="282"/>
        <v>0</v>
      </c>
      <c r="BR114" s="55">
        <f t="shared" si="282"/>
        <v>0</v>
      </c>
      <c r="BS114" s="55">
        <f t="shared" si="282"/>
        <v>0</v>
      </c>
      <c r="BT114" s="55">
        <f t="shared" si="282"/>
        <v>0</v>
      </c>
      <c r="BU114" s="55">
        <f t="shared" si="282"/>
        <v>0</v>
      </c>
      <c r="BV114" s="55">
        <f t="shared" si="282"/>
        <v>0</v>
      </c>
      <c r="BW114" s="55">
        <f t="shared" si="282"/>
        <v>0</v>
      </c>
      <c r="BX114" s="55">
        <f t="shared" si="282"/>
        <v>0</v>
      </c>
    </row>
    <row r="115" spans="1:76" s="205" customFormat="1" x14ac:dyDescent="0.45">
      <c r="B115" s="30">
        <f>SUM(D115:CY115)</f>
        <v>110717957.86179158</v>
      </c>
      <c r="C115" s="224" t="s">
        <v>170</v>
      </c>
      <c r="D115" s="55">
        <f t="shared" ref="D115:AI115" si="283">D106/D85</f>
        <v>0</v>
      </c>
      <c r="E115" s="55">
        <f t="shared" si="283"/>
        <v>0</v>
      </c>
      <c r="F115" s="55">
        <f t="shared" si="283"/>
        <v>8896505.2398857046</v>
      </c>
      <c r="G115" s="55">
        <f t="shared" si="283"/>
        <v>8896505.2398857046</v>
      </c>
      <c r="H115" s="55">
        <f t="shared" si="283"/>
        <v>9292494.7382020131</v>
      </c>
      <c r="I115" s="55">
        <f t="shared" si="283"/>
        <v>9292494.7382020149</v>
      </c>
      <c r="J115" s="55">
        <f t="shared" si="283"/>
        <v>9292494.7382020131</v>
      </c>
      <c r="K115" s="55">
        <f t="shared" si="283"/>
        <v>9292494.7382020149</v>
      </c>
      <c r="L115" s="55">
        <f t="shared" si="283"/>
        <v>9292494.7382020131</v>
      </c>
      <c r="M115" s="55">
        <f t="shared" si="283"/>
        <v>9292494.7382020168</v>
      </c>
      <c r="N115" s="55">
        <f t="shared" si="283"/>
        <v>9292494.7382020149</v>
      </c>
      <c r="O115" s="55">
        <f t="shared" si="283"/>
        <v>9292494.7382020168</v>
      </c>
      <c r="P115" s="55">
        <f t="shared" si="283"/>
        <v>9292494.7382020168</v>
      </c>
      <c r="Q115" s="55">
        <f t="shared" si="283"/>
        <v>9292494.7382020168</v>
      </c>
      <c r="R115" s="55">
        <f t="shared" si="283"/>
        <v>0</v>
      </c>
      <c r="S115" s="55">
        <f t="shared" si="283"/>
        <v>0</v>
      </c>
      <c r="T115" s="55">
        <f t="shared" si="283"/>
        <v>0</v>
      </c>
      <c r="U115" s="55">
        <f t="shared" si="283"/>
        <v>0</v>
      </c>
      <c r="V115" s="55">
        <f t="shared" si="283"/>
        <v>0</v>
      </c>
      <c r="W115" s="55">
        <f t="shared" si="283"/>
        <v>0</v>
      </c>
      <c r="X115" s="55">
        <f t="shared" si="283"/>
        <v>0</v>
      </c>
      <c r="Y115" s="55">
        <f t="shared" si="283"/>
        <v>0</v>
      </c>
      <c r="Z115" s="55">
        <f t="shared" si="283"/>
        <v>0</v>
      </c>
      <c r="AA115" s="55">
        <f t="shared" si="283"/>
        <v>0</v>
      </c>
      <c r="AB115" s="55">
        <f t="shared" si="283"/>
        <v>0</v>
      </c>
      <c r="AC115" s="55">
        <f t="shared" si="283"/>
        <v>0</v>
      </c>
      <c r="AD115" s="55">
        <f t="shared" si="283"/>
        <v>0</v>
      </c>
      <c r="AE115" s="55">
        <f t="shared" si="283"/>
        <v>0</v>
      </c>
      <c r="AF115" s="55">
        <f t="shared" si="283"/>
        <v>0</v>
      </c>
      <c r="AG115" s="55">
        <f t="shared" si="283"/>
        <v>0</v>
      </c>
      <c r="AH115" s="55">
        <f t="shared" si="283"/>
        <v>0</v>
      </c>
      <c r="AI115" s="55">
        <f t="shared" si="283"/>
        <v>0</v>
      </c>
      <c r="AJ115" s="55">
        <f t="shared" ref="AJ115:BO115" si="284">AJ106/AJ85</f>
        <v>0</v>
      </c>
      <c r="AK115" s="55">
        <f t="shared" si="284"/>
        <v>0</v>
      </c>
      <c r="AL115" s="55">
        <f t="shared" si="284"/>
        <v>0</v>
      </c>
      <c r="AM115" s="55">
        <f t="shared" si="284"/>
        <v>0</v>
      </c>
      <c r="AN115" s="55">
        <f t="shared" si="284"/>
        <v>0</v>
      </c>
      <c r="AO115" s="55">
        <f t="shared" si="284"/>
        <v>0</v>
      </c>
      <c r="AP115" s="55">
        <f t="shared" si="284"/>
        <v>0</v>
      </c>
      <c r="AQ115" s="55">
        <f t="shared" si="284"/>
        <v>0</v>
      </c>
      <c r="AR115" s="55">
        <f t="shared" si="284"/>
        <v>0</v>
      </c>
      <c r="AS115" s="55">
        <f t="shared" si="284"/>
        <v>0</v>
      </c>
      <c r="AT115" s="55">
        <f t="shared" si="284"/>
        <v>0</v>
      </c>
      <c r="AU115" s="55">
        <f t="shared" si="284"/>
        <v>0</v>
      </c>
      <c r="AV115" s="55">
        <f t="shared" si="284"/>
        <v>0</v>
      </c>
      <c r="AW115" s="55">
        <f t="shared" si="284"/>
        <v>0</v>
      </c>
      <c r="AX115" s="55">
        <f t="shared" si="284"/>
        <v>0</v>
      </c>
      <c r="AY115" s="55">
        <f t="shared" si="284"/>
        <v>0</v>
      </c>
      <c r="AZ115" s="55">
        <f t="shared" si="284"/>
        <v>0</v>
      </c>
      <c r="BA115" s="55">
        <f t="shared" si="284"/>
        <v>0</v>
      </c>
      <c r="BB115" s="55">
        <f t="shared" si="284"/>
        <v>0</v>
      </c>
      <c r="BC115" s="55">
        <f t="shared" si="284"/>
        <v>0</v>
      </c>
      <c r="BD115" s="55">
        <f t="shared" si="284"/>
        <v>0</v>
      </c>
      <c r="BE115" s="55">
        <f t="shared" si="284"/>
        <v>0</v>
      </c>
      <c r="BF115" s="55">
        <f t="shared" si="284"/>
        <v>0</v>
      </c>
      <c r="BG115" s="55">
        <f t="shared" si="284"/>
        <v>0</v>
      </c>
      <c r="BH115" s="55">
        <f t="shared" si="284"/>
        <v>0</v>
      </c>
      <c r="BI115" s="55">
        <f t="shared" si="284"/>
        <v>0</v>
      </c>
      <c r="BJ115" s="55">
        <f t="shared" si="284"/>
        <v>0</v>
      </c>
      <c r="BK115" s="55">
        <f t="shared" si="284"/>
        <v>0</v>
      </c>
      <c r="BL115" s="55">
        <f t="shared" si="284"/>
        <v>0</v>
      </c>
      <c r="BM115" s="55">
        <f t="shared" si="284"/>
        <v>0</v>
      </c>
      <c r="BN115" s="55">
        <f t="shared" si="284"/>
        <v>0</v>
      </c>
      <c r="BO115" s="55">
        <f t="shared" si="284"/>
        <v>0</v>
      </c>
      <c r="BP115" s="55">
        <f t="shared" ref="BP115:BX115" si="285">BP106/BP85</f>
        <v>0</v>
      </c>
      <c r="BQ115" s="55">
        <f t="shared" si="285"/>
        <v>0</v>
      </c>
      <c r="BR115" s="55">
        <f t="shared" si="285"/>
        <v>0</v>
      </c>
      <c r="BS115" s="55">
        <f t="shared" si="285"/>
        <v>0</v>
      </c>
      <c r="BT115" s="55">
        <f t="shared" si="285"/>
        <v>0</v>
      </c>
      <c r="BU115" s="55">
        <f t="shared" si="285"/>
        <v>0</v>
      </c>
      <c r="BV115" s="55">
        <f t="shared" si="285"/>
        <v>0</v>
      </c>
      <c r="BW115" s="55">
        <f t="shared" si="285"/>
        <v>0</v>
      </c>
      <c r="BX115" s="55">
        <f t="shared" si="285"/>
        <v>0</v>
      </c>
    </row>
    <row r="116" spans="1:76" x14ac:dyDescent="0.45">
      <c r="B116" s="52"/>
      <c r="C116" s="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</row>
    <row r="117" spans="1:76" x14ac:dyDescent="0.45">
      <c r="B117" s="52"/>
      <c r="C117" s="13" t="s">
        <v>45</v>
      </c>
      <c r="D117" s="54"/>
      <c r="E117" s="54"/>
      <c r="F117" s="54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4"/>
    </row>
    <row r="118" spans="1:76" s="205" customFormat="1" x14ac:dyDescent="0.45">
      <c r="B118" s="30">
        <f>SUM(D118:CY118)</f>
        <v>482921746.24945152</v>
      </c>
      <c r="C118" s="224" t="s">
        <v>130</v>
      </c>
      <c r="D118" s="55">
        <f t="shared" ref="D118:AI118" si="286">D109/D86</f>
        <v>255926271.05385685</v>
      </c>
      <c r="E118" s="55">
        <f t="shared" si="286"/>
        <v>226995475.1955947</v>
      </c>
      <c r="F118" s="55">
        <f t="shared" si="286"/>
        <v>0</v>
      </c>
      <c r="G118" s="55">
        <f t="shared" si="286"/>
        <v>0</v>
      </c>
      <c r="H118" s="55">
        <f t="shared" si="286"/>
        <v>0</v>
      </c>
      <c r="I118" s="55">
        <f t="shared" si="286"/>
        <v>0</v>
      </c>
      <c r="J118" s="55">
        <f t="shared" si="286"/>
        <v>0</v>
      </c>
      <c r="K118" s="55">
        <f t="shared" si="286"/>
        <v>0</v>
      </c>
      <c r="L118" s="55">
        <f t="shared" si="286"/>
        <v>0</v>
      </c>
      <c r="M118" s="55">
        <f t="shared" si="286"/>
        <v>0</v>
      </c>
      <c r="N118" s="55">
        <f t="shared" si="286"/>
        <v>0</v>
      </c>
      <c r="O118" s="55">
        <f t="shared" si="286"/>
        <v>0</v>
      </c>
      <c r="P118" s="55">
        <f t="shared" si="286"/>
        <v>0</v>
      </c>
      <c r="Q118" s="55">
        <f t="shared" si="286"/>
        <v>0</v>
      </c>
      <c r="R118" s="55">
        <f t="shared" si="286"/>
        <v>0</v>
      </c>
      <c r="S118" s="55">
        <f t="shared" si="286"/>
        <v>0</v>
      </c>
      <c r="T118" s="55">
        <f t="shared" si="286"/>
        <v>0</v>
      </c>
      <c r="U118" s="55">
        <f t="shared" si="286"/>
        <v>0</v>
      </c>
      <c r="V118" s="55">
        <f t="shared" si="286"/>
        <v>0</v>
      </c>
      <c r="W118" s="55">
        <f t="shared" si="286"/>
        <v>0</v>
      </c>
      <c r="X118" s="55">
        <f t="shared" si="286"/>
        <v>0</v>
      </c>
      <c r="Y118" s="55">
        <f t="shared" si="286"/>
        <v>0</v>
      </c>
      <c r="Z118" s="55">
        <f t="shared" si="286"/>
        <v>0</v>
      </c>
      <c r="AA118" s="55">
        <f t="shared" si="286"/>
        <v>0</v>
      </c>
      <c r="AB118" s="55">
        <f t="shared" si="286"/>
        <v>0</v>
      </c>
      <c r="AC118" s="55">
        <f t="shared" si="286"/>
        <v>0</v>
      </c>
      <c r="AD118" s="55">
        <f t="shared" si="286"/>
        <v>0</v>
      </c>
      <c r="AE118" s="55">
        <f t="shared" si="286"/>
        <v>0</v>
      </c>
      <c r="AF118" s="55">
        <f t="shared" si="286"/>
        <v>0</v>
      </c>
      <c r="AG118" s="55">
        <f t="shared" si="286"/>
        <v>0</v>
      </c>
      <c r="AH118" s="55">
        <f t="shared" si="286"/>
        <v>0</v>
      </c>
      <c r="AI118" s="55">
        <f t="shared" si="286"/>
        <v>0</v>
      </c>
      <c r="AJ118" s="55">
        <f t="shared" ref="AJ118:BO118" si="287">AJ109/AJ86</f>
        <v>0</v>
      </c>
      <c r="AK118" s="55">
        <f t="shared" si="287"/>
        <v>0</v>
      </c>
      <c r="AL118" s="55">
        <f t="shared" si="287"/>
        <v>0</v>
      </c>
      <c r="AM118" s="55">
        <f t="shared" si="287"/>
        <v>0</v>
      </c>
      <c r="AN118" s="55">
        <f t="shared" si="287"/>
        <v>0</v>
      </c>
      <c r="AO118" s="55">
        <f t="shared" si="287"/>
        <v>0</v>
      </c>
      <c r="AP118" s="55">
        <f t="shared" si="287"/>
        <v>0</v>
      </c>
      <c r="AQ118" s="55">
        <f t="shared" si="287"/>
        <v>0</v>
      </c>
      <c r="AR118" s="55">
        <f t="shared" si="287"/>
        <v>0</v>
      </c>
      <c r="AS118" s="55">
        <f t="shared" si="287"/>
        <v>0</v>
      </c>
      <c r="AT118" s="55">
        <f t="shared" si="287"/>
        <v>0</v>
      </c>
      <c r="AU118" s="55">
        <f t="shared" si="287"/>
        <v>0</v>
      </c>
      <c r="AV118" s="55">
        <f t="shared" si="287"/>
        <v>0</v>
      </c>
      <c r="AW118" s="55">
        <f t="shared" si="287"/>
        <v>0</v>
      </c>
      <c r="AX118" s="55">
        <f t="shared" si="287"/>
        <v>0</v>
      </c>
      <c r="AY118" s="55">
        <f t="shared" si="287"/>
        <v>0</v>
      </c>
      <c r="AZ118" s="55">
        <f t="shared" si="287"/>
        <v>0</v>
      </c>
      <c r="BA118" s="55">
        <f t="shared" si="287"/>
        <v>0</v>
      </c>
      <c r="BB118" s="55">
        <f t="shared" si="287"/>
        <v>0</v>
      </c>
      <c r="BC118" s="55">
        <f t="shared" si="287"/>
        <v>0</v>
      </c>
      <c r="BD118" s="55">
        <f t="shared" si="287"/>
        <v>0</v>
      </c>
      <c r="BE118" s="55">
        <f t="shared" si="287"/>
        <v>0</v>
      </c>
      <c r="BF118" s="55">
        <f t="shared" si="287"/>
        <v>0</v>
      </c>
      <c r="BG118" s="55">
        <f t="shared" si="287"/>
        <v>0</v>
      </c>
      <c r="BH118" s="55">
        <f t="shared" si="287"/>
        <v>0</v>
      </c>
      <c r="BI118" s="55">
        <f t="shared" si="287"/>
        <v>0</v>
      </c>
      <c r="BJ118" s="55">
        <f t="shared" si="287"/>
        <v>0</v>
      </c>
      <c r="BK118" s="55">
        <f t="shared" si="287"/>
        <v>0</v>
      </c>
      <c r="BL118" s="55">
        <f t="shared" si="287"/>
        <v>0</v>
      </c>
      <c r="BM118" s="55">
        <f t="shared" si="287"/>
        <v>0</v>
      </c>
      <c r="BN118" s="55">
        <f t="shared" si="287"/>
        <v>0</v>
      </c>
      <c r="BO118" s="55">
        <f t="shared" si="287"/>
        <v>0</v>
      </c>
      <c r="BP118" s="55">
        <f t="shared" ref="BP118:BX118" si="288">BP109/BP86</f>
        <v>0</v>
      </c>
      <c r="BQ118" s="55">
        <f t="shared" si="288"/>
        <v>0</v>
      </c>
      <c r="BR118" s="55">
        <f t="shared" si="288"/>
        <v>0</v>
      </c>
      <c r="BS118" s="55">
        <f t="shared" si="288"/>
        <v>0</v>
      </c>
      <c r="BT118" s="55">
        <f t="shared" si="288"/>
        <v>0</v>
      </c>
      <c r="BU118" s="55">
        <f t="shared" si="288"/>
        <v>0</v>
      </c>
      <c r="BV118" s="55">
        <f t="shared" si="288"/>
        <v>0</v>
      </c>
      <c r="BW118" s="55">
        <f t="shared" si="288"/>
        <v>0</v>
      </c>
      <c r="BX118" s="55">
        <f t="shared" si="288"/>
        <v>0</v>
      </c>
    </row>
    <row r="119" spans="1:76" s="205" customFormat="1" x14ac:dyDescent="0.45">
      <c r="B119" s="30">
        <f>SUM(D119:CY119)</f>
        <v>198150898.31410858</v>
      </c>
      <c r="C119" s="224" t="s">
        <v>131</v>
      </c>
      <c r="D119" s="55">
        <f t="shared" ref="D119:AI119" si="289">D101/D86</f>
        <v>0</v>
      </c>
      <c r="E119" s="55">
        <f t="shared" si="289"/>
        <v>0</v>
      </c>
      <c r="F119" s="55">
        <f t="shared" si="289"/>
        <v>29359033.67877024</v>
      </c>
      <c r="G119" s="55">
        <f t="shared" si="289"/>
        <v>26040186.393344037</v>
      </c>
      <c r="H119" s="55">
        <f t="shared" si="289"/>
        <v>23096513.148879059</v>
      </c>
      <c r="I119" s="55">
        <f t="shared" si="289"/>
        <v>20485602.966831863</v>
      </c>
      <c r="J119" s="55">
        <f t="shared" si="289"/>
        <v>18169839.153190002</v>
      </c>
      <c r="K119" s="55">
        <f t="shared" si="289"/>
        <v>16115857.335872874</v>
      </c>
      <c r="L119" s="55">
        <f t="shared" si="289"/>
        <v>14294064.767469857</v>
      </c>
      <c r="M119" s="55">
        <f t="shared" si="289"/>
        <v>12678213.967668913</v>
      </c>
      <c r="N119" s="55">
        <f t="shared" si="289"/>
        <v>11245024.562628081</v>
      </c>
      <c r="O119" s="55">
        <f t="shared" si="289"/>
        <v>9973847.8729396909</v>
      </c>
      <c r="P119" s="55">
        <f t="shared" si="289"/>
        <v>8846369.4177378137</v>
      </c>
      <c r="Q119" s="55">
        <f t="shared" si="289"/>
        <v>7846345.0487761479</v>
      </c>
      <c r="R119" s="55">
        <f t="shared" si="289"/>
        <v>0</v>
      </c>
      <c r="S119" s="55">
        <f t="shared" si="289"/>
        <v>0</v>
      </c>
      <c r="T119" s="55">
        <f t="shared" si="289"/>
        <v>0</v>
      </c>
      <c r="U119" s="55">
        <f t="shared" si="289"/>
        <v>0</v>
      </c>
      <c r="V119" s="55">
        <f t="shared" si="289"/>
        <v>0</v>
      </c>
      <c r="W119" s="55">
        <f t="shared" si="289"/>
        <v>0</v>
      </c>
      <c r="X119" s="55">
        <f t="shared" si="289"/>
        <v>0</v>
      </c>
      <c r="Y119" s="55">
        <f t="shared" si="289"/>
        <v>0</v>
      </c>
      <c r="Z119" s="55">
        <f t="shared" si="289"/>
        <v>0</v>
      </c>
      <c r="AA119" s="55">
        <f t="shared" si="289"/>
        <v>0</v>
      </c>
      <c r="AB119" s="55">
        <f t="shared" si="289"/>
        <v>0</v>
      </c>
      <c r="AC119" s="55">
        <f t="shared" si="289"/>
        <v>0</v>
      </c>
      <c r="AD119" s="55">
        <f t="shared" si="289"/>
        <v>0</v>
      </c>
      <c r="AE119" s="55">
        <f t="shared" si="289"/>
        <v>0</v>
      </c>
      <c r="AF119" s="55">
        <f t="shared" si="289"/>
        <v>0</v>
      </c>
      <c r="AG119" s="55">
        <f t="shared" si="289"/>
        <v>0</v>
      </c>
      <c r="AH119" s="55">
        <f t="shared" si="289"/>
        <v>0</v>
      </c>
      <c r="AI119" s="55">
        <f t="shared" si="289"/>
        <v>0</v>
      </c>
      <c r="AJ119" s="55">
        <f t="shared" ref="AJ119:BO119" si="290">AJ101/AJ86</f>
        <v>0</v>
      </c>
      <c r="AK119" s="55">
        <f t="shared" si="290"/>
        <v>0</v>
      </c>
      <c r="AL119" s="55">
        <f t="shared" si="290"/>
        <v>0</v>
      </c>
      <c r="AM119" s="55">
        <f t="shared" si="290"/>
        <v>0</v>
      </c>
      <c r="AN119" s="55">
        <f t="shared" si="290"/>
        <v>0</v>
      </c>
      <c r="AO119" s="55">
        <f t="shared" si="290"/>
        <v>0</v>
      </c>
      <c r="AP119" s="55">
        <f t="shared" si="290"/>
        <v>0</v>
      </c>
      <c r="AQ119" s="55">
        <f t="shared" si="290"/>
        <v>0</v>
      </c>
      <c r="AR119" s="55">
        <f t="shared" si="290"/>
        <v>0</v>
      </c>
      <c r="AS119" s="55">
        <f t="shared" si="290"/>
        <v>0</v>
      </c>
      <c r="AT119" s="55">
        <f t="shared" si="290"/>
        <v>0</v>
      </c>
      <c r="AU119" s="55">
        <f t="shared" si="290"/>
        <v>0</v>
      </c>
      <c r="AV119" s="55">
        <f t="shared" si="290"/>
        <v>0</v>
      </c>
      <c r="AW119" s="55">
        <f t="shared" si="290"/>
        <v>0</v>
      </c>
      <c r="AX119" s="55">
        <f t="shared" si="290"/>
        <v>0</v>
      </c>
      <c r="AY119" s="55">
        <f t="shared" si="290"/>
        <v>0</v>
      </c>
      <c r="AZ119" s="55">
        <f t="shared" si="290"/>
        <v>0</v>
      </c>
      <c r="BA119" s="55">
        <f t="shared" si="290"/>
        <v>0</v>
      </c>
      <c r="BB119" s="55">
        <f t="shared" si="290"/>
        <v>0</v>
      </c>
      <c r="BC119" s="55">
        <f t="shared" si="290"/>
        <v>0</v>
      </c>
      <c r="BD119" s="55">
        <f t="shared" si="290"/>
        <v>0</v>
      </c>
      <c r="BE119" s="55">
        <f t="shared" si="290"/>
        <v>0</v>
      </c>
      <c r="BF119" s="55">
        <f t="shared" si="290"/>
        <v>0</v>
      </c>
      <c r="BG119" s="55">
        <f t="shared" si="290"/>
        <v>0</v>
      </c>
      <c r="BH119" s="55">
        <f t="shared" si="290"/>
        <v>0</v>
      </c>
      <c r="BI119" s="55">
        <f t="shared" si="290"/>
        <v>0</v>
      </c>
      <c r="BJ119" s="55">
        <f t="shared" si="290"/>
        <v>0</v>
      </c>
      <c r="BK119" s="55">
        <f t="shared" si="290"/>
        <v>0</v>
      </c>
      <c r="BL119" s="55">
        <f t="shared" si="290"/>
        <v>0</v>
      </c>
      <c r="BM119" s="55">
        <f t="shared" si="290"/>
        <v>0</v>
      </c>
      <c r="BN119" s="55">
        <f t="shared" si="290"/>
        <v>0</v>
      </c>
      <c r="BO119" s="55">
        <f t="shared" si="290"/>
        <v>0</v>
      </c>
      <c r="BP119" s="55">
        <f t="shared" ref="BP119:BX119" si="291">BP101/BP86</f>
        <v>0</v>
      </c>
      <c r="BQ119" s="55">
        <f t="shared" si="291"/>
        <v>0</v>
      </c>
      <c r="BR119" s="55">
        <f t="shared" si="291"/>
        <v>0</v>
      </c>
      <c r="BS119" s="55">
        <f t="shared" si="291"/>
        <v>0</v>
      </c>
      <c r="BT119" s="55">
        <f t="shared" si="291"/>
        <v>0</v>
      </c>
      <c r="BU119" s="55">
        <f t="shared" si="291"/>
        <v>0</v>
      </c>
      <c r="BV119" s="55">
        <f t="shared" si="291"/>
        <v>0</v>
      </c>
      <c r="BW119" s="55">
        <f t="shared" si="291"/>
        <v>0</v>
      </c>
      <c r="BX119" s="55">
        <f t="shared" si="291"/>
        <v>0</v>
      </c>
    </row>
    <row r="120" spans="1:76" s="205" customFormat="1" x14ac:dyDescent="0.45">
      <c r="B120" s="30">
        <f>SUM(D120:CY120)</f>
        <v>103464778.32393061</v>
      </c>
      <c r="C120" s="224" t="s">
        <v>132</v>
      </c>
      <c r="D120" s="55">
        <f t="shared" ref="D120:AI120" si="292">D106/D86</f>
        <v>0</v>
      </c>
      <c r="E120" s="55">
        <f t="shared" si="292"/>
        <v>0</v>
      </c>
      <c r="F120" s="55">
        <f t="shared" si="292"/>
        <v>14853562.523421552</v>
      </c>
      <c r="G120" s="55">
        <f t="shared" si="292"/>
        <v>13174464.151208682</v>
      </c>
      <c r="H120" s="55">
        <f t="shared" si="292"/>
        <v>12205292.069653843</v>
      </c>
      <c r="I120" s="55">
        <f t="shared" si="292"/>
        <v>10825563.400910364</v>
      </c>
      <c r="J120" s="55">
        <f t="shared" si="292"/>
        <v>9601804.0599378906</v>
      </c>
      <c r="K120" s="55">
        <f t="shared" si="292"/>
        <v>8516382.731423175</v>
      </c>
      <c r="L120" s="55">
        <f t="shared" si="292"/>
        <v>7553661.205262295</v>
      </c>
      <c r="M120" s="55">
        <f t="shared" si="292"/>
        <v>6699769.0690152533</v>
      </c>
      <c r="N120" s="55">
        <f t="shared" si="292"/>
        <v>5942403.8699091813</v>
      </c>
      <c r="O120" s="55">
        <f t="shared" si="292"/>
        <v>5270653.8672237974</v>
      </c>
      <c r="P120" s="55">
        <f t="shared" si="292"/>
        <v>4674840.8213637164</v>
      </c>
      <c r="Q120" s="55">
        <f t="shared" si="292"/>
        <v>4146380.5546008614</v>
      </c>
      <c r="R120" s="55">
        <f t="shared" si="292"/>
        <v>0</v>
      </c>
      <c r="S120" s="55">
        <f t="shared" si="292"/>
        <v>0</v>
      </c>
      <c r="T120" s="55">
        <f t="shared" si="292"/>
        <v>0</v>
      </c>
      <c r="U120" s="55">
        <f t="shared" si="292"/>
        <v>0</v>
      </c>
      <c r="V120" s="55">
        <f t="shared" si="292"/>
        <v>0</v>
      </c>
      <c r="W120" s="55">
        <f t="shared" si="292"/>
        <v>0</v>
      </c>
      <c r="X120" s="55">
        <f t="shared" si="292"/>
        <v>0</v>
      </c>
      <c r="Y120" s="55">
        <f t="shared" si="292"/>
        <v>0</v>
      </c>
      <c r="Z120" s="55">
        <f t="shared" si="292"/>
        <v>0</v>
      </c>
      <c r="AA120" s="55">
        <f t="shared" si="292"/>
        <v>0</v>
      </c>
      <c r="AB120" s="55">
        <f t="shared" si="292"/>
        <v>0</v>
      </c>
      <c r="AC120" s="55">
        <f t="shared" si="292"/>
        <v>0</v>
      </c>
      <c r="AD120" s="55">
        <f t="shared" si="292"/>
        <v>0</v>
      </c>
      <c r="AE120" s="55">
        <f t="shared" si="292"/>
        <v>0</v>
      </c>
      <c r="AF120" s="55">
        <f t="shared" si="292"/>
        <v>0</v>
      </c>
      <c r="AG120" s="55">
        <f t="shared" si="292"/>
        <v>0</v>
      </c>
      <c r="AH120" s="55">
        <f t="shared" si="292"/>
        <v>0</v>
      </c>
      <c r="AI120" s="55">
        <f t="shared" si="292"/>
        <v>0</v>
      </c>
      <c r="AJ120" s="55">
        <f t="shared" ref="AJ120:BO120" si="293">AJ106/AJ86</f>
        <v>0</v>
      </c>
      <c r="AK120" s="55">
        <f t="shared" si="293"/>
        <v>0</v>
      </c>
      <c r="AL120" s="55">
        <f t="shared" si="293"/>
        <v>0</v>
      </c>
      <c r="AM120" s="55">
        <f t="shared" si="293"/>
        <v>0</v>
      </c>
      <c r="AN120" s="55">
        <f t="shared" si="293"/>
        <v>0</v>
      </c>
      <c r="AO120" s="55">
        <f t="shared" si="293"/>
        <v>0</v>
      </c>
      <c r="AP120" s="55">
        <f t="shared" si="293"/>
        <v>0</v>
      </c>
      <c r="AQ120" s="55">
        <f t="shared" si="293"/>
        <v>0</v>
      </c>
      <c r="AR120" s="55">
        <f t="shared" si="293"/>
        <v>0</v>
      </c>
      <c r="AS120" s="55">
        <f t="shared" si="293"/>
        <v>0</v>
      </c>
      <c r="AT120" s="55">
        <f t="shared" si="293"/>
        <v>0</v>
      </c>
      <c r="AU120" s="55">
        <f t="shared" si="293"/>
        <v>0</v>
      </c>
      <c r="AV120" s="55">
        <f t="shared" si="293"/>
        <v>0</v>
      </c>
      <c r="AW120" s="55">
        <f t="shared" si="293"/>
        <v>0</v>
      </c>
      <c r="AX120" s="55">
        <f t="shared" si="293"/>
        <v>0</v>
      </c>
      <c r="AY120" s="55">
        <f t="shared" si="293"/>
        <v>0</v>
      </c>
      <c r="AZ120" s="55">
        <f t="shared" si="293"/>
        <v>0</v>
      </c>
      <c r="BA120" s="55">
        <f t="shared" si="293"/>
        <v>0</v>
      </c>
      <c r="BB120" s="55">
        <f t="shared" si="293"/>
        <v>0</v>
      </c>
      <c r="BC120" s="55">
        <f t="shared" si="293"/>
        <v>0</v>
      </c>
      <c r="BD120" s="55">
        <f t="shared" si="293"/>
        <v>0</v>
      </c>
      <c r="BE120" s="55">
        <f t="shared" si="293"/>
        <v>0</v>
      </c>
      <c r="BF120" s="55">
        <f t="shared" si="293"/>
        <v>0</v>
      </c>
      <c r="BG120" s="55">
        <f t="shared" si="293"/>
        <v>0</v>
      </c>
      <c r="BH120" s="55">
        <f t="shared" si="293"/>
        <v>0</v>
      </c>
      <c r="BI120" s="55">
        <f t="shared" si="293"/>
        <v>0</v>
      </c>
      <c r="BJ120" s="55">
        <f t="shared" si="293"/>
        <v>0</v>
      </c>
      <c r="BK120" s="55">
        <f t="shared" si="293"/>
        <v>0</v>
      </c>
      <c r="BL120" s="55">
        <f t="shared" si="293"/>
        <v>0</v>
      </c>
      <c r="BM120" s="55">
        <f t="shared" si="293"/>
        <v>0</v>
      </c>
      <c r="BN120" s="55">
        <f t="shared" si="293"/>
        <v>0</v>
      </c>
      <c r="BO120" s="55">
        <f t="shared" si="293"/>
        <v>0</v>
      </c>
      <c r="BP120" s="55">
        <f t="shared" ref="BP120:BX120" si="294">BP106/BP86</f>
        <v>0</v>
      </c>
      <c r="BQ120" s="55">
        <f t="shared" si="294"/>
        <v>0</v>
      </c>
      <c r="BR120" s="55">
        <f t="shared" si="294"/>
        <v>0</v>
      </c>
      <c r="BS120" s="55">
        <f t="shared" si="294"/>
        <v>0</v>
      </c>
      <c r="BT120" s="55">
        <f t="shared" si="294"/>
        <v>0</v>
      </c>
      <c r="BU120" s="55">
        <f t="shared" si="294"/>
        <v>0</v>
      </c>
      <c r="BV120" s="55">
        <f t="shared" si="294"/>
        <v>0</v>
      </c>
      <c r="BW120" s="55">
        <f t="shared" si="294"/>
        <v>0</v>
      </c>
      <c r="BX120" s="55">
        <f t="shared" si="294"/>
        <v>0</v>
      </c>
    </row>
    <row r="121" spans="1:76" x14ac:dyDescent="0.45">
      <c r="B121" s="52"/>
      <c r="C121" s="48"/>
      <c r="D121" s="54"/>
      <c r="E121" s="54"/>
      <c r="F121" s="54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4"/>
    </row>
    <row r="122" spans="1:76" x14ac:dyDescent="0.45">
      <c r="B122" s="21"/>
      <c r="C122" s="13" t="s">
        <v>40</v>
      </c>
      <c r="D122" s="21"/>
      <c r="E122" s="21"/>
      <c r="F122" s="21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21"/>
    </row>
    <row r="123" spans="1:76" s="205" customFormat="1" x14ac:dyDescent="0.45">
      <c r="B123" s="30">
        <f>SUM(D123:CY123)</f>
        <v>516971067.52879071</v>
      </c>
      <c r="C123" s="224" t="s">
        <v>133</v>
      </c>
      <c r="D123" s="10">
        <f t="shared" ref="D123:AI123" si="295">D109</f>
        <v>255926271.05385685</v>
      </c>
      <c r="E123" s="10">
        <f t="shared" si="295"/>
        <v>261044796.47493389</v>
      </c>
      <c r="F123" s="10">
        <f t="shared" si="295"/>
        <v>0</v>
      </c>
      <c r="G123" s="10">
        <f t="shared" si="295"/>
        <v>0</v>
      </c>
      <c r="H123" s="10">
        <f t="shared" si="295"/>
        <v>0</v>
      </c>
      <c r="I123" s="10">
        <f t="shared" si="295"/>
        <v>0</v>
      </c>
      <c r="J123" s="10">
        <f t="shared" si="295"/>
        <v>0</v>
      </c>
      <c r="K123" s="10">
        <f t="shared" si="295"/>
        <v>0</v>
      </c>
      <c r="L123" s="10">
        <f t="shared" si="295"/>
        <v>0</v>
      </c>
      <c r="M123" s="10">
        <f t="shared" si="295"/>
        <v>0</v>
      </c>
      <c r="N123" s="10">
        <f t="shared" si="295"/>
        <v>0</v>
      </c>
      <c r="O123" s="10">
        <f t="shared" si="295"/>
        <v>0</v>
      </c>
      <c r="P123" s="10">
        <f t="shared" si="295"/>
        <v>0</v>
      </c>
      <c r="Q123" s="10">
        <f t="shared" si="295"/>
        <v>0</v>
      </c>
      <c r="R123" s="10">
        <f t="shared" si="295"/>
        <v>0</v>
      </c>
      <c r="S123" s="10">
        <f t="shared" si="295"/>
        <v>0</v>
      </c>
      <c r="T123" s="10">
        <f t="shared" si="295"/>
        <v>0</v>
      </c>
      <c r="U123" s="10">
        <f t="shared" si="295"/>
        <v>0</v>
      </c>
      <c r="V123" s="10">
        <f t="shared" si="295"/>
        <v>0</v>
      </c>
      <c r="W123" s="10">
        <f t="shared" si="295"/>
        <v>0</v>
      </c>
      <c r="X123" s="10">
        <f t="shared" si="295"/>
        <v>0</v>
      </c>
      <c r="Y123" s="10">
        <f t="shared" si="295"/>
        <v>0</v>
      </c>
      <c r="Z123" s="10">
        <f t="shared" si="295"/>
        <v>0</v>
      </c>
      <c r="AA123" s="10">
        <f t="shared" si="295"/>
        <v>0</v>
      </c>
      <c r="AB123" s="10">
        <f t="shared" si="295"/>
        <v>0</v>
      </c>
      <c r="AC123" s="10">
        <f t="shared" si="295"/>
        <v>0</v>
      </c>
      <c r="AD123" s="10">
        <f t="shared" si="295"/>
        <v>0</v>
      </c>
      <c r="AE123" s="10">
        <f t="shared" si="295"/>
        <v>0</v>
      </c>
      <c r="AF123" s="10">
        <f t="shared" si="295"/>
        <v>0</v>
      </c>
      <c r="AG123" s="10">
        <f t="shared" si="295"/>
        <v>0</v>
      </c>
      <c r="AH123" s="10">
        <f t="shared" si="295"/>
        <v>0</v>
      </c>
      <c r="AI123" s="10">
        <f t="shared" si="295"/>
        <v>0</v>
      </c>
      <c r="AJ123" s="10">
        <f t="shared" ref="AJ123:BO123" si="296">AJ109</f>
        <v>0</v>
      </c>
      <c r="AK123" s="10">
        <f t="shared" si="296"/>
        <v>0</v>
      </c>
      <c r="AL123" s="10">
        <f t="shared" si="296"/>
        <v>0</v>
      </c>
      <c r="AM123" s="10">
        <f t="shared" si="296"/>
        <v>0</v>
      </c>
      <c r="AN123" s="10">
        <f t="shared" si="296"/>
        <v>0</v>
      </c>
      <c r="AO123" s="10">
        <f t="shared" si="296"/>
        <v>0</v>
      </c>
      <c r="AP123" s="10">
        <f t="shared" si="296"/>
        <v>0</v>
      </c>
      <c r="AQ123" s="10">
        <f t="shared" si="296"/>
        <v>0</v>
      </c>
      <c r="AR123" s="10">
        <f t="shared" si="296"/>
        <v>0</v>
      </c>
      <c r="AS123" s="10">
        <f t="shared" si="296"/>
        <v>0</v>
      </c>
      <c r="AT123" s="10">
        <f t="shared" si="296"/>
        <v>0</v>
      </c>
      <c r="AU123" s="10">
        <f t="shared" si="296"/>
        <v>0</v>
      </c>
      <c r="AV123" s="10">
        <f t="shared" si="296"/>
        <v>0</v>
      </c>
      <c r="AW123" s="10">
        <f t="shared" si="296"/>
        <v>0</v>
      </c>
      <c r="AX123" s="10">
        <f t="shared" si="296"/>
        <v>0</v>
      </c>
      <c r="AY123" s="10">
        <f t="shared" si="296"/>
        <v>0</v>
      </c>
      <c r="AZ123" s="10">
        <f t="shared" si="296"/>
        <v>0</v>
      </c>
      <c r="BA123" s="10">
        <f t="shared" si="296"/>
        <v>0</v>
      </c>
      <c r="BB123" s="10">
        <f t="shared" si="296"/>
        <v>0</v>
      </c>
      <c r="BC123" s="10">
        <f t="shared" si="296"/>
        <v>0</v>
      </c>
      <c r="BD123" s="10">
        <f t="shared" si="296"/>
        <v>0</v>
      </c>
      <c r="BE123" s="10">
        <f t="shared" si="296"/>
        <v>0</v>
      </c>
      <c r="BF123" s="10">
        <f t="shared" si="296"/>
        <v>0</v>
      </c>
      <c r="BG123" s="10">
        <f t="shared" si="296"/>
        <v>0</v>
      </c>
      <c r="BH123" s="10">
        <f t="shared" si="296"/>
        <v>0</v>
      </c>
      <c r="BI123" s="10">
        <f t="shared" si="296"/>
        <v>0</v>
      </c>
      <c r="BJ123" s="10">
        <f t="shared" si="296"/>
        <v>0</v>
      </c>
      <c r="BK123" s="10">
        <f t="shared" si="296"/>
        <v>0</v>
      </c>
      <c r="BL123" s="10">
        <f t="shared" si="296"/>
        <v>0</v>
      </c>
      <c r="BM123" s="10">
        <f t="shared" si="296"/>
        <v>0</v>
      </c>
      <c r="BN123" s="10">
        <f t="shared" si="296"/>
        <v>0</v>
      </c>
      <c r="BO123" s="10">
        <f t="shared" si="296"/>
        <v>0</v>
      </c>
      <c r="BP123" s="10">
        <f t="shared" ref="BP123:BX123" si="297">BP109</f>
        <v>0</v>
      </c>
      <c r="BQ123" s="10">
        <f t="shared" si="297"/>
        <v>0</v>
      </c>
      <c r="BR123" s="10">
        <f t="shared" si="297"/>
        <v>0</v>
      </c>
      <c r="BS123" s="10">
        <f t="shared" si="297"/>
        <v>0</v>
      </c>
      <c r="BT123" s="10">
        <f t="shared" si="297"/>
        <v>0</v>
      </c>
      <c r="BU123" s="10">
        <f t="shared" si="297"/>
        <v>0</v>
      </c>
      <c r="BV123" s="10">
        <f t="shared" si="297"/>
        <v>0</v>
      </c>
      <c r="BW123" s="10">
        <f t="shared" si="297"/>
        <v>0</v>
      </c>
      <c r="BX123" s="10">
        <f t="shared" si="297"/>
        <v>0</v>
      </c>
    </row>
    <row r="124" spans="1:76" s="205" customFormat="1" x14ac:dyDescent="0.45">
      <c r="B124" s="225">
        <f>SUM(D124:CY124)</f>
        <v>0.99999999999999989</v>
      </c>
      <c r="C124" s="224" t="s">
        <v>134</v>
      </c>
      <c r="D124" s="225">
        <v>0</v>
      </c>
      <c r="E124" s="225">
        <v>0</v>
      </c>
      <c r="F124" s="225">
        <v>0.2</v>
      </c>
      <c r="G124" s="225">
        <v>0.32</v>
      </c>
      <c r="H124" s="225">
        <v>0.192</v>
      </c>
      <c r="I124" s="225">
        <v>0.1152</v>
      </c>
      <c r="J124" s="225">
        <v>0.1152</v>
      </c>
      <c r="K124" s="225">
        <v>5.7599999999999998E-2</v>
      </c>
      <c r="L124" s="225">
        <v>0</v>
      </c>
      <c r="M124" s="225">
        <v>0</v>
      </c>
      <c r="N124" s="225">
        <v>0</v>
      </c>
      <c r="O124" s="225">
        <v>0</v>
      </c>
      <c r="P124" s="225">
        <v>0</v>
      </c>
      <c r="Q124" s="225">
        <v>0</v>
      </c>
      <c r="R124" s="225">
        <v>0</v>
      </c>
      <c r="S124" s="225">
        <v>0</v>
      </c>
      <c r="T124" s="225">
        <v>0</v>
      </c>
      <c r="U124" s="225">
        <v>0</v>
      </c>
      <c r="V124" s="225">
        <v>0</v>
      </c>
      <c r="W124" s="225">
        <v>0</v>
      </c>
      <c r="X124" s="225">
        <v>0</v>
      </c>
      <c r="Y124" s="225">
        <v>0</v>
      </c>
      <c r="Z124" s="225">
        <v>0</v>
      </c>
      <c r="AA124" s="225">
        <v>0</v>
      </c>
      <c r="AB124" s="225">
        <v>0</v>
      </c>
      <c r="AC124" s="225">
        <v>0</v>
      </c>
      <c r="AD124" s="225">
        <v>0</v>
      </c>
      <c r="AE124" s="225">
        <v>0</v>
      </c>
      <c r="AF124" s="225">
        <v>0</v>
      </c>
      <c r="AG124" s="225">
        <v>0</v>
      </c>
      <c r="AH124" s="225">
        <v>0</v>
      </c>
      <c r="AI124" s="225">
        <v>0</v>
      </c>
      <c r="AJ124" s="225">
        <v>0</v>
      </c>
      <c r="AK124" s="225">
        <v>0</v>
      </c>
      <c r="AL124" s="225">
        <v>0</v>
      </c>
      <c r="AM124" s="225">
        <v>0</v>
      </c>
      <c r="AN124" s="225">
        <v>0</v>
      </c>
      <c r="AO124" s="225">
        <v>0</v>
      </c>
      <c r="AP124" s="225">
        <v>0</v>
      </c>
      <c r="AQ124" s="225">
        <v>0</v>
      </c>
      <c r="AR124" s="225">
        <v>0</v>
      </c>
      <c r="AS124" s="225">
        <v>0</v>
      </c>
      <c r="AT124" s="225">
        <v>0</v>
      </c>
      <c r="AU124" s="225">
        <v>0</v>
      </c>
      <c r="AV124" s="225">
        <v>0</v>
      </c>
      <c r="AW124" s="225">
        <v>0</v>
      </c>
      <c r="AX124" s="225">
        <v>0</v>
      </c>
      <c r="AY124" s="225">
        <v>0</v>
      </c>
      <c r="AZ124" s="225">
        <v>0</v>
      </c>
      <c r="BA124" s="225">
        <v>0</v>
      </c>
      <c r="BB124" s="225">
        <v>0</v>
      </c>
      <c r="BC124" s="225">
        <v>0</v>
      </c>
      <c r="BD124" s="225">
        <v>0</v>
      </c>
      <c r="BE124" s="225">
        <v>0</v>
      </c>
      <c r="BF124" s="225">
        <v>0</v>
      </c>
      <c r="BG124" s="225">
        <v>0</v>
      </c>
      <c r="BH124" s="225">
        <v>0</v>
      </c>
      <c r="BI124" s="225">
        <v>0</v>
      </c>
      <c r="BJ124" s="225">
        <v>0</v>
      </c>
      <c r="BK124" s="225">
        <v>0</v>
      </c>
      <c r="BL124" s="225">
        <v>0</v>
      </c>
      <c r="BM124" s="225">
        <v>0</v>
      </c>
      <c r="BN124" s="225">
        <v>0</v>
      </c>
      <c r="BO124" s="225">
        <v>0</v>
      </c>
      <c r="BP124" s="225">
        <v>0</v>
      </c>
      <c r="BQ124" s="225">
        <v>0</v>
      </c>
      <c r="BR124" s="225">
        <v>0</v>
      </c>
      <c r="BS124" s="225">
        <v>0</v>
      </c>
      <c r="BT124" s="225">
        <v>0</v>
      </c>
      <c r="BU124" s="225">
        <v>0</v>
      </c>
      <c r="BV124" s="225">
        <v>0</v>
      </c>
      <c r="BW124" s="225">
        <v>0</v>
      </c>
      <c r="BX124" s="225">
        <v>0</v>
      </c>
    </row>
    <row r="125" spans="1:76" s="205" customFormat="1" x14ac:dyDescent="0.45">
      <c r="B125" s="30">
        <f>SUM(D125:CY125)</f>
        <v>-516971067.52879077</v>
      </c>
      <c r="C125" s="224" t="s">
        <v>41</v>
      </c>
      <c r="D125" s="226">
        <f>-$B$123*D124</f>
        <v>0</v>
      </c>
      <c r="E125" s="226">
        <f t="shared" ref="E125:BP125" si="298">-$B$123*E124</f>
        <v>0</v>
      </c>
      <c r="F125" s="226">
        <f t="shared" si="298"/>
        <v>-103394213.50575815</v>
      </c>
      <c r="G125" s="226">
        <f t="shared" si="298"/>
        <v>-165430741.60921302</v>
      </c>
      <c r="H125" s="226">
        <f t="shared" si="298"/>
        <v>-99258444.965527818</v>
      </c>
      <c r="I125" s="226">
        <f t="shared" si="298"/>
        <v>-59555066.979316689</v>
      </c>
      <c r="J125" s="226">
        <f t="shared" si="298"/>
        <v>-59555066.979316689</v>
      </c>
      <c r="K125" s="226">
        <f t="shared" si="298"/>
        <v>-29777533.489658345</v>
      </c>
      <c r="L125" s="226">
        <f t="shared" si="298"/>
        <v>0</v>
      </c>
      <c r="M125" s="226">
        <f t="shared" si="298"/>
        <v>0</v>
      </c>
      <c r="N125" s="226">
        <f t="shared" si="298"/>
        <v>0</v>
      </c>
      <c r="O125" s="226">
        <f t="shared" si="298"/>
        <v>0</v>
      </c>
      <c r="P125" s="226">
        <f t="shared" si="298"/>
        <v>0</v>
      </c>
      <c r="Q125" s="226">
        <f t="shared" si="298"/>
        <v>0</v>
      </c>
      <c r="R125" s="226">
        <f t="shared" si="298"/>
        <v>0</v>
      </c>
      <c r="S125" s="226">
        <f t="shared" si="298"/>
        <v>0</v>
      </c>
      <c r="T125" s="226">
        <f t="shared" si="298"/>
        <v>0</v>
      </c>
      <c r="U125" s="226">
        <f t="shared" si="298"/>
        <v>0</v>
      </c>
      <c r="V125" s="226">
        <f t="shared" si="298"/>
        <v>0</v>
      </c>
      <c r="W125" s="226">
        <f t="shared" si="298"/>
        <v>0</v>
      </c>
      <c r="X125" s="226">
        <f t="shared" si="298"/>
        <v>0</v>
      </c>
      <c r="Y125" s="226">
        <f t="shared" si="298"/>
        <v>0</v>
      </c>
      <c r="Z125" s="226">
        <f t="shared" si="298"/>
        <v>0</v>
      </c>
      <c r="AA125" s="226">
        <f t="shared" si="298"/>
        <v>0</v>
      </c>
      <c r="AB125" s="226">
        <f t="shared" si="298"/>
        <v>0</v>
      </c>
      <c r="AC125" s="226">
        <f t="shared" si="298"/>
        <v>0</v>
      </c>
      <c r="AD125" s="226">
        <f t="shared" si="298"/>
        <v>0</v>
      </c>
      <c r="AE125" s="226">
        <f t="shared" si="298"/>
        <v>0</v>
      </c>
      <c r="AF125" s="226">
        <f t="shared" si="298"/>
        <v>0</v>
      </c>
      <c r="AG125" s="226">
        <f t="shared" si="298"/>
        <v>0</v>
      </c>
      <c r="AH125" s="226">
        <f t="shared" si="298"/>
        <v>0</v>
      </c>
      <c r="AI125" s="226">
        <f t="shared" si="298"/>
        <v>0</v>
      </c>
      <c r="AJ125" s="226">
        <f t="shared" si="298"/>
        <v>0</v>
      </c>
      <c r="AK125" s="226">
        <f t="shared" si="298"/>
        <v>0</v>
      </c>
      <c r="AL125" s="226">
        <f t="shared" si="298"/>
        <v>0</v>
      </c>
      <c r="AM125" s="226">
        <f t="shared" si="298"/>
        <v>0</v>
      </c>
      <c r="AN125" s="226">
        <f t="shared" si="298"/>
        <v>0</v>
      </c>
      <c r="AO125" s="226">
        <f t="shared" si="298"/>
        <v>0</v>
      </c>
      <c r="AP125" s="226">
        <f t="shared" si="298"/>
        <v>0</v>
      </c>
      <c r="AQ125" s="226">
        <f t="shared" si="298"/>
        <v>0</v>
      </c>
      <c r="AR125" s="226">
        <f t="shared" si="298"/>
        <v>0</v>
      </c>
      <c r="AS125" s="226">
        <f t="shared" si="298"/>
        <v>0</v>
      </c>
      <c r="AT125" s="226">
        <f t="shared" si="298"/>
        <v>0</v>
      </c>
      <c r="AU125" s="226">
        <f t="shared" si="298"/>
        <v>0</v>
      </c>
      <c r="AV125" s="226">
        <f t="shared" si="298"/>
        <v>0</v>
      </c>
      <c r="AW125" s="226">
        <f t="shared" si="298"/>
        <v>0</v>
      </c>
      <c r="AX125" s="226">
        <f t="shared" si="298"/>
        <v>0</v>
      </c>
      <c r="AY125" s="226">
        <f t="shared" si="298"/>
        <v>0</v>
      </c>
      <c r="AZ125" s="226">
        <f t="shared" si="298"/>
        <v>0</v>
      </c>
      <c r="BA125" s="226">
        <f t="shared" si="298"/>
        <v>0</v>
      </c>
      <c r="BB125" s="226">
        <f t="shared" si="298"/>
        <v>0</v>
      </c>
      <c r="BC125" s="226">
        <f t="shared" si="298"/>
        <v>0</v>
      </c>
      <c r="BD125" s="226">
        <f t="shared" si="298"/>
        <v>0</v>
      </c>
      <c r="BE125" s="226">
        <f t="shared" si="298"/>
        <v>0</v>
      </c>
      <c r="BF125" s="226">
        <f t="shared" si="298"/>
        <v>0</v>
      </c>
      <c r="BG125" s="226">
        <f t="shared" si="298"/>
        <v>0</v>
      </c>
      <c r="BH125" s="226">
        <f t="shared" si="298"/>
        <v>0</v>
      </c>
      <c r="BI125" s="226">
        <f t="shared" si="298"/>
        <v>0</v>
      </c>
      <c r="BJ125" s="226">
        <f t="shared" si="298"/>
        <v>0</v>
      </c>
      <c r="BK125" s="226">
        <f t="shared" si="298"/>
        <v>0</v>
      </c>
      <c r="BL125" s="226">
        <f t="shared" si="298"/>
        <v>0</v>
      </c>
      <c r="BM125" s="226">
        <f t="shared" si="298"/>
        <v>0</v>
      </c>
      <c r="BN125" s="226">
        <f t="shared" si="298"/>
        <v>0</v>
      </c>
      <c r="BO125" s="226">
        <f t="shared" si="298"/>
        <v>0</v>
      </c>
      <c r="BP125" s="226">
        <f t="shared" si="298"/>
        <v>0</v>
      </c>
      <c r="BQ125" s="226">
        <f t="shared" ref="BQ125:BX125" si="299">-$B$123*BQ124</f>
        <v>0</v>
      </c>
      <c r="BR125" s="226">
        <f t="shared" si="299"/>
        <v>0</v>
      </c>
      <c r="BS125" s="226">
        <f t="shared" si="299"/>
        <v>0</v>
      </c>
      <c r="BT125" s="226">
        <f t="shared" si="299"/>
        <v>0</v>
      </c>
      <c r="BU125" s="226">
        <f t="shared" si="299"/>
        <v>0</v>
      </c>
      <c r="BV125" s="226">
        <f t="shared" si="299"/>
        <v>0</v>
      </c>
      <c r="BW125" s="226">
        <f t="shared" si="299"/>
        <v>0</v>
      </c>
      <c r="BX125" s="226">
        <f t="shared" si="299"/>
        <v>0</v>
      </c>
    </row>
    <row r="126" spans="1:76" ht="16.3" thickBot="1" x14ac:dyDescent="0.5">
      <c r="A126" s="14"/>
      <c r="B126" s="45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</row>
    <row r="127" spans="1:76" x14ac:dyDescent="0.45">
      <c r="B127" s="39" t="s">
        <v>22</v>
      </c>
      <c r="C127" s="39"/>
      <c r="D127" s="57"/>
      <c r="E127" s="57"/>
      <c r="F127" s="57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</row>
    <row r="128" spans="1:76" x14ac:dyDescent="0.45">
      <c r="B128" s="52"/>
      <c r="C128" s="12"/>
      <c r="D128" s="12"/>
      <c r="E128" s="12"/>
      <c r="F128" s="12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12"/>
    </row>
    <row r="129" spans="1:76" s="205" customFormat="1" x14ac:dyDescent="0.45">
      <c r="B129" s="258" t="s">
        <v>36</v>
      </c>
      <c r="C129" s="42" t="s">
        <v>37</v>
      </c>
      <c r="D129" s="207">
        <f t="shared" ref="D129:AI129" si="300">D82</f>
        <v>2058</v>
      </c>
      <c r="E129" s="207">
        <f t="shared" si="300"/>
        <v>2059</v>
      </c>
      <c r="F129" s="207">
        <f t="shared" si="300"/>
        <v>2060</v>
      </c>
      <c r="G129" s="207">
        <f t="shared" si="300"/>
        <v>2061</v>
      </c>
      <c r="H129" s="207">
        <f t="shared" si="300"/>
        <v>2062</v>
      </c>
      <c r="I129" s="207">
        <f t="shared" si="300"/>
        <v>2063</v>
      </c>
      <c r="J129" s="207">
        <f t="shared" si="300"/>
        <v>2064</v>
      </c>
      <c r="K129" s="207">
        <f t="shared" si="300"/>
        <v>2065</v>
      </c>
      <c r="L129" s="207">
        <f t="shared" si="300"/>
        <v>2066</v>
      </c>
      <c r="M129" s="207">
        <f t="shared" si="300"/>
        <v>2067</v>
      </c>
      <c r="N129" s="207">
        <f t="shared" si="300"/>
        <v>2068</v>
      </c>
      <c r="O129" s="207">
        <f t="shared" si="300"/>
        <v>2069</v>
      </c>
      <c r="P129" s="207">
        <f t="shared" si="300"/>
        <v>2070</v>
      </c>
      <c r="Q129" s="207">
        <f t="shared" si="300"/>
        <v>2071</v>
      </c>
      <c r="R129" s="207">
        <f t="shared" si="300"/>
        <v>2072</v>
      </c>
      <c r="S129" s="207">
        <f t="shared" si="300"/>
        <v>2073</v>
      </c>
      <c r="T129" s="207">
        <f t="shared" si="300"/>
        <v>2074</v>
      </c>
      <c r="U129" s="207">
        <f t="shared" si="300"/>
        <v>2075</v>
      </c>
      <c r="V129" s="207">
        <f t="shared" si="300"/>
        <v>2076</v>
      </c>
      <c r="W129" s="207">
        <f t="shared" si="300"/>
        <v>2077</v>
      </c>
      <c r="X129" s="207">
        <f t="shared" si="300"/>
        <v>2078</v>
      </c>
      <c r="Y129" s="207">
        <f t="shared" si="300"/>
        <v>2079</v>
      </c>
      <c r="Z129" s="207">
        <f t="shared" si="300"/>
        <v>2080</v>
      </c>
      <c r="AA129" s="207">
        <f t="shared" si="300"/>
        <v>2081</v>
      </c>
      <c r="AB129" s="207">
        <f t="shared" si="300"/>
        <v>2082</v>
      </c>
      <c r="AC129" s="207">
        <f t="shared" si="300"/>
        <v>2083</v>
      </c>
      <c r="AD129" s="207">
        <f t="shared" si="300"/>
        <v>2084</v>
      </c>
      <c r="AE129" s="207">
        <f t="shared" si="300"/>
        <v>2085</v>
      </c>
      <c r="AF129" s="207">
        <f t="shared" si="300"/>
        <v>2086</v>
      </c>
      <c r="AG129" s="207">
        <f t="shared" si="300"/>
        <v>2087</v>
      </c>
      <c r="AH129" s="207">
        <f t="shared" si="300"/>
        <v>2088</v>
      </c>
      <c r="AI129" s="207">
        <f t="shared" si="300"/>
        <v>2089</v>
      </c>
      <c r="AJ129" s="207">
        <f t="shared" ref="AJ129:BO129" si="301">AJ82</f>
        <v>2090</v>
      </c>
      <c r="AK129" s="207">
        <f t="shared" si="301"/>
        <v>2091</v>
      </c>
      <c r="AL129" s="207">
        <f t="shared" si="301"/>
        <v>2092</v>
      </c>
      <c r="AM129" s="207">
        <f t="shared" si="301"/>
        <v>2093</v>
      </c>
      <c r="AN129" s="207">
        <f t="shared" si="301"/>
        <v>2094</v>
      </c>
      <c r="AO129" s="207">
        <f t="shared" si="301"/>
        <v>2095</v>
      </c>
      <c r="AP129" s="207">
        <f t="shared" si="301"/>
        <v>2096</v>
      </c>
      <c r="AQ129" s="207">
        <f t="shared" si="301"/>
        <v>2097</v>
      </c>
      <c r="AR129" s="207">
        <f t="shared" si="301"/>
        <v>2098</v>
      </c>
      <c r="AS129" s="207">
        <f t="shared" si="301"/>
        <v>2099</v>
      </c>
      <c r="AT129" s="207">
        <f t="shared" si="301"/>
        <v>2100</v>
      </c>
      <c r="AU129" s="207">
        <f t="shared" si="301"/>
        <v>2101</v>
      </c>
      <c r="AV129" s="207">
        <f t="shared" si="301"/>
        <v>2102</v>
      </c>
      <c r="AW129" s="207">
        <f t="shared" si="301"/>
        <v>2103</v>
      </c>
      <c r="AX129" s="207">
        <f t="shared" si="301"/>
        <v>2104</v>
      </c>
      <c r="AY129" s="207">
        <f t="shared" si="301"/>
        <v>2105</v>
      </c>
      <c r="AZ129" s="207">
        <f t="shared" si="301"/>
        <v>2106</v>
      </c>
      <c r="BA129" s="207">
        <f t="shared" si="301"/>
        <v>2107</v>
      </c>
      <c r="BB129" s="207">
        <f t="shared" si="301"/>
        <v>2108</v>
      </c>
      <c r="BC129" s="207">
        <f t="shared" si="301"/>
        <v>2109</v>
      </c>
      <c r="BD129" s="207">
        <f t="shared" si="301"/>
        <v>2110</v>
      </c>
      <c r="BE129" s="207">
        <f t="shared" si="301"/>
        <v>2111</v>
      </c>
      <c r="BF129" s="207">
        <f t="shared" si="301"/>
        <v>2112</v>
      </c>
      <c r="BG129" s="207">
        <f t="shared" si="301"/>
        <v>2113</v>
      </c>
      <c r="BH129" s="207">
        <f t="shared" si="301"/>
        <v>2114</v>
      </c>
      <c r="BI129" s="207">
        <f t="shared" si="301"/>
        <v>2115</v>
      </c>
      <c r="BJ129" s="207">
        <f t="shared" si="301"/>
        <v>2116</v>
      </c>
      <c r="BK129" s="207">
        <f t="shared" si="301"/>
        <v>2117</v>
      </c>
      <c r="BL129" s="207">
        <f t="shared" si="301"/>
        <v>2118</v>
      </c>
      <c r="BM129" s="207">
        <f t="shared" si="301"/>
        <v>2119</v>
      </c>
      <c r="BN129" s="207">
        <f t="shared" si="301"/>
        <v>2120</v>
      </c>
      <c r="BO129" s="207">
        <f t="shared" si="301"/>
        <v>2121</v>
      </c>
      <c r="BP129" s="207">
        <f t="shared" ref="BP129:BX129" si="302">BP82</f>
        <v>2122</v>
      </c>
      <c r="BQ129" s="207">
        <f t="shared" si="302"/>
        <v>2123</v>
      </c>
      <c r="BR129" s="207">
        <f t="shared" si="302"/>
        <v>2124</v>
      </c>
      <c r="BS129" s="207">
        <f t="shared" si="302"/>
        <v>2125</v>
      </c>
      <c r="BT129" s="207">
        <f t="shared" si="302"/>
        <v>2126</v>
      </c>
      <c r="BU129" s="207">
        <f t="shared" si="302"/>
        <v>2127</v>
      </c>
      <c r="BV129" s="207">
        <f t="shared" si="302"/>
        <v>2128</v>
      </c>
      <c r="BW129" s="207">
        <f t="shared" si="302"/>
        <v>2129</v>
      </c>
      <c r="BX129" s="207">
        <f t="shared" si="302"/>
        <v>2130</v>
      </c>
    </row>
    <row r="130" spans="1:76" s="205" customFormat="1" x14ac:dyDescent="0.45">
      <c r="B130" s="258"/>
      <c r="C130" s="43" t="s">
        <v>38</v>
      </c>
      <c r="D130" s="209">
        <v>1</v>
      </c>
      <c r="E130" s="209">
        <f>D130+1</f>
        <v>2</v>
      </c>
      <c r="F130" s="209">
        <f t="shared" ref="F130:U130" si="303">E130+1</f>
        <v>3</v>
      </c>
      <c r="G130" s="209">
        <f t="shared" si="303"/>
        <v>4</v>
      </c>
      <c r="H130" s="209">
        <f t="shared" si="303"/>
        <v>5</v>
      </c>
      <c r="I130" s="209">
        <f t="shared" si="303"/>
        <v>6</v>
      </c>
      <c r="J130" s="209">
        <f t="shared" si="303"/>
        <v>7</v>
      </c>
      <c r="K130" s="209">
        <f t="shared" si="303"/>
        <v>8</v>
      </c>
      <c r="L130" s="209">
        <f t="shared" si="303"/>
        <v>9</v>
      </c>
      <c r="M130" s="209">
        <f>L130+1</f>
        <v>10</v>
      </c>
      <c r="N130" s="209">
        <f t="shared" si="303"/>
        <v>11</v>
      </c>
      <c r="O130" s="209">
        <f t="shared" si="303"/>
        <v>12</v>
      </c>
      <c r="P130" s="209">
        <f t="shared" si="303"/>
        <v>13</v>
      </c>
      <c r="Q130" s="209">
        <f>P130+1</f>
        <v>14</v>
      </c>
      <c r="R130" s="209">
        <f>Q130+1</f>
        <v>15</v>
      </c>
      <c r="S130" s="209">
        <f t="shared" si="303"/>
        <v>16</v>
      </c>
      <c r="T130" s="209">
        <f t="shared" si="303"/>
        <v>17</v>
      </c>
      <c r="U130" s="209">
        <f t="shared" si="303"/>
        <v>18</v>
      </c>
      <c r="V130" s="209">
        <f t="shared" ref="V130:Y130" si="304">U130+1</f>
        <v>19</v>
      </c>
      <c r="W130" s="209">
        <f t="shared" si="304"/>
        <v>20</v>
      </c>
      <c r="X130" s="209">
        <f>W130+1</f>
        <v>21</v>
      </c>
      <c r="Y130" s="209">
        <f t="shared" si="304"/>
        <v>22</v>
      </c>
      <c r="Z130" s="209">
        <f t="shared" ref="Z130" si="305">Y130+1</f>
        <v>23</v>
      </c>
      <c r="AA130" s="209">
        <f t="shared" ref="AA130" si="306">Z130+1</f>
        <v>24</v>
      </c>
      <c r="AB130" s="209">
        <f t="shared" ref="AB130" si="307">AA130+1</f>
        <v>25</v>
      </c>
      <c r="AC130" s="209">
        <f t="shared" ref="AC130" si="308">AB130+1</f>
        <v>26</v>
      </c>
      <c r="AD130" s="209">
        <f t="shared" ref="AD130" si="309">AC130+1</f>
        <v>27</v>
      </c>
      <c r="AE130" s="209">
        <f t="shared" ref="AE130" si="310">AD130+1</f>
        <v>28</v>
      </c>
      <c r="AF130" s="209">
        <f t="shared" ref="AF130" si="311">AE130+1</f>
        <v>29</v>
      </c>
      <c r="AG130" s="209">
        <f t="shared" ref="AG130" si="312">AF130+1</f>
        <v>30</v>
      </c>
      <c r="AH130" s="209">
        <f t="shared" ref="AH130" si="313">AG130+1</f>
        <v>31</v>
      </c>
      <c r="AI130" s="209">
        <f t="shared" ref="AI130" si="314">AH130+1</f>
        <v>32</v>
      </c>
      <c r="AJ130" s="209">
        <f t="shared" ref="AJ130" si="315">AI130+1</f>
        <v>33</v>
      </c>
      <c r="AK130" s="209">
        <f t="shared" ref="AK130" si="316">AJ130+1</f>
        <v>34</v>
      </c>
      <c r="AL130" s="209">
        <f t="shared" ref="AL130" si="317">AK130+1</f>
        <v>35</v>
      </c>
      <c r="AM130" s="209">
        <f t="shared" ref="AM130" si="318">AL130+1</f>
        <v>36</v>
      </c>
      <c r="AN130" s="209">
        <f t="shared" ref="AN130" si="319">AM130+1</f>
        <v>37</v>
      </c>
      <c r="AO130" s="209">
        <f t="shared" ref="AO130" si="320">AN130+1</f>
        <v>38</v>
      </c>
      <c r="AP130" s="209">
        <f t="shared" ref="AP130" si="321">AO130+1</f>
        <v>39</v>
      </c>
      <c r="AQ130" s="209">
        <f t="shared" ref="AQ130" si="322">AP130+1</f>
        <v>40</v>
      </c>
      <c r="AR130" s="209">
        <f t="shared" ref="AR130" si="323">AQ130+1</f>
        <v>41</v>
      </c>
      <c r="AS130" s="209">
        <f t="shared" ref="AS130" si="324">AR130+1</f>
        <v>42</v>
      </c>
      <c r="AT130" s="209">
        <f t="shared" ref="AT130" si="325">AS130+1</f>
        <v>43</v>
      </c>
      <c r="AU130" s="209">
        <f t="shared" ref="AU130" si="326">AT130+1</f>
        <v>44</v>
      </c>
      <c r="AV130" s="209">
        <f t="shared" ref="AV130" si="327">AU130+1</f>
        <v>45</v>
      </c>
      <c r="AW130" s="209">
        <f t="shared" ref="AW130" si="328">AV130+1</f>
        <v>46</v>
      </c>
      <c r="AX130" s="209">
        <f t="shared" ref="AX130" si="329">AW130+1</f>
        <v>47</v>
      </c>
      <c r="AY130" s="209">
        <f t="shared" ref="AY130" si="330">AX130+1</f>
        <v>48</v>
      </c>
      <c r="AZ130" s="209">
        <f t="shared" ref="AZ130" si="331">AY130+1</f>
        <v>49</v>
      </c>
      <c r="BA130" s="209">
        <f t="shared" ref="BA130" si="332">AZ130+1</f>
        <v>50</v>
      </c>
      <c r="BB130" s="209">
        <f t="shared" ref="BB130" si="333">BA130+1</f>
        <v>51</v>
      </c>
      <c r="BC130" s="209">
        <f t="shared" ref="BC130" si="334">BB130+1</f>
        <v>52</v>
      </c>
      <c r="BD130" s="209">
        <f t="shared" ref="BD130" si="335">BC130+1</f>
        <v>53</v>
      </c>
      <c r="BE130" s="209">
        <f t="shared" ref="BE130" si="336">BD130+1</f>
        <v>54</v>
      </c>
      <c r="BF130" s="209">
        <f t="shared" ref="BF130" si="337">BE130+1</f>
        <v>55</v>
      </c>
      <c r="BG130" s="209">
        <f t="shared" ref="BG130" si="338">BF130+1</f>
        <v>56</v>
      </c>
      <c r="BH130" s="209">
        <f t="shared" ref="BH130" si="339">BG130+1</f>
        <v>57</v>
      </c>
      <c r="BI130" s="209">
        <f t="shared" ref="BI130" si="340">BH130+1</f>
        <v>58</v>
      </c>
      <c r="BJ130" s="209">
        <f t="shared" ref="BJ130" si="341">BI130+1</f>
        <v>59</v>
      </c>
      <c r="BK130" s="209">
        <f t="shared" ref="BK130" si="342">BJ130+1</f>
        <v>60</v>
      </c>
      <c r="BL130" s="209">
        <f t="shared" ref="BL130" si="343">BK130+1</f>
        <v>61</v>
      </c>
      <c r="BM130" s="209">
        <f t="shared" ref="BM130" si="344">BL130+1</f>
        <v>62</v>
      </c>
      <c r="BN130" s="209">
        <f t="shared" ref="BN130" si="345">BM130+1</f>
        <v>63</v>
      </c>
      <c r="BO130" s="209">
        <f t="shared" ref="BO130" si="346">BN130+1</f>
        <v>64</v>
      </c>
      <c r="BP130" s="209">
        <f t="shared" ref="BP130" si="347">BO130+1</f>
        <v>65</v>
      </c>
      <c r="BQ130" s="209">
        <f t="shared" ref="BQ130" si="348">BP130+1</f>
        <v>66</v>
      </c>
      <c r="BR130" s="209">
        <f t="shared" ref="BR130" si="349">BQ130+1</f>
        <v>67</v>
      </c>
      <c r="BS130" s="209">
        <f t="shared" ref="BS130" si="350">BR130+1</f>
        <v>68</v>
      </c>
      <c r="BT130" s="209">
        <f t="shared" ref="BT130" si="351">BS130+1</f>
        <v>69</v>
      </c>
      <c r="BU130" s="209">
        <f t="shared" ref="BU130" si="352">BT130+1</f>
        <v>70</v>
      </c>
      <c r="BV130" s="209">
        <f t="shared" ref="BV130" si="353">BU130+1</f>
        <v>71</v>
      </c>
      <c r="BW130" s="209">
        <f t="shared" ref="BW130" si="354">BV130+1</f>
        <v>72</v>
      </c>
      <c r="BX130" s="209">
        <f t="shared" ref="BX130" si="355">BW130+1</f>
        <v>73</v>
      </c>
    </row>
    <row r="131" spans="1:76" x14ac:dyDescent="0.45">
      <c r="B131" s="258"/>
      <c r="C131" s="3"/>
      <c r="D131" s="3"/>
      <c r="E131" s="3"/>
      <c r="F131" s="3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3"/>
    </row>
    <row r="132" spans="1:76" x14ac:dyDescent="0.45">
      <c r="B132" s="70"/>
      <c r="C132" s="13" t="s">
        <v>43</v>
      </c>
      <c r="D132" s="3"/>
      <c r="E132" s="3"/>
      <c r="F132" s="3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3"/>
    </row>
    <row r="133" spans="1:76" s="205" customFormat="1" x14ac:dyDescent="0.45">
      <c r="B133" s="30"/>
      <c r="C133" s="190" t="s">
        <v>135</v>
      </c>
      <c r="D133" s="227" t="str">
        <f>IF(AND(D130&gt;$D$63,AND(D130&lt;=($D$64+$D$63))),"Oper period","NA")</f>
        <v>NA</v>
      </c>
      <c r="E133" s="227" t="str">
        <f t="shared" ref="E133:BP133" si="356">IF(AND(E130&gt;$D$63,AND(E130&lt;=($D$64+$D$63))),"Oper period","NA")</f>
        <v>NA</v>
      </c>
      <c r="F133" s="227" t="str">
        <f t="shared" si="356"/>
        <v>Oper period</v>
      </c>
      <c r="G133" s="227" t="str">
        <f t="shared" si="356"/>
        <v>Oper period</v>
      </c>
      <c r="H133" s="227" t="str">
        <f t="shared" si="356"/>
        <v>Oper period</v>
      </c>
      <c r="I133" s="227" t="str">
        <f t="shared" si="356"/>
        <v>Oper period</v>
      </c>
      <c r="J133" s="227" t="str">
        <f t="shared" si="356"/>
        <v>Oper period</v>
      </c>
      <c r="K133" s="227" t="str">
        <f t="shared" si="356"/>
        <v>Oper period</v>
      </c>
      <c r="L133" s="227" t="str">
        <f t="shared" si="356"/>
        <v>Oper period</v>
      </c>
      <c r="M133" s="227" t="str">
        <f t="shared" si="356"/>
        <v>Oper period</v>
      </c>
      <c r="N133" s="227" t="str">
        <f t="shared" si="356"/>
        <v>Oper period</v>
      </c>
      <c r="O133" s="227" t="str">
        <f t="shared" si="356"/>
        <v>Oper period</v>
      </c>
      <c r="P133" s="227" t="str">
        <f t="shared" si="356"/>
        <v>Oper period</v>
      </c>
      <c r="Q133" s="227" t="str">
        <f t="shared" si="356"/>
        <v>Oper period</v>
      </c>
      <c r="R133" s="227" t="str">
        <f t="shared" si="356"/>
        <v>NA</v>
      </c>
      <c r="S133" s="227" t="str">
        <f t="shared" si="356"/>
        <v>NA</v>
      </c>
      <c r="T133" s="227" t="str">
        <f t="shared" si="356"/>
        <v>NA</v>
      </c>
      <c r="U133" s="227" t="str">
        <f t="shared" si="356"/>
        <v>NA</v>
      </c>
      <c r="V133" s="227" t="str">
        <f t="shared" si="356"/>
        <v>NA</v>
      </c>
      <c r="W133" s="227" t="str">
        <f t="shared" si="356"/>
        <v>NA</v>
      </c>
      <c r="X133" s="227" t="str">
        <f t="shared" si="356"/>
        <v>NA</v>
      </c>
      <c r="Y133" s="227" t="str">
        <f t="shared" si="356"/>
        <v>NA</v>
      </c>
      <c r="Z133" s="227" t="str">
        <f t="shared" si="356"/>
        <v>NA</v>
      </c>
      <c r="AA133" s="227" t="str">
        <f t="shared" si="356"/>
        <v>NA</v>
      </c>
      <c r="AB133" s="227" t="str">
        <f t="shared" si="356"/>
        <v>NA</v>
      </c>
      <c r="AC133" s="227" t="str">
        <f t="shared" si="356"/>
        <v>NA</v>
      </c>
      <c r="AD133" s="227" t="str">
        <f t="shared" si="356"/>
        <v>NA</v>
      </c>
      <c r="AE133" s="227" t="str">
        <f t="shared" si="356"/>
        <v>NA</v>
      </c>
      <c r="AF133" s="227" t="str">
        <f t="shared" si="356"/>
        <v>NA</v>
      </c>
      <c r="AG133" s="227" t="str">
        <f t="shared" si="356"/>
        <v>NA</v>
      </c>
      <c r="AH133" s="227" t="str">
        <f t="shared" si="356"/>
        <v>NA</v>
      </c>
      <c r="AI133" s="227" t="str">
        <f t="shared" si="356"/>
        <v>NA</v>
      </c>
      <c r="AJ133" s="227" t="str">
        <f t="shared" si="356"/>
        <v>NA</v>
      </c>
      <c r="AK133" s="227" t="str">
        <f t="shared" si="356"/>
        <v>NA</v>
      </c>
      <c r="AL133" s="227" t="str">
        <f t="shared" si="356"/>
        <v>NA</v>
      </c>
      <c r="AM133" s="227" t="str">
        <f t="shared" si="356"/>
        <v>NA</v>
      </c>
      <c r="AN133" s="227" t="str">
        <f t="shared" si="356"/>
        <v>NA</v>
      </c>
      <c r="AO133" s="227" t="str">
        <f t="shared" si="356"/>
        <v>NA</v>
      </c>
      <c r="AP133" s="227" t="str">
        <f t="shared" si="356"/>
        <v>NA</v>
      </c>
      <c r="AQ133" s="227" t="str">
        <f t="shared" si="356"/>
        <v>NA</v>
      </c>
      <c r="AR133" s="227" t="str">
        <f t="shared" si="356"/>
        <v>NA</v>
      </c>
      <c r="AS133" s="227" t="str">
        <f t="shared" si="356"/>
        <v>NA</v>
      </c>
      <c r="AT133" s="227" t="str">
        <f t="shared" si="356"/>
        <v>NA</v>
      </c>
      <c r="AU133" s="227" t="str">
        <f t="shared" si="356"/>
        <v>NA</v>
      </c>
      <c r="AV133" s="227" t="str">
        <f t="shared" si="356"/>
        <v>NA</v>
      </c>
      <c r="AW133" s="227" t="str">
        <f t="shared" si="356"/>
        <v>NA</v>
      </c>
      <c r="AX133" s="227" t="str">
        <f t="shared" si="356"/>
        <v>NA</v>
      </c>
      <c r="AY133" s="227" t="str">
        <f t="shared" si="356"/>
        <v>NA</v>
      </c>
      <c r="AZ133" s="227" t="str">
        <f t="shared" si="356"/>
        <v>NA</v>
      </c>
      <c r="BA133" s="227" t="str">
        <f t="shared" si="356"/>
        <v>NA</v>
      </c>
      <c r="BB133" s="227" t="str">
        <f t="shared" si="356"/>
        <v>NA</v>
      </c>
      <c r="BC133" s="227" t="str">
        <f t="shared" si="356"/>
        <v>NA</v>
      </c>
      <c r="BD133" s="227" t="str">
        <f t="shared" si="356"/>
        <v>NA</v>
      </c>
      <c r="BE133" s="227" t="str">
        <f t="shared" si="356"/>
        <v>NA</v>
      </c>
      <c r="BF133" s="227" t="str">
        <f t="shared" si="356"/>
        <v>NA</v>
      </c>
      <c r="BG133" s="227" t="str">
        <f t="shared" si="356"/>
        <v>NA</v>
      </c>
      <c r="BH133" s="227" t="str">
        <f t="shared" si="356"/>
        <v>NA</v>
      </c>
      <c r="BI133" s="227" t="str">
        <f t="shared" si="356"/>
        <v>NA</v>
      </c>
      <c r="BJ133" s="227" t="str">
        <f t="shared" si="356"/>
        <v>NA</v>
      </c>
      <c r="BK133" s="227" t="str">
        <f t="shared" si="356"/>
        <v>NA</v>
      </c>
      <c r="BL133" s="227" t="str">
        <f t="shared" si="356"/>
        <v>NA</v>
      </c>
      <c r="BM133" s="227" t="str">
        <f t="shared" si="356"/>
        <v>NA</v>
      </c>
      <c r="BN133" s="227" t="str">
        <f t="shared" si="356"/>
        <v>NA</v>
      </c>
      <c r="BO133" s="227" t="str">
        <f t="shared" si="356"/>
        <v>NA</v>
      </c>
      <c r="BP133" s="227" t="str">
        <f t="shared" si="356"/>
        <v>NA</v>
      </c>
      <c r="BQ133" s="227" t="str">
        <f t="shared" ref="BQ133:BX133" si="357">IF(AND(BQ130&gt;$D$63,AND(BQ130&lt;=($D$64+$D$63))),"Oper period","NA")</f>
        <v>NA</v>
      </c>
      <c r="BR133" s="227" t="str">
        <f t="shared" si="357"/>
        <v>NA</v>
      </c>
      <c r="BS133" s="227" t="str">
        <f t="shared" si="357"/>
        <v>NA</v>
      </c>
      <c r="BT133" s="227" t="str">
        <f t="shared" si="357"/>
        <v>NA</v>
      </c>
      <c r="BU133" s="227" t="str">
        <f t="shared" si="357"/>
        <v>NA</v>
      </c>
      <c r="BV133" s="227" t="str">
        <f t="shared" si="357"/>
        <v>NA</v>
      </c>
      <c r="BW133" s="227" t="str">
        <f t="shared" si="357"/>
        <v>NA</v>
      </c>
      <c r="BX133" s="227" t="str">
        <f t="shared" si="357"/>
        <v>NA</v>
      </c>
    </row>
    <row r="134" spans="1:76" s="205" customFormat="1" x14ac:dyDescent="0.45">
      <c r="B134" s="30"/>
      <c r="C134" s="190" t="s">
        <v>136</v>
      </c>
      <c r="D134" s="228">
        <f>IF(D129&lt;$I$9,$D$46*D85,(0-$D$47)*D85)</f>
        <v>48.812872225241826</v>
      </c>
      <c r="E134" s="228">
        <f t="shared" ref="E134:BP134" si="358">IF(E129&lt;$I$9,$D$46*E85,(0-$D$47)*E85)</f>
        <v>49.789129669746643</v>
      </c>
      <c r="F134" s="228">
        <f t="shared" si="358"/>
        <v>-27.600495795185648</v>
      </c>
      <c r="G134" s="228">
        <f t="shared" si="358"/>
        <v>-28.152505711089361</v>
      </c>
      <c r="H134" s="228">
        <f t="shared" si="358"/>
        <v>-28.715555825311146</v>
      </c>
      <c r="I134" s="228">
        <f t="shared" si="358"/>
        <v>-29.289866941817365</v>
      </c>
      <c r="J134" s="228">
        <f t="shared" si="358"/>
        <v>-29.875664280653719</v>
      </c>
      <c r="K134" s="228">
        <f t="shared" si="358"/>
        <v>-30.473177566266791</v>
      </c>
      <c r="L134" s="228">
        <f t="shared" si="358"/>
        <v>-31.082641117592129</v>
      </c>
      <c r="M134" s="228">
        <f t="shared" si="358"/>
        <v>-31.704293939943962</v>
      </c>
      <c r="N134" s="228">
        <f t="shared" si="358"/>
        <v>-32.338379818742844</v>
      </c>
      <c r="O134" s="228">
        <f t="shared" si="358"/>
        <v>-32.985147415117702</v>
      </c>
      <c r="P134" s="228">
        <f t="shared" si="358"/>
        <v>-33.644850363420062</v>
      </c>
      <c r="Q134" s="228">
        <f t="shared" si="358"/>
        <v>-34.317747370688458</v>
      </c>
      <c r="R134" s="228">
        <f t="shared" si="358"/>
        <v>-35.004102318102234</v>
      </c>
      <c r="S134" s="228">
        <f t="shared" si="358"/>
        <v>-35.704184364464268</v>
      </c>
      <c r="T134" s="228">
        <f t="shared" si="358"/>
        <v>-36.418268051753557</v>
      </c>
      <c r="U134" s="228">
        <f t="shared" si="358"/>
        <v>-37.146633412788624</v>
      </c>
      <c r="V134" s="228">
        <f t="shared" si="358"/>
        <v>-37.889566081044393</v>
      </c>
      <c r="W134" s="228">
        <f t="shared" si="358"/>
        <v>-38.647357402665286</v>
      </c>
      <c r="X134" s="228">
        <f t="shared" si="358"/>
        <v>-39.420304550718591</v>
      </c>
      <c r="Y134" s="228">
        <f t="shared" si="358"/>
        <v>-40.208710641732957</v>
      </c>
      <c r="Z134" s="228">
        <f t="shared" si="358"/>
        <v>-41.012884854567631</v>
      </c>
      <c r="AA134" s="228">
        <f t="shared" si="358"/>
        <v>-41.833142551658973</v>
      </c>
      <c r="AB134" s="228">
        <f t="shared" si="358"/>
        <v>-42.669805402692155</v>
      </c>
      <c r="AC134" s="228">
        <f t="shared" si="358"/>
        <v>-43.523201510745992</v>
      </c>
      <c r="AD134" s="228">
        <f t="shared" si="358"/>
        <v>-44.393665540960917</v>
      </c>
      <c r="AE134" s="228">
        <f t="shared" si="358"/>
        <v>-45.281538851780141</v>
      </c>
      <c r="AF134" s="228">
        <f t="shared" si="358"/>
        <v>-46.187169628815738</v>
      </c>
      <c r="AG134" s="228">
        <f t="shared" si="358"/>
        <v>-47.110913021392051</v>
      </c>
      <c r="AH134" s="228">
        <f t="shared" si="358"/>
        <v>-48.053131281819894</v>
      </c>
      <c r="AI134" s="228">
        <f t="shared" si="358"/>
        <v>-49.014193907456296</v>
      </c>
      <c r="AJ134" s="228">
        <f t="shared" si="358"/>
        <v>-49.994477785605426</v>
      </c>
      <c r="AK134" s="228">
        <f t="shared" si="358"/>
        <v>-50.994367341317528</v>
      </c>
      <c r="AL134" s="228">
        <f t="shared" si="358"/>
        <v>-52.014254688143879</v>
      </c>
      <c r="AM134" s="228">
        <f t="shared" si="358"/>
        <v>-53.054539781906755</v>
      </c>
      <c r="AN134" s="228">
        <f t="shared" si="358"/>
        <v>-54.115630577544891</v>
      </c>
      <c r="AO134" s="228">
        <f t="shared" si="358"/>
        <v>-55.197943189095774</v>
      </c>
      <c r="AP134" s="228">
        <f t="shared" si="358"/>
        <v>-56.301902052877708</v>
      </c>
      <c r="AQ134" s="228">
        <f t="shared" si="358"/>
        <v>-57.427940093935263</v>
      </c>
      <c r="AR134" s="228">
        <f t="shared" si="358"/>
        <v>-58.57649889581397</v>
      </c>
      <c r="AS134" s="228">
        <f t="shared" si="358"/>
        <v>-59.748028873730227</v>
      </c>
      <c r="AT134" s="228">
        <f t="shared" si="358"/>
        <v>-60.942989451204845</v>
      </c>
      <c r="AU134" s="228">
        <f t="shared" si="358"/>
        <v>-62.161849240228939</v>
      </c>
      <c r="AV134" s="228">
        <f t="shared" si="358"/>
        <v>-63.405086225033514</v>
      </c>
      <c r="AW134" s="228">
        <f t="shared" si="358"/>
        <v>-64.673187949534181</v>
      </c>
      <c r="AX134" s="228">
        <f t="shared" si="358"/>
        <v>-65.966651708524864</v>
      </c>
      <c r="AY134" s="228">
        <f t="shared" si="358"/>
        <v>-67.285984742695376</v>
      </c>
      <c r="AZ134" s="228">
        <f t="shared" si="358"/>
        <v>-68.631704437549274</v>
      </c>
      <c r="BA134" s="228">
        <f t="shared" si="358"/>
        <v>-70.004338526300245</v>
      </c>
      <c r="BB134" s="228">
        <f t="shared" si="358"/>
        <v>-71.404425296826261</v>
      </c>
      <c r="BC134" s="228">
        <f t="shared" si="358"/>
        <v>-72.83251380276279</v>
      </c>
      <c r="BD134" s="228">
        <f t="shared" si="358"/>
        <v>-74.289164078818047</v>
      </c>
      <c r="BE134" s="228">
        <f t="shared" si="358"/>
        <v>-75.774947360394393</v>
      </c>
      <c r="BF134" s="228">
        <f t="shared" si="358"/>
        <v>-77.290446307602295</v>
      </c>
      <c r="BG134" s="228">
        <f t="shared" si="358"/>
        <v>-78.836255233754343</v>
      </c>
      <c r="BH134" s="228">
        <f t="shared" si="358"/>
        <v>-80.412980338429435</v>
      </c>
      <c r="BI134" s="228">
        <f t="shared" si="358"/>
        <v>-82.021239945198005</v>
      </c>
      <c r="BJ134" s="228">
        <f t="shared" si="358"/>
        <v>-83.661664744101969</v>
      </c>
      <c r="BK134" s="228">
        <f t="shared" si="358"/>
        <v>-85.334898038984022</v>
      </c>
      <c r="BL134" s="228">
        <f t="shared" si="358"/>
        <v>-87.041595999763686</v>
      </c>
      <c r="BM134" s="228">
        <f t="shared" si="358"/>
        <v>-88.782427919758959</v>
      </c>
      <c r="BN134" s="228">
        <f t="shared" si="358"/>
        <v>-90.558076478154135</v>
      </c>
      <c r="BO134" s="228">
        <f t="shared" si="358"/>
        <v>-92.369238007717229</v>
      </c>
      <c r="BP134" s="228">
        <f t="shared" si="358"/>
        <v>-94.216622767871584</v>
      </c>
      <c r="BQ134" s="228">
        <f t="shared" ref="BQ134:BX134" si="359">IF(BQ129&lt;$I$9,$D$46*BQ85,(0-$D$47)*BQ85)</f>
        <v>-96.100955223228979</v>
      </c>
      <c r="BR134" s="228">
        <f t="shared" si="359"/>
        <v>-98.022974327693589</v>
      </c>
      <c r="BS134" s="228">
        <f t="shared" si="359"/>
        <v>-99.983433814247462</v>
      </c>
      <c r="BT134" s="228">
        <f t="shared" si="359"/>
        <v>-101.98310249053239</v>
      </c>
      <c r="BU134" s="228">
        <f t="shared" si="359"/>
        <v>-104.02276454034305</v>
      </c>
      <c r="BV134" s="228">
        <f t="shared" si="359"/>
        <v>-106.10321983114991</v>
      </c>
      <c r="BW134" s="228">
        <f t="shared" si="359"/>
        <v>-108.22528422777292</v>
      </c>
      <c r="BX134" s="228">
        <f t="shared" si="359"/>
        <v>-110.38978991232837</v>
      </c>
    </row>
    <row r="135" spans="1:76" s="205" customFormat="1" x14ac:dyDescent="0.45">
      <c r="B135" s="30">
        <f>SUM(D135:CY135)</f>
        <v>-648089781.83179367</v>
      </c>
      <c r="C135" s="190" t="s">
        <v>171</v>
      </c>
      <c r="D135" s="61">
        <f t="shared" ref="D135:AI135" si="360">D134*D88</f>
        <v>0</v>
      </c>
      <c r="E135" s="61">
        <f t="shared" si="360"/>
        <v>0</v>
      </c>
      <c r="F135" s="61">
        <f t="shared" si="360"/>
        <v>-48321312.70883517</v>
      </c>
      <c r="G135" s="61">
        <f t="shared" si="360"/>
        <v>-49287738.963011868</v>
      </c>
      <c r="H135" s="61">
        <f t="shared" si="360"/>
        <v>-50273493.742272101</v>
      </c>
      <c r="I135" s="61">
        <f t="shared" si="360"/>
        <v>-51278963.617117539</v>
      </c>
      <c r="J135" s="61">
        <f t="shared" si="360"/>
        <v>-52304542.889459901</v>
      </c>
      <c r="K135" s="61">
        <f t="shared" si="360"/>
        <v>-53350633.747249097</v>
      </c>
      <c r="L135" s="61">
        <f t="shared" si="360"/>
        <v>-54417646.422194079</v>
      </c>
      <c r="M135" s="61">
        <f t="shared" si="360"/>
        <v>-55505999.35063795</v>
      </c>
      <c r="N135" s="61">
        <f t="shared" si="360"/>
        <v>-56616119.337650709</v>
      </c>
      <c r="O135" s="61">
        <f t="shared" si="360"/>
        <v>-57748441.724403724</v>
      </c>
      <c r="P135" s="61">
        <f t="shared" si="360"/>
        <v>-58903410.55889181</v>
      </c>
      <c r="Q135" s="61">
        <f t="shared" si="360"/>
        <v>-60081478.770069636</v>
      </c>
      <c r="R135" s="61">
        <f t="shared" si="360"/>
        <v>0</v>
      </c>
      <c r="S135" s="61">
        <f t="shared" si="360"/>
        <v>0</v>
      </c>
      <c r="T135" s="61">
        <f t="shared" si="360"/>
        <v>0</v>
      </c>
      <c r="U135" s="61">
        <f t="shared" si="360"/>
        <v>0</v>
      </c>
      <c r="V135" s="61">
        <f t="shared" si="360"/>
        <v>0</v>
      </c>
      <c r="W135" s="61">
        <f t="shared" si="360"/>
        <v>0</v>
      </c>
      <c r="X135" s="61">
        <f t="shared" si="360"/>
        <v>0</v>
      </c>
      <c r="Y135" s="61">
        <f t="shared" si="360"/>
        <v>0</v>
      </c>
      <c r="Z135" s="61">
        <f t="shared" si="360"/>
        <v>0</v>
      </c>
      <c r="AA135" s="61">
        <f t="shared" si="360"/>
        <v>0</v>
      </c>
      <c r="AB135" s="61">
        <f t="shared" si="360"/>
        <v>0</v>
      </c>
      <c r="AC135" s="61">
        <f t="shared" si="360"/>
        <v>0</v>
      </c>
      <c r="AD135" s="61">
        <f t="shared" si="360"/>
        <v>0</v>
      </c>
      <c r="AE135" s="61">
        <f t="shared" si="360"/>
        <v>0</v>
      </c>
      <c r="AF135" s="61">
        <f t="shared" si="360"/>
        <v>0</v>
      </c>
      <c r="AG135" s="61">
        <f t="shared" si="360"/>
        <v>0</v>
      </c>
      <c r="AH135" s="61">
        <f t="shared" si="360"/>
        <v>0</v>
      </c>
      <c r="AI135" s="61">
        <f t="shared" si="360"/>
        <v>0</v>
      </c>
      <c r="AJ135" s="61">
        <f t="shared" ref="AJ135:BO135" si="361">AJ134*AJ88</f>
        <v>0</v>
      </c>
      <c r="AK135" s="61">
        <f t="shared" si="361"/>
        <v>0</v>
      </c>
      <c r="AL135" s="61">
        <f t="shared" si="361"/>
        <v>0</v>
      </c>
      <c r="AM135" s="61">
        <f t="shared" si="361"/>
        <v>0</v>
      </c>
      <c r="AN135" s="61">
        <f t="shared" si="361"/>
        <v>0</v>
      </c>
      <c r="AO135" s="61">
        <f t="shared" si="361"/>
        <v>0</v>
      </c>
      <c r="AP135" s="61">
        <f t="shared" si="361"/>
        <v>0</v>
      </c>
      <c r="AQ135" s="61">
        <f t="shared" si="361"/>
        <v>0</v>
      </c>
      <c r="AR135" s="61">
        <f t="shared" si="361"/>
        <v>0</v>
      </c>
      <c r="AS135" s="61">
        <f t="shared" si="361"/>
        <v>0</v>
      </c>
      <c r="AT135" s="61">
        <f t="shared" si="361"/>
        <v>0</v>
      </c>
      <c r="AU135" s="61">
        <f t="shared" si="361"/>
        <v>0</v>
      </c>
      <c r="AV135" s="61">
        <f t="shared" si="361"/>
        <v>0</v>
      </c>
      <c r="AW135" s="61">
        <f t="shared" si="361"/>
        <v>0</v>
      </c>
      <c r="AX135" s="61">
        <f t="shared" si="361"/>
        <v>0</v>
      </c>
      <c r="AY135" s="61">
        <f t="shared" si="361"/>
        <v>0</v>
      </c>
      <c r="AZ135" s="61">
        <f t="shared" si="361"/>
        <v>0</v>
      </c>
      <c r="BA135" s="61">
        <f t="shared" si="361"/>
        <v>0</v>
      </c>
      <c r="BB135" s="61">
        <f t="shared" si="361"/>
        <v>0</v>
      </c>
      <c r="BC135" s="61">
        <f t="shared" si="361"/>
        <v>0</v>
      </c>
      <c r="BD135" s="61">
        <f t="shared" si="361"/>
        <v>0</v>
      </c>
      <c r="BE135" s="61">
        <f t="shared" si="361"/>
        <v>0</v>
      </c>
      <c r="BF135" s="61">
        <f t="shared" si="361"/>
        <v>0</v>
      </c>
      <c r="BG135" s="61">
        <f t="shared" si="361"/>
        <v>0</v>
      </c>
      <c r="BH135" s="61">
        <f t="shared" si="361"/>
        <v>0</v>
      </c>
      <c r="BI135" s="61">
        <f t="shared" si="361"/>
        <v>0</v>
      </c>
      <c r="BJ135" s="61">
        <f t="shared" si="361"/>
        <v>0</v>
      </c>
      <c r="BK135" s="61">
        <f t="shared" si="361"/>
        <v>0</v>
      </c>
      <c r="BL135" s="61">
        <f t="shared" si="361"/>
        <v>0</v>
      </c>
      <c r="BM135" s="61">
        <f t="shared" si="361"/>
        <v>0</v>
      </c>
      <c r="BN135" s="61">
        <f t="shared" si="361"/>
        <v>0</v>
      </c>
      <c r="BO135" s="61">
        <f t="shared" si="361"/>
        <v>0</v>
      </c>
      <c r="BP135" s="61">
        <f t="shared" ref="BP135:BX135" si="362">BP134*BP88</f>
        <v>0</v>
      </c>
      <c r="BQ135" s="61">
        <f t="shared" si="362"/>
        <v>0</v>
      </c>
      <c r="BR135" s="61">
        <f t="shared" si="362"/>
        <v>0</v>
      </c>
      <c r="BS135" s="61">
        <f t="shared" si="362"/>
        <v>0</v>
      </c>
      <c r="BT135" s="61">
        <f t="shared" si="362"/>
        <v>0</v>
      </c>
      <c r="BU135" s="61">
        <f t="shared" si="362"/>
        <v>0</v>
      </c>
      <c r="BV135" s="61">
        <f t="shared" si="362"/>
        <v>0</v>
      </c>
      <c r="BW135" s="61">
        <f t="shared" si="362"/>
        <v>0</v>
      </c>
      <c r="BX135" s="61">
        <f t="shared" si="362"/>
        <v>0</v>
      </c>
    </row>
    <row r="136" spans="1:76" x14ac:dyDescent="0.45">
      <c r="B136" s="52"/>
      <c r="C136" s="9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</row>
    <row r="137" spans="1:76" x14ac:dyDescent="0.45">
      <c r="B137" s="52"/>
      <c r="C137" s="12" t="s">
        <v>56</v>
      </c>
      <c r="D137" s="60"/>
      <c r="E137" s="60"/>
      <c r="F137" s="60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0"/>
    </row>
    <row r="138" spans="1:76" s="205" customFormat="1" x14ac:dyDescent="0.45">
      <c r="B138" s="30">
        <f>SUM(D138:CY138)</f>
        <v>-262611112.5</v>
      </c>
      <c r="C138" s="190" t="s">
        <v>168</v>
      </c>
      <c r="D138" s="61">
        <f t="shared" ref="D138:AI138" si="363">D135/D85</f>
        <v>0</v>
      </c>
      <c r="E138" s="61">
        <f t="shared" si="363"/>
        <v>0</v>
      </c>
      <c r="F138" s="61">
        <f t="shared" si="363"/>
        <v>-21884259.375</v>
      </c>
      <c r="G138" s="61">
        <f t="shared" si="363"/>
        <v>-21884259.375</v>
      </c>
      <c r="H138" s="61">
        <f t="shared" si="363"/>
        <v>-21884259.375</v>
      </c>
      <c r="I138" s="61">
        <f t="shared" si="363"/>
        <v>-21884259.375</v>
      </c>
      <c r="J138" s="61">
        <f t="shared" si="363"/>
        <v>-21884259.375</v>
      </c>
      <c r="K138" s="61">
        <f t="shared" si="363"/>
        <v>-21884259.375</v>
      </c>
      <c r="L138" s="61">
        <f t="shared" si="363"/>
        <v>-21884259.374999996</v>
      </c>
      <c r="M138" s="61">
        <f t="shared" si="363"/>
        <v>-21884259.375</v>
      </c>
      <c r="N138" s="61">
        <f t="shared" si="363"/>
        <v>-21884259.374999996</v>
      </c>
      <c r="O138" s="61">
        <f t="shared" si="363"/>
        <v>-21884259.374999996</v>
      </c>
      <c r="P138" s="61">
        <f t="shared" si="363"/>
        <v>-21884259.375</v>
      </c>
      <c r="Q138" s="61">
        <f t="shared" si="363"/>
        <v>-21884259.375</v>
      </c>
      <c r="R138" s="61">
        <f t="shared" si="363"/>
        <v>0</v>
      </c>
      <c r="S138" s="61">
        <f t="shared" si="363"/>
        <v>0</v>
      </c>
      <c r="T138" s="61">
        <f t="shared" si="363"/>
        <v>0</v>
      </c>
      <c r="U138" s="61">
        <f t="shared" si="363"/>
        <v>0</v>
      </c>
      <c r="V138" s="61">
        <f t="shared" si="363"/>
        <v>0</v>
      </c>
      <c r="W138" s="61">
        <f t="shared" si="363"/>
        <v>0</v>
      </c>
      <c r="X138" s="61">
        <f t="shared" si="363"/>
        <v>0</v>
      </c>
      <c r="Y138" s="61">
        <f t="shared" si="363"/>
        <v>0</v>
      </c>
      <c r="Z138" s="61">
        <f t="shared" si="363"/>
        <v>0</v>
      </c>
      <c r="AA138" s="61">
        <f t="shared" si="363"/>
        <v>0</v>
      </c>
      <c r="AB138" s="61">
        <f t="shared" si="363"/>
        <v>0</v>
      </c>
      <c r="AC138" s="61">
        <f t="shared" si="363"/>
        <v>0</v>
      </c>
      <c r="AD138" s="61">
        <f t="shared" si="363"/>
        <v>0</v>
      </c>
      <c r="AE138" s="61">
        <f t="shared" si="363"/>
        <v>0</v>
      </c>
      <c r="AF138" s="61">
        <f t="shared" si="363"/>
        <v>0</v>
      </c>
      <c r="AG138" s="61">
        <f t="shared" si="363"/>
        <v>0</v>
      </c>
      <c r="AH138" s="61">
        <f t="shared" si="363"/>
        <v>0</v>
      </c>
      <c r="AI138" s="61">
        <f t="shared" si="363"/>
        <v>0</v>
      </c>
      <c r="AJ138" s="61">
        <f t="shared" ref="AJ138:BO138" si="364">AJ135/AJ85</f>
        <v>0</v>
      </c>
      <c r="AK138" s="61">
        <f t="shared" si="364"/>
        <v>0</v>
      </c>
      <c r="AL138" s="61">
        <f t="shared" si="364"/>
        <v>0</v>
      </c>
      <c r="AM138" s="61">
        <f t="shared" si="364"/>
        <v>0</v>
      </c>
      <c r="AN138" s="61">
        <f t="shared" si="364"/>
        <v>0</v>
      </c>
      <c r="AO138" s="61">
        <f t="shared" si="364"/>
        <v>0</v>
      </c>
      <c r="AP138" s="61">
        <f t="shared" si="364"/>
        <v>0</v>
      </c>
      <c r="AQ138" s="61">
        <f t="shared" si="364"/>
        <v>0</v>
      </c>
      <c r="AR138" s="61">
        <f t="shared" si="364"/>
        <v>0</v>
      </c>
      <c r="AS138" s="61">
        <f t="shared" si="364"/>
        <v>0</v>
      </c>
      <c r="AT138" s="61">
        <f t="shared" si="364"/>
        <v>0</v>
      </c>
      <c r="AU138" s="61">
        <f t="shared" si="364"/>
        <v>0</v>
      </c>
      <c r="AV138" s="61">
        <f t="shared" si="364"/>
        <v>0</v>
      </c>
      <c r="AW138" s="61">
        <f t="shared" si="364"/>
        <v>0</v>
      </c>
      <c r="AX138" s="61">
        <f t="shared" si="364"/>
        <v>0</v>
      </c>
      <c r="AY138" s="61">
        <f t="shared" si="364"/>
        <v>0</v>
      </c>
      <c r="AZ138" s="61">
        <f t="shared" si="364"/>
        <v>0</v>
      </c>
      <c r="BA138" s="61">
        <f t="shared" si="364"/>
        <v>0</v>
      </c>
      <c r="BB138" s="61">
        <f t="shared" si="364"/>
        <v>0</v>
      </c>
      <c r="BC138" s="61">
        <f t="shared" si="364"/>
        <v>0</v>
      </c>
      <c r="BD138" s="61">
        <f t="shared" si="364"/>
        <v>0</v>
      </c>
      <c r="BE138" s="61">
        <f t="shared" si="364"/>
        <v>0</v>
      </c>
      <c r="BF138" s="61">
        <f t="shared" si="364"/>
        <v>0</v>
      </c>
      <c r="BG138" s="61">
        <f t="shared" si="364"/>
        <v>0</v>
      </c>
      <c r="BH138" s="61">
        <f t="shared" si="364"/>
        <v>0</v>
      </c>
      <c r="BI138" s="61">
        <f t="shared" si="364"/>
        <v>0</v>
      </c>
      <c r="BJ138" s="61">
        <f t="shared" si="364"/>
        <v>0</v>
      </c>
      <c r="BK138" s="61">
        <f t="shared" si="364"/>
        <v>0</v>
      </c>
      <c r="BL138" s="61">
        <f t="shared" si="364"/>
        <v>0</v>
      </c>
      <c r="BM138" s="61">
        <f t="shared" si="364"/>
        <v>0</v>
      </c>
      <c r="BN138" s="61">
        <f t="shared" si="364"/>
        <v>0</v>
      </c>
      <c r="BO138" s="61">
        <f t="shared" si="364"/>
        <v>0</v>
      </c>
      <c r="BP138" s="61">
        <f t="shared" ref="BP138:BX138" si="365">BP135/BP85</f>
        <v>0</v>
      </c>
      <c r="BQ138" s="61">
        <f t="shared" si="365"/>
        <v>0</v>
      </c>
      <c r="BR138" s="61">
        <f t="shared" si="365"/>
        <v>0</v>
      </c>
      <c r="BS138" s="61">
        <f t="shared" si="365"/>
        <v>0</v>
      </c>
      <c r="BT138" s="61">
        <f t="shared" si="365"/>
        <v>0</v>
      </c>
      <c r="BU138" s="61">
        <f t="shared" si="365"/>
        <v>0</v>
      </c>
      <c r="BV138" s="61">
        <f t="shared" si="365"/>
        <v>0</v>
      </c>
      <c r="BW138" s="61">
        <f t="shared" si="365"/>
        <v>0</v>
      </c>
      <c r="BX138" s="61">
        <f t="shared" si="365"/>
        <v>0</v>
      </c>
    </row>
    <row r="139" spans="1:76" s="205" customFormat="1" x14ac:dyDescent="0.45">
      <c r="B139" s="30">
        <f>SUM(D139:CY139)</f>
        <v>-246602418.55118734</v>
      </c>
      <c r="C139" s="212" t="s">
        <v>169</v>
      </c>
      <c r="D139" s="219">
        <f t="shared" ref="D139:AI139" si="366">D135/D86</f>
        <v>0</v>
      </c>
      <c r="E139" s="219">
        <f t="shared" si="366"/>
        <v>0</v>
      </c>
      <c r="F139" s="219">
        <f t="shared" si="366"/>
        <v>-36537854.60025344</v>
      </c>
      <c r="G139" s="219">
        <f t="shared" si="366"/>
        <v>-32407488.428050879</v>
      </c>
      <c r="H139" s="219">
        <f t="shared" si="366"/>
        <v>-28744033.214445129</v>
      </c>
      <c r="I139" s="219">
        <f t="shared" si="366"/>
        <v>-25494707.720638283</v>
      </c>
      <c r="J139" s="219">
        <f t="shared" si="366"/>
        <v>-22612697.282653093</v>
      </c>
      <c r="K139" s="219">
        <f t="shared" si="366"/>
        <v>-20056479.328961879</v>
      </c>
      <c r="L139" s="219">
        <f t="shared" si="366"/>
        <v>-17789225.143948797</v>
      </c>
      <c r="M139" s="219">
        <f t="shared" si="366"/>
        <v>-15778269.258111106</v>
      </c>
      <c r="N139" s="219">
        <f t="shared" si="366"/>
        <v>-13994638.820237678</v>
      </c>
      <c r="O139" s="219">
        <f t="shared" si="366"/>
        <v>-12412636.170993419</v>
      </c>
      <c r="P139" s="219">
        <f t="shared" si="366"/>
        <v>-11009468.603837647</v>
      </c>
      <c r="Q139" s="219">
        <f t="shared" si="366"/>
        <v>-9764919.979055997</v>
      </c>
      <c r="R139" s="219">
        <f t="shared" si="366"/>
        <v>0</v>
      </c>
      <c r="S139" s="219">
        <f t="shared" si="366"/>
        <v>0</v>
      </c>
      <c r="T139" s="219">
        <f t="shared" si="366"/>
        <v>0</v>
      </c>
      <c r="U139" s="219">
        <f t="shared" si="366"/>
        <v>0</v>
      </c>
      <c r="V139" s="219">
        <f t="shared" si="366"/>
        <v>0</v>
      </c>
      <c r="W139" s="219">
        <f t="shared" si="366"/>
        <v>0</v>
      </c>
      <c r="X139" s="219">
        <f t="shared" si="366"/>
        <v>0</v>
      </c>
      <c r="Y139" s="219">
        <f t="shared" si="366"/>
        <v>0</v>
      </c>
      <c r="Z139" s="219">
        <f t="shared" si="366"/>
        <v>0</v>
      </c>
      <c r="AA139" s="219">
        <f t="shared" si="366"/>
        <v>0</v>
      </c>
      <c r="AB139" s="219">
        <f t="shared" si="366"/>
        <v>0</v>
      </c>
      <c r="AC139" s="219">
        <f t="shared" si="366"/>
        <v>0</v>
      </c>
      <c r="AD139" s="219">
        <f t="shared" si="366"/>
        <v>0</v>
      </c>
      <c r="AE139" s="219">
        <f t="shared" si="366"/>
        <v>0</v>
      </c>
      <c r="AF139" s="219">
        <f t="shared" si="366"/>
        <v>0</v>
      </c>
      <c r="AG139" s="219">
        <f t="shared" si="366"/>
        <v>0</v>
      </c>
      <c r="AH139" s="219">
        <f t="shared" si="366"/>
        <v>0</v>
      </c>
      <c r="AI139" s="219">
        <f t="shared" si="366"/>
        <v>0</v>
      </c>
      <c r="AJ139" s="219">
        <f t="shared" ref="AJ139:BO139" si="367">AJ135/AJ86</f>
        <v>0</v>
      </c>
      <c r="AK139" s="219">
        <f t="shared" si="367"/>
        <v>0</v>
      </c>
      <c r="AL139" s="219">
        <f t="shared" si="367"/>
        <v>0</v>
      </c>
      <c r="AM139" s="219">
        <f t="shared" si="367"/>
        <v>0</v>
      </c>
      <c r="AN139" s="219">
        <f t="shared" si="367"/>
        <v>0</v>
      </c>
      <c r="AO139" s="219">
        <f t="shared" si="367"/>
        <v>0</v>
      </c>
      <c r="AP139" s="219">
        <f t="shared" si="367"/>
        <v>0</v>
      </c>
      <c r="AQ139" s="219">
        <f t="shared" si="367"/>
        <v>0</v>
      </c>
      <c r="AR139" s="219">
        <f t="shared" si="367"/>
        <v>0</v>
      </c>
      <c r="AS139" s="219">
        <f t="shared" si="367"/>
        <v>0</v>
      </c>
      <c r="AT139" s="219">
        <f t="shared" si="367"/>
        <v>0</v>
      </c>
      <c r="AU139" s="219">
        <f t="shared" si="367"/>
        <v>0</v>
      </c>
      <c r="AV139" s="219">
        <f t="shared" si="367"/>
        <v>0</v>
      </c>
      <c r="AW139" s="219">
        <f t="shared" si="367"/>
        <v>0</v>
      </c>
      <c r="AX139" s="219">
        <f t="shared" si="367"/>
        <v>0</v>
      </c>
      <c r="AY139" s="219">
        <f t="shared" si="367"/>
        <v>0</v>
      </c>
      <c r="AZ139" s="219">
        <f t="shared" si="367"/>
        <v>0</v>
      </c>
      <c r="BA139" s="219">
        <f t="shared" si="367"/>
        <v>0</v>
      </c>
      <c r="BB139" s="219">
        <f t="shared" si="367"/>
        <v>0</v>
      </c>
      <c r="BC139" s="219">
        <f t="shared" si="367"/>
        <v>0</v>
      </c>
      <c r="BD139" s="219">
        <f t="shared" si="367"/>
        <v>0</v>
      </c>
      <c r="BE139" s="219">
        <f t="shared" si="367"/>
        <v>0</v>
      </c>
      <c r="BF139" s="219">
        <f t="shared" si="367"/>
        <v>0</v>
      </c>
      <c r="BG139" s="219">
        <f t="shared" si="367"/>
        <v>0</v>
      </c>
      <c r="BH139" s="219">
        <f t="shared" si="367"/>
        <v>0</v>
      </c>
      <c r="BI139" s="219">
        <f t="shared" si="367"/>
        <v>0</v>
      </c>
      <c r="BJ139" s="219">
        <f t="shared" si="367"/>
        <v>0</v>
      </c>
      <c r="BK139" s="219">
        <f t="shared" si="367"/>
        <v>0</v>
      </c>
      <c r="BL139" s="219">
        <f t="shared" si="367"/>
        <v>0</v>
      </c>
      <c r="BM139" s="219">
        <f t="shared" si="367"/>
        <v>0</v>
      </c>
      <c r="BN139" s="219">
        <f t="shared" si="367"/>
        <v>0</v>
      </c>
      <c r="BO139" s="219">
        <f t="shared" si="367"/>
        <v>0</v>
      </c>
      <c r="BP139" s="219">
        <f t="shared" ref="BP139:BX139" si="368">BP135/BP86</f>
        <v>0</v>
      </c>
      <c r="BQ139" s="219">
        <f t="shared" si="368"/>
        <v>0</v>
      </c>
      <c r="BR139" s="219">
        <f t="shared" si="368"/>
        <v>0</v>
      </c>
      <c r="BS139" s="219">
        <f t="shared" si="368"/>
        <v>0</v>
      </c>
      <c r="BT139" s="219">
        <f t="shared" si="368"/>
        <v>0</v>
      </c>
      <c r="BU139" s="219">
        <f t="shared" si="368"/>
        <v>0</v>
      </c>
      <c r="BV139" s="219">
        <f t="shared" si="368"/>
        <v>0</v>
      </c>
      <c r="BW139" s="219">
        <f t="shared" si="368"/>
        <v>0</v>
      </c>
      <c r="BX139" s="219">
        <f t="shared" si="368"/>
        <v>0</v>
      </c>
    </row>
    <row r="140" spans="1:76" ht="16.3" thickBot="1" x14ac:dyDescent="0.5">
      <c r="A140" s="14"/>
      <c r="B140" s="73"/>
      <c r="C140" s="74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</row>
    <row r="141" spans="1:76" x14ac:dyDescent="0.45">
      <c r="B141" s="39" t="s">
        <v>50</v>
      </c>
      <c r="C141" s="3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</row>
    <row r="142" spans="1:76" x14ac:dyDescent="0.45">
      <c r="B142" s="4"/>
      <c r="C142" s="3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</row>
    <row r="143" spans="1:76" s="205" customFormat="1" x14ac:dyDescent="0.45">
      <c r="B143" s="258" t="s">
        <v>36</v>
      </c>
      <c r="C143" s="42" t="s">
        <v>37</v>
      </c>
      <c r="D143" s="207">
        <f t="shared" ref="D143:AI143" si="369">D82</f>
        <v>2058</v>
      </c>
      <c r="E143" s="207">
        <f t="shared" si="369"/>
        <v>2059</v>
      </c>
      <c r="F143" s="207">
        <f t="shared" si="369"/>
        <v>2060</v>
      </c>
      <c r="G143" s="207">
        <f t="shared" si="369"/>
        <v>2061</v>
      </c>
      <c r="H143" s="207">
        <f t="shared" si="369"/>
        <v>2062</v>
      </c>
      <c r="I143" s="207">
        <f t="shared" si="369"/>
        <v>2063</v>
      </c>
      <c r="J143" s="207">
        <f t="shared" si="369"/>
        <v>2064</v>
      </c>
      <c r="K143" s="207">
        <f t="shared" si="369"/>
        <v>2065</v>
      </c>
      <c r="L143" s="207">
        <f t="shared" si="369"/>
        <v>2066</v>
      </c>
      <c r="M143" s="207">
        <f t="shared" si="369"/>
        <v>2067</v>
      </c>
      <c r="N143" s="207">
        <f t="shared" si="369"/>
        <v>2068</v>
      </c>
      <c r="O143" s="207">
        <f t="shared" si="369"/>
        <v>2069</v>
      </c>
      <c r="P143" s="207">
        <f t="shared" si="369"/>
        <v>2070</v>
      </c>
      <c r="Q143" s="207">
        <f t="shared" si="369"/>
        <v>2071</v>
      </c>
      <c r="R143" s="207">
        <f t="shared" si="369"/>
        <v>2072</v>
      </c>
      <c r="S143" s="207">
        <f t="shared" si="369"/>
        <v>2073</v>
      </c>
      <c r="T143" s="207">
        <f t="shared" si="369"/>
        <v>2074</v>
      </c>
      <c r="U143" s="207">
        <f t="shared" si="369"/>
        <v>2075</v>
      </c>
      <c r="V143" s="207">
        <f t="shared" si="369"/>
        <v>2076</v>
      </c>
      <c r="W143" s="207">
        <f t="shared" si="369"/>
        <v>2077</v>
      </c>
      <c r="X143" s="207">
        <f t="shared" si="369"/>
        <v>2078</v>
      </c>
      <c r="Y143" s="207">
        <f t="shared" si="369"/>
        <v>2079</v>
      </c>
      <c r="Z143" s="207">
        <f t="shared" si="369"/>
        <v>2080</v>
      </c>
      <c r="AA143" s="207">
        <f t="shared" si="369"/>
        <v>2081</v>
      </c>
      <c r="AB143" s="207">
        <f t="shared" si="369"/>
        <v>2082</v>
      </c>
      <c r="AC143" s="207">
        <f t="shared" si="369"/>
        <v>2083</v>
      </c>
      <c r="AD143" s="207">
        <f t="shared" si="369"/>
        <v>2084</v>
      </c>
      <c r="AE143" s="207">
        <f t="shared" si="369"/>
        <v>2085</v>
      </c>
      <c r="AF143" s="207">
        <f t="shared" si="369"/>
        <v>2086</v>
      </c>
      <c r="AG143" s="207">
        <f t="shared" si="369"/>
        <v>2087</v>
      </c>
      <c r="AH143" s="207">
        <f t="shared" si="369"/>
        <v>2088</v>
      </c>
      <c r="AI143" s="207">
        <f t="shared" si="369"/>
        <v>2089</v>
      </c>
      <c r="AJ143" s="207">
        <f t="shared" ref="AJ143:BO143" si="370">AJ82</f>
        <v>2090</v>
      </c>
      <c r="AK143" s="207">
        <f t="shared" si="370"/>
        <v>2091</v>
      </c>
      <c r="AL143" s="207">
        <f t="shared" si="370"/>
        <v>2092</v>
      </c>
      <c r="AM143" s="207">
        <f t="shared" si="370"/>
        <v>2093</v>
      </c>
      <c r="AN143" s="207">
        <f t="shared" si="370"/>
        <v>2094</v>
      </c>
      <c r="AO143" s="207">
        <f t="shared" si="370"/>
        <v>2095</v>
      </c>
      <c r="AP143" s="207">
        <f t="shared" si="370"/>
        <v>2096</v>
      </c>
      <c r="AQ143" s="207">
        <f t="shared" si="370"/>
        <v>2097</v>
      </c>
      <c r="AR143" s="207">
        <f t="shared" si="370"/>
        <v>2098</v>
      </c>
      <c r="AS143" s="207">
        <f t="shared" si="370"/>
        <v>2099</v>
      </c>
      <c r="AT143" s="207">
        <f t="shared" si="370"/>
        <v>2100</v>
      </c>
      <c r="AU143" s="207">
        <f t="shared" si="370"/>
        <v>2101</v>
      </c>
      <c r="AV143" s="207">
        <f t="shared" si="370"/>
        <v>2102</v>
      </c>
      <c r="AW143" s="207">
        <f t="shared" si="370"/>
        <v>2103</v>
      </c>
      <c r="AX143" s="207">
        <f t="shared" si="370"/>
        <v>2104</v>
      </c>
      <c r="AY143" s="207">
        <f t="shared" si="370"/>
        <v>2105</v>
      </c>
      <c r="AZ143" s="207">
        <f t="shared" si="370"/>
        <v>2106</v>
      </c>
      <c r="BA143" s="207">
        <f t="shared" si="370"/>
        <v>2107</v>
      </c>
      <c r="BB143" s="207">
        <f t="shared" si="370"/>
        <v>2108</v>
      </c>
      <c r="BC143" s="207">
        <f t="shared" si="370"/>
        <v>2109</v>
      </c>
      <c r="BD143" s="207">
        <f t="shared" si="370"/>
        <v>2110</v>
      </c>
      <c r="BE143" s="207">
        <f t="shared" si="370"/>
        <v>2111</v>
      </c>
      <c r="BF143" s="207">
        <f t="shared" si="370"/>
        <v>2112</v>
      </c>
      <c r="BG143" s="207">
        <f t="shared" si="370"/>
        <v>2113</v>
      </c>
      <c r="BH143" s="207">
        <f t="shared" si="370"/>
        <v>2114</v>
      </c>
      <c r="BI143" s="207">
        <f t="shared" si="370"/>
        <v>2115</v>
      </c>
      <c r="BJ143" s="207">
        <f t="shared" si="370"/>
        <v>2116</v>
      </c>
      <c r="BK143" s="207">
        <f t="shared" si="370"/>
        <v>2117</v>
      </c>
      <c r="BL143" s="207">
        <f t="shared" si="370"/>
        <v>2118</v>
      </c>
      <c r="BM143" s="207">
        <f t="shared" si="370"/>
        <v>2119</v>
      </c>
      <c r="BN143" s="207">
        <f t="shared" si="370"/>
        <v>2120</v>
      </c>
      <c r="BO143" s="207">
        <f t="shared" si="370"/>
        <v>2121</v>
      </c>
      <c r="BP143" s="207">
        <f t="shared" ref="BP143:BX143" si="371">BP82</f>
        <v>2122</v>
      </c>
      <c r="BQ143" s="207">
        <f t="shared" si="371"/>
        <v>2123</v>
      </c>
      <c r="BR143" s="207">
        <f t="shared" si="371"/>
        <v>2124</v>
      </c>
      <c r="BS143" s="207">
        <f t="shared" si="371"/>
        <v>2125</v>
      </c>
      <c r="BT143" s="207">
        <f t="shared" si="371"/>
        <v>2126</v>
      </c>
      <c r="BU143" s="207">
        <f t="shared" si="371"/>
        <v>2127</v>
      </c>
      <c r="BV143" s="207">
        <f t="shared" si="371"/>
        <v>2128</v>
      </c>
      <c r="BW143" s="207">
        <f t="shared" si="371"/>
        <v>2129</v>
      </c>
      <c r="BX143" s="207">
        <f t="shared" si="371"/>
        <v>2130</v>
      </c>
    </row>
    <row r="144" spans="1:76" s="205" customFormat="1" x14ac:dyDescent="0.45">
      <c r="B144" s="258"/>
      <c r="C144" s="43" t="s">
        <v>38</v>
      </c>
      <c r="D144" s="209">
        <v>1</v>
      </c>
      <c r="E144" s="209">
        <f>D144+1</f>
        <v>2</v>
      </c>
      <c r="F144" s="209">
        <f t="shared" ref="F144" si="372">E144+1</f>
        <v>3</v>
      </c>
      <c r="G144" s="209">
        <f t="shared" ref="G144" si="373">F144+1</f>
        <v>4</v>
      </c>
      <c r="H144" s="209">
        <f t="shared" ref="H144" si="374">G144+1</f>
        <v>5</v>
      </c>
      <c r="I144" s="209">
        <f t="shared" ref="I144" si="375">H144+1</f>
        <v>6</v>
      </c>
      <c r="J144" s="209">
        <f t="shared" ref="J144" si="376">I144+1</f>
        <v>7</v>
      </c>
      <c r="K144" s="209">
        <f t="shared" ref="K144" si="377">J144+1</f>
        <v>8</v>
      </c>
      <c r="L144" s="209">
        <f t="shared" ref="L144" si="378">K144+1</f>
        <v>9</v>
      </c>
      <c r="M144" s="209">
        <f>L144+1</f>
        <v>10</v>
      </c>
      <c r="N144" s="209">
        <f t="shared" ref="N144" si="379">M144+1</f>
        <v>11</v>
      </c>
      <c r="O144" s="209">
        <f t="shared" ref="O144" si="380">N144+1</f>
        <v>12</v>
      </c>
      <c r="P144" s="209">
        <f t="shared" ref="P144" si="381">O144+1</f>
        <v>13</v>
      </c>
      <c r="Q144" s="209">
        <f>P144+1</f>
        <v>14</v>
      </c>
      <c r="R144" s="209">
        <f>Q144+1</f>
        <v>15</v>
      </c>
      <c r="S144" s="209">
        <f t="shared" ref="S144" si="382">R144+1</f>
        <v>16</v>
      </c>
      <c r="T144" s="209">
        <f t="shared" ref="T144" si="383">S144+1</f>
        <v>17</v>
      </c>
      <c r="U144" s="209">
        <f t="shared" ref="U144" si="384">T144+1</f>
        <v>18</v>
      </c>
      <c r="V144" s="209">
        <f t="shared" ref="V144" si="385">U144+1</f>
        <v>19</v>
      </c>
      <c r="W144" s="209">
        <f t="shared" ref="W144" si="386">V144+1</f>
        <v>20</v>
      </c>
      <c r="X144" s="209">
        <f>W144+1</f>
        <v>21</v>
      </c>
      <c r="Y144" s="209">
        <f t="shared" ref="Y144" si="387">X144+1</f>
        <v>22</v>
      </c>
      <c r="Z144" s="209">
        <f t="shared" ref="Z144" si="388">Y144+1</f>
        <v>23</v>
      </c>
      <c r="AA144" s="209">
        <f t="shared" ref="AA144" si="389">Z144+1</f>
        <v>24</v>
      </c>
      <c r="AB144" s="209">
        <f t="shared" ref="AB144" si="390">AA144+1</f>
        <v>25</v>
      </c>
      <c r="AC144" s="209">
        <f t="shared" ref="AC144" si="391">AB144+1</f>
        <v>26</v>
      </c>
      <c r="AD144" s="209">
        <f t="shared" ref="AD144" si="392">AC144+1</f>
        <v>27</v>
      </c>
      <c r="AE144" s="209">
        <f t="shared" ref="AE144" si="393">AD144+1</f>
        <v>28</v>
      </c>
      <c r="AF144" s="209">
        <f t="shared" ref="AF144" si="394">AE144+1</f>
        <v>29</v>
      </c>
      <c r="AG144" s="209">
        <f t="shared" ref="AG144" si="395">AF144+1</f>
        <v>30</v>
      </c>
      <c r="AH144" s="209">
        <f t="shared" ref="AH144" si="396">AG144+1</f>
        <v>31</v>
      </c>
      <c r="AI144" s="209">
        <f t="shared" ref="AI144" si="397">AH144+1</f>
        <v>32</v>
      </c>
      <c r="AJ144" s="209">
        <f t="shared" ref="AJ144" si="398">AI144+1</f>
        <v>33</v>
      </c>
      <c r="AK144" s="209">
        <f t="shared" ref="AK144" si="399">AJ144+1</f>
        <v>34</v>
      </c>
      <c r="AL144" s="209">
        <f t="shared" ref="AL144" si="400">AK144+1</f>
        <v>35</v>
      </c>
      <c r="AM144" s="209">
        <f t="shared" ref="AM144" si="401">AL144+1</f>
        <v>36</v>
      </c>
      <c r="AN144" s="209">
        <f t="shared" ref="AN144" si="402">AM144+1</f>
        <v>37</v>
      </c>
      <c r="AO144" s="209">
        <f t="shared" ref="AO144" si="403">AN144+1</f>
        <v>38</v>
      </c>
      <c r="AP144" s="209">
        <f t="shared" ref="AP144" si="404">AO144+1</f>
        <v>39</v>
      </c>
      <c r="AQ144" s="209">
        <f t="shared" ref="AQ144" si="405">AP144+1</f>
        <v>40</v>
      </c>
      <c r="AR144" s="209">
        <f t="shared" ref="AR144" si="406">AQ144+1</f>
        <v>41</v>
      </c>
      <c r="AS144" s="209">
        <f t="shared" ref="AS144" si="407">AR144+1</f>
        <v>42</v>
      </c>
      <c r="AT144" s="209">
        <f t="shared" ref="AT144" si="408">AS144+1</f>
        <v>43</v>
      </c>
      <c r="AU144" s="209">
        <f t="shared" ref="AU144" si="409">AT144+1</f>
        <v>44</v>
      </c>
      <c r="AV144" s="209">
        <f t="shared" ref="AV144" si="410">AU144+1</f>
        <v>45</v>
      </c>
      <c r="AW144" s="209">
        <f t="shared" ref="AW144" si="411">AV144+1</f>
        <v>46</v>
      </c>
      <c r="AX144" s="209">
        <f t="shared" ref="AX144" si="412">AW144+1</f>
        <v>47</v>
      </c>
      <c r="AY144" s="209">
        <f t="shared" ref="AY144" si="413">AX144+1</f>
        <v>48</v>
      </c>
      <c r="AZ144" s="209">
        <f t="shared" ref="AZ144" si="414">AY144+1</f>
        <v>49</v>
      </c>
      <c r="BA144" s="209">
        <f t="shared" ref="BA144" si="415">AZ144+1</f>
        <v>50</v>
      </c>
      <c r="BB144" s="209">
        <f t="shared" ref="BB144" si="416">BA144+1</f>
        <v>51</v>
      </c>
      <c r="BC144" s="209">
        <f t="shared" ref="BC144" si="417">BB144+1</f>
        <v>52</v>
      </c>
      <c r="BD144" s="209">
        <f t="shared" ref="BD144" si="418">BC144+1</f>
        <v>53</v>
      </c>
      <c r="BE144" s="209">
        <f t="shared" ref="BE144" si="419">BD144+1</f>
        <v>54</v>
      </c>
      <c r="BF144" s="209">
        <f t="shared" ref="BF144" si="420">BE144+1</f>
        <v>55</v>
      </c>
      <c r="BG144" s="209">
        <f t="shared" ref="BG144" si="421">BF144+1</f>
        <v>56</v>
      </c>
      <c r="BH144" s="209">
        <f t="shared" ref="BH144" si="422">BG144+1</f>
        <v>57</v>
      </c>
      <c r="BI144" s="209">
        <f t="shared" ref="BI144" si="423">BH144+1</f>
        <v>58</v>
      </c>
      <c r="BJ144" s="209">
        <f t="shared" ref="BJ144" si="424">BI144+1</f>
        <v>59</v>
      </c>
      <c r="BK144" s="209">
        <f t="shared" ref="BK144" si="425">BJ144+1</f>
        <v>60</v>
      </c>
      <c r="BL144" s="209">
        <f t="shared" ref="BL144" si="426">BK144+1</f>
        <v>61</v>
      </c>
      <c r="BM144" s="209">
        <f t="shared" ref="BM144" si="427">BL144+1</f>
        <v>62</v>
      </c>
      <c r="BN144" s="209">
        <f t="shared" ref="BN144" si="428">BM144+1</f>
        <v>63</v>
      </c>
      <c r="BO144" s="209">
        <f t="shared" ref="BO144" si="429">BN144+1</f>
        <v>64</v>
      </c>
      <c r="BP144" s="209">
        <f t="shared" ref="BP144" si="430">BO144+1</f>
        <v>65</v>
      </c>
      <c r="BQ144" s="209">
        <f t="shared" ref="BQ144" si="431">BP144+1</f>
        <v>66</v>
      </c>
      <c r="BR144" s="209">
        <f t="shared" ref="BR144" si="432">BQ144+1</f>
        <v>67</v>
      </c>
      <c r="BS144" s="209">
        <f t="shared" ref="BS144" si="433">BR144+1</f>
        <v>68</v>
      </c>
      <c r="BT144" s="209">
        <f t="shared" ref="BT144" si="434">BS144+1</f>
        <v>69</v>
      </c>
      <c r="BU144" s="209">
        <f t="shared" ref="BU144" si="435">BT144+1</f>
        <v>70</v>
      </c>
      <c r="BV144" s="209">
        <f t="shared" ref="BV144" si="436">BU144+1</f>
        <v>71</v>
      </c>
      <c r="BW144" s="209">
        <f t="shared" ref="BW144" si="437">BV144+1</f>
        <v>72</v>
      </c>
      <c r="BX144" s="209">
        <f t="shared" ref="BX144" si="438">BW144+1</f>
        <v>73</v>
      </c>
    </row>
    <row r="145" spans="1:76" x14ac:dyDescent="0.45">
      <c r="B145" s="258"/>
      <c r="C145" s="3"/>
      <c r="D145" s="3"/>
      <c r="E145" s="3"/>
      <c r="F145" s="3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3"/>
    </row>
    <row r="146" spans="1:76" s="205" customFormat="1" x14ac:dyDescent="0.45">
      <c r="B146" s="30"/>
      <c r="C146" s="190" t="s">
        <v>138</v>
      </c>
      <c r="D146" s="228">
        <f t="shared" ref="D146:AI146" si="439">IF(D143&lt;$D$62+$D$63+12,_xlfn.IFNA(IF(D143&lt;$I$9,IF(D143&lt;=$M$73,VLOOKUP(D143,$M$29:$P$73,$M$28,FALSE),VLOOKUP(D143,$S$29:$V$73,$M$28,FALSE)),IF(D143&lt;=$Z$73,VLOOKUP(D143,$Z$29:$AC$73,$Z$28,FALSE),VLOOKUP(D143,$AF$29:$AI$73,$Z$28,FALSE))),0),0)</f>
        <v>65.958920723539507</v>
      </c>
      <c r="E146" s="228">
        <f t="shared" si="439"/>
        <v>67.278099138010305</v>
      </c>
      <c r="F146" s="228">
        <f t="shared" si="439"/>
        <v>98.03380160110072</v>
      </c>
      <c r="G146" s="228">
        <f t="shared" si="439"/>
        <v>99.994477633122742</v>
      </c>
      <c r="H146" s="228">
        <f t="shared" si="439"/>
        <v>101.99436718578518</v>
      </c>
      <c r="I146" s="228">
        <f t="shared" si="439"/>
        <v>104.0342545295009</v>
      </c>
      <c r="J146" s="228">
        <f t="shared" si="439"/>
        <v>106.11493962009094</v>
      </c>
      <c r="K146" s="228">
        <f t="shared" si="439"/>
        <v>108.23723841249272</v>
      </c>
      <c r="L146" s="228">
        <f t="shared" si="439"/>
        <v>110.40198318074259</v>
      </c>
      <c r="M146" s="228">
        <f t="shared" si="439"/>
        <v>112.61002284435745</v>
      </c>
      <c r="N146" s="228">
        <f t="shared" si="439"/>
        <v>114.86222330124458</v>
      </c>
      <c r="O146" s="228">
        <f t="shared" si="439"/>
        <v>117.15946776726946</v>
      </c>
      <c r="P146" s="228">
        <f t="shared" si="439"/>
        <v>119.50265712261488</v>
      </c>
      <c r="Q146" s="228">
        <f t="shared" si="439"/>
        <v>121.89271026506717</v>
      </c>
      <c r="R146" s="228">
        <f t="shared" si="439"/>
        <v>0</v>
      </c>
      <c r="S146" s="228">
        <f t="shared" si="439"/>
        <v>0</v>
      </c>
      <c r="T146" s="228">
        <f t="shared" si="439"/>
        <v>0</v>
      </c>
      <c r="U146" s="228">
        <f t="shared" si="439"/>
        <v>0</v>
      </c>
      <c r="V146" s="228">
        <f t="shared" si="439"/>
        <v>0</v>
      </c>
      <c r="W146" s="228">
        <f t="shared" si="439"/>
        <v>0</v>
      </c>
      <c r="X146" s="228">
        <f t="shared" si="439"/>
        <v>0</v>
      </c>
      <c r="Y146" s="228">
        <f t="shared" si="439"/>
        <v>0</v>
      </c>
      <c r="Z146" s="228">
        <f t="shared" si="439"/>
        <v>0</v>
      </c>
      <c r="AA146" s="228">
        <f t="shared" si="439"/>
        <v>0</v>
      </c>
      <c r="AB146" s="228">
        <f t="shared" si="439"/>
        <v>0</v>
      </c>
      <c r="AC146" s="228">
        <f t="shared" si="439"/>
        <v>0</v>
      </c>
      <c r="AD146" s="228">
        <f t="shared" si="439"/>
        <v>0</v>
      </c>
      <c r="AE146" s="228">
        <f t="shared" si="439"/>
        <v>0</v>
      </c>
      <c r="AF146" s="228">
        <f t="shared" si="439"/>
        <v>0</v>
      </c>
      <c r="AG146" s="228">
        <f t="shared" si="439"/>
        <v>0</v>
      </c>
      <c r="AH146" s="228">
        <f t="shared" si="439"/>
        <v>0</v>
      </c>
      <c r="AI146" s="228">
        <f t="shared" si="439"/>
        <v>0</v>
      </c>
      <c r="AJ146" s="228">
        <f t="shared" ref="AJ146:BO146" si="440">IF(AJ143&lt;$D$62+$D$63+12,_xlfn.IFNA(IF(AJ143&lt;$I$9,IF(AJ143&lt;=$M$73,VLOOKUP(AJ143,$M$29:$P$73,$M$28,FALSE),VLOOKUP(AJ143,$S$29:$V$73,$M$28,FALSE)),IF(AJ143&lt;=$Z$73,VLOOKUP(AJ143,$Z$29:$AC$73,$Z$28,FALSE),VLOOKUP(AJ143,$AF$29:$AI$73,$Z$28,FALSE))),0),0)</f>
        <v>0</v>
      </c>
      <c r="AK146" s="228">
        <f t="shared" si="440"/>
        <v>0</v>
      </c>
      <c r="AL146" s="228">
        <f t="shared" si="440"/>
        <v>0</v>
      </c>
      <c r="AM146" s="228">
        <f t="shared" si="440"/>
        <v>0</v>
      </c>
      <c r="AN146" s="228">
        <f t="shared" si="440"/>
        <v>0</v>
      </c>
      <c r="AO146" s="228">
        <f t="shared" si="440"/>
        <v>0</v>
      </c>
      <c r="AP146" s="228">
        <f t="shared" si="440"/>
        <v>0</v>
      </c>
      <c r="AQ146" s="228">
        <f t="shared" si="440"/>
        <v>0</v>
      </c>
      <c r="AR146" s="228">
        <f t="shared" si="440"/>
        <v>0</v>
      </c>
      <c r="AS146" s="228">
        <f t="shared" si="440"/>
        <v>0</v>
      </c>
      <c r="AT146" s="228">
        <f t="shared" si="440"/>
        <v>0</v>
      </c>
      <c r="AU146" s="228">
        <f t="shared" si="440"/>
        <v>0</v>
      </c>
      <c r="AV146" s="228">
        <f t="shared" si="440"/>
        <v>0</v>
      </c>
      <c r="AW146" s="228">
        <f t="shared" si="440"/>
        <v>0</v>
      </c>
      <c r="AX146" s="228">
        <f t="shared" si="440"/>
        <v>0</v>
      </c>
      <c r="AY146" s="228">
        <f t="shared" si="440"/>
        <v>0</v>
      </c>
      <c r="AZ146" s="228">
        <f t="shared" si="440"/>
        <v>0</v>
      </c>
      <c r="BA146" s="228">
        <f t="shared" si="440"/>
        <v>0</v>
      </c>
      <c r="BB146" s="228">
        <f t="shared" si="440"/>
        <v>0</v>
      </c>
      <c r="BC146" s="228">
        <f t="shared" si="440"/>
        <v>0</v>
      </c>
      <c r="BD146" s="228">
        <f t="shared" si="440"/>
        <v>0</v>
      </c>
      <c r="BE146" s="228">
        <f t="shared" si="440"/>
        <v>0</v>
      </c>
      <c r="BF146" s="228">
        <f t="shared" si="440"/>
        <v>0</v>
      </c>
      <c r="BG146" s="228">
        <f t="shared" si="440"/>
        <v>0</v>
      </c>
      <c r="BH146" s="228">
        <f t="shared" si="440"/>
        <v>0</v>
      </c>
      <c r="BI146" s="228">
        <f t="shared" si="440"/>
        <v>0</v>
      </c>
      <c r="BJ146" s="228">
        <f t="shared" si="440"/>
        <v>0</v>
      </c>
      <c r="BK146" s="228">
        <f t="shared" si="440"/>
        <v>0</v>
      </c>
      <c r="BL146" s="228">
        <f t="shared" si="440"/>
        <v>0</v>
      </c>
      <c r="BM146" s="228">
        <f t="shared" si="440"/>
        <v>0</v>
      </c>
      <c r="BN146" s="228">
        <f t="shared" si="440"/>
        <v>0</v>
      </c>
      <c r="BO146" s="228">
        <f t="shared" si="440"/>
        <v>0</v>
      </c>
      <c r="BP146" s="228">
        <f t="shared" ref="BP146:BX146" si="441">IF(BP143&lt;$D$62+$D$63+12,_xlfn.IFNA(IF(BP143&lt;$I$9,IF(BP143&lt;=$M$73,VLOOKUP(BP143,$M$29:$P$73,$M$28,FALSE),VLOOKUP(BP143,$S$29:$V$73,$M$28,FALSE)),IF(BP143&lt;=$Z$73,VLOOKUP(BP143,$Z$29:$AC$73,$Z$28,FALSE),VLOOKUP(BP143,$AF$29:$AI$73,$Z$28,FALSE))),0),0)</f>
        <v>0</v>
      </c>
      <c r="BQ146" s="228">
        <f t="shared" si="441"/>
        <v>0</v>
      </c>
      <c r="BR146" s="228">
        <f t="shared" si="441"/>
        <v>0</v>
      </c>
      <c r="BS146" s="228">
        <f t="shared" si="441"/>
        <v>0</v>
      </c>
      <c r="BT146" s="228">
        <f t="shared" si="441"/>
        <v>0</v>
      </c>
      <c r="BU146" s="228">
        <f t="shared" si="441"/>
        <v>0</v>
      </c>
      <c r="BV146" s="228">
        <f t="shared" si="441"/>
        <v>0</v>
      </c>
      <c r="BW146" s="228">
        <f t="shared" si="441"/>
        <v>0</v>
      </c>
      <c r="BX146" s="228">
        <f t="shared" si="441"/>
        <v>0</v>
      </c>
    </row>
    <row r="147" spans="1:76" s="205" customFormat="1" x14ac:dyDescent="0.45">
      <c r="B147" s="30">
        <f>SUM(D147:CY147)</f>
        <v>2301940717.4157019</v>
      </c>
      <c r="C147" s="190" t="s">
        <v>139</v>
      </c>
      <c r="D147" s="61">
        <f t="shared" ref="D147:AI147" si="442">D146*D88</f>
        <v>0</v>
      </c>
      <c r="E147" s="61">
        <f t="shared" si="442"/>
        <v>0</v>
      </c>
      <c r="F147" s="61">
        <f>F146*F88</f>
        <v>171631771.34046227</v>
      </c>
      <c r="G147" s="61">
        <f t="shared" si="442"/>
        <v>175064406.76727152</v>
      </c>
      <c r="H147" s="61">
        <f t="shared" si="442"/>
        <v>178565694.90261695</v>
      </c>
      <c r="I147" s="61">
        <f t="shared" si="442"/>
        <v>182137008.80066931</v>
      </c>
      <c r="J147" s="61">
        <f t="shared" si="442"/>
        <v>185779748.97668272</v>
      </c>
      <c r="K147" s="61">
        <f t="shared" si="442"/>
        <v>189495343.95621631</v>
      </c>
      <c r="L147" s="61">
        <f t="shared" si="442"/>
        <v>193285250.83534068</v>
      </c>
      <c r="M147" s="61">
        <f t="shared" si="442"/>
        <v>197150955.85204747</v>
      </c>
      <c r="N147" s="61">
        <f t="shared" si="442"/>
        <v>201093974.96908841</v>
      </c>
      <c r="O147" s="61">
        <f t="shared" si="442"/>
        <v>205115854.46847016</v>
      </c>
      <c r="P147" s="61">
        <f t="shared" si="442"/>
        <v>209218171.5578396</v>
      </c>
      <c r="Q147" s="61">
        <f t="shared" si="442"/>
        <v>213402534.98899639</v>
      </c>
      <c r="R147" s="61">
        <f t="shared" si="442"/>
        <v>0</v>
      </c>
      <c r="S147" s="61">
        <f t="shared" si="442"/>
        <v>0</v>
      </c>
      <c r="T147" s="61">
        <f t="shared" si="442"/>
        <v>0</v>
      </c>
      <c r="U147" s="61">
        <f t="shared" si="442"/>
        <v>0</v>
      </c>
      <c r="V147" s="61">
        <f t="shared" si="442"/>
        <v>0</v>
      </c>
      <c r="W147" s="61">
        <f t="shared" si="442"/>
        <v>0</v>
      </c>
      <c r="X147" s="61">
        <f t="shared" si="442"/>
        <v>0</v>
      </c>
      <c r="Y147" s="61">
        <f t="shared" si="442"/>
        <v>0</v>
      </c>
      <c r="Z147" s="61">
        <f t="shared" si="442"/>
        <v>0</v>
      </c>
      <c r="AA147" s="61">
        <f t="shared" si="442"/>
        <v>0</v>
      </c>
      <c r="AB147" s="61">
        <f t="shared" si="442"/>
        <v>0</v>
      </c>
      <c r="AC147" s="61">
        <f t="shared" si="442"/>
        <v>0</v>
      </c>
      <c r="AD147" s="61">
        <f t="shared" si="442"/>
        <v>0</v>
      </c>
      <c r="AE147" s="61">
        <f t="shared" si="442"/>
        <v>0</v>
      </c>
      <c r="AF147" s="61">
        <f t="shared" si="442"/>
        <v>0</v>
      </c>
      <c r="AG147" s="61">
        <f t="shared" si="442"/>
        <v>0</v>
      </c>
      <c r="AH147" s="61">
        <f t="shared" si="442"/>
        <v>0</v>
      </c>
      <c r="AI147" s="61">
        <f t="shared" si="442"/>
        <v>0</v>
      </c>
      <c r="AJ147" s="61">
        <f t="shared" ref="AJ147:BO147" si="443">AJ146*AJ88</f>
        <v>0</v>
      </c>
      <c r="AK147" s="61">
        <f t="shared" si="443"/>
        <v>0</v>
      </c>
      <c r="AL147" s="61">
        <f t="shared" si="443"/>
        <v>0</v>
      </c>
      <c r="AM147" s="61">
        <f t="shared" si="443"/>
        <v>0</v>
      </c>
      <c r="AN147" s="61">
        <f t="shared" si="443"/>
        <v>0</v>
      </c>
      <c r="AO147" s="61">
        <f t="shared" si="443"/>
        <v>0</v>
      </c>
      <c r="AP147" s="61">
        <f t="shared" si="443"/>
        <v>0</v>
      </c>
      <c r="AQ147" s="61">
        <f t="shared" si="443"/>
        <v>0</v>
      </c>
      <c r="AR147" s="61">
        <f t="shared" si="443"/>
        <v>0</v>
      </c>
      <c r="AS147" s="61">
        <f t="shared" si="443"/>
        <v>0</v>
      </c>
      <c r="AT147" s="61">
        <f t="shared" si="443"/>
        <v>0</v>
      </c>
      <c r="AU147" s="61">
        <f t="shared" si="443"/>
        <v>0</v>
      </c>
      <c r="AV147" s="61">
        <f t="shared" si="443"/>
        <v>0</v>
      </c>
      <c r="AW147" s="61">
        <f t="shared" si="443"/>
        <v>0</v>
      </c>
      <c r="AX147" s="61">
        <f t="shared" si="443"/>
        <v>0</v>
      </c>
      <c r="AY147" s="61">
        <f t="shared" si="443"/>
        <v>0</v>
      </c>
      <c r="AZ147" s="61">
        <f t="shared" si="443"/>
        <v>0</v>
      </c>
      <c r="BA147" s="61">
        <f t="shared" si="443"/>
        <v>0</v>
      </c>
      <c r="BB147" s="61">
        <f t="shared" si="443"/>
        <v>0</v>
      </c>
      <c r="BC147" s="61">
        <f t="shared" si="443"/>
        <v>0</v>
      </c>
      <c r="BD147" s="61">
        <f t="shared" si="443"/>
        <v>0</v>
      </c>
      <c r="BE147" s="61">
        <f t="shared" si="443"/>
        <v>0</v>
      </c>
      <c r="BF147" s="61">
        <f t="shared" si="443"/>
        <v>0</v>
      </c>
      <c r="BG147" s="61">
        <f t="shared" si="443"/>
        <v>0</v>
      </c>
      <c r="BH147" s="61">
        <f t="shared" si="443"/>
        <v>0</v>
      </c>
      <c r="BI147" s="61">
        <f t="shared" si="443"/>
        <v>0</v>
      </c>
      <c r="BJ147" s="61">
        <f t="shared" si="443"/>
        <v>0</v>
      </c>
      <c r="BK147" s="61">
        <f t="shared" si="443"/>
        <v>0</v>
      </c>
      <c r="BL147" s="61">
        <f t="shared" si="443"/>
        <v>0</v>
      </c>
      <c r="BM147" s="61">
        <f t="shared" si="443"/>
        <v>0</v>
      </c>
      <c r="BN147" s="61">
        <f t="shared" si="443"/>
        <v>0</v>
      </c>
      <c r="BO147" s="61">
        <f t="shared" si="443"/>
        <v>0</v>
      </c>
      <c r="BP147" s="61">
        <f t="shared" ref="BP147:BX147" si="444">BP146*BP88</f>
        <v>0</v>
      </c>
      <c r="BQ147" s="61">
        <f t="shared" si="444"/>
        <v>0</v>
      </c>
      <c r="BR147" s="61">
        <f t="shared" si="444"/>
        <v>0</v>
      </c>
      <c r="BS147" s="61">
        <f t="shared" si="444"/>
        <v>0</v>
      </c>
      <c r="BT147" s="61">
        <f t="shared" si="444"/>
        <v>0</v>
      </c>
      <c r="BU147" s="61">
        <f t="shared" si="444"/>
        <v>0</v>
      </c>
      <c r="BV147" s="61">
        <f t="shared" si="444"/>
        <v>0</v>
      </c>
      <c r="BW147" s="61">
        <f t="shared" si="444"/>
        <v>0</v>
      </c>
      <c r="BX147" s="61">
        <f t="shared" si="444"/>
        <v>0</v>
      </c>
    </row>
    <row r="148" spans="1:76" s="205" customFormat="1" x14ac:dyDescent="0.45">
      <c r="B148" s="30">
        <f>SUM(D148:CY148)</f>
        <v>932764610.17631435</v>
      </c>
      <c r="C148" s="190" t="s">
        <v>140</v>
      </c>
      <c r="D148" s="61">
        <f t="shared" ref="D148:AI148" si="445">D147/D85</f>
        <v>0</v>
      </c>
      <c r="E148" s="61">
        <f t="shared" si="445"/>
        <v>0</v>
      </c>
      <c r="F148" s="61">
        <f t="shared" si="445"/>
        <v>77730384.181359515</v>
      </c>
      <c r="G148" s="61">
        <f t="shared" si="445"/>
        <v>77730384.181359529</v>
      </c>
      <c r="H148" s="61">
        <f t="shared" si="445"/>
        <v>77730384.181359529</v>
      </c>
      <c r="I148" s="61">
        <f t="shared" si="445"/>
        <v>77730384.181359544</v>
      </c>
      <c r="J148" s="61">
        <f t="shared" si="445"/>
        <v>77730384.181359544</v>
      </c>
      <c r="K148" s="61">
        <f t="shared" si="445"/>
        <v>77730384.181359515</v>
      </c>
      <c r="L148" s="61">
        <f t="shared" si="445"/>
        <v>77730384.181359529</v>
      </c>
      <c r="M148" s="61">
        <f t="shared" si="445"/>
        <v>77730384.181359544</v>
      </c>
      <c r="N148" s="61">
        <f t="shared" si="445"/>
        <v>77730384.181359529</v>
      </c>
      <c r="O148" s="61">
        <f t="shared" si="445"/>
        <v>77730384.181359515</v>
      </c>
      <c r="P148" s="61">
        <f t="shared" si="445"/>
        <v>77730384.181359529</v>
      </c>
      <c r="Q148" s="61">
        <f t="shared" si="445"/>
        <v>77730384.181359544</v>
      </c>
      <c r="R148" s="61">
        <f t="shared" si="445"/>
        <v>0</v>
      </c>
      <c r="S148" s="61">
        <f t="shared" si="445"/>
        <v>0</v>
      </c>
      <c r="T148" s="61">
        <f t="shared" si="445"/>
        <v>0</v>
      </c>
      <c r="U148" s="61">
        <f t="shared" si="445"/>
        <v>0</v>
      </c>
      <c r="V148" s="61">
        <f t="shared" si="445"/>
        <v>0</v>
      </c>
      <c r="W148" s="61">
        <f t="shared" si="445"/>
        <v>0</v>
      </c>
      <c r="X148" s="61">
        <f t="shared" si="445"/>
        <v>0</v>
      </c>
      <c r="Y148" s="61">
        <f t="shared" si="445"/>
        <v>0</v>
      </c>
      <c r="Z148" s="61">
        <f t="shared" si="445"/>
        <v>0</v>
      </c>
      <c r="AA148" s="61">
        <f t="shared" si="445"/>
        <v>0</v>
      </c>
      <c r="AB148" s="61">
        <f t="shared" si="445"/>
        <v>0</v>
      </c>
      <c r="AC148" s="61">
        <f t="shared" si="445"/>
        <v>0</v>
      </c>
      <c r="AD148" s="61">
        <f t="shared" si="445"/>
        <v>0</v>
      </c>
      <c r="AE148" s="61">
        <f t="shared" si="445"/>
        <v>0</v>
      </c>
      <c r="AF148" s="61">
        <f t="shared" si="445"/>
        <v>0</v>
      </c>
      <c r="AG148" s="61">
        <f t="shared" si="445"/>
        <v>0</v>
      </c>
      <c r="AH148" s="61">
        <f t="shared" si="445"/>
        <v>0</v>
      </c>
      <c r="AI148" s="61">
        <f t="shared" si="445"/>
        <v>0</v>
      </c>
      <c r="AJ148" s="61">
        <f t="shared" ref="AJ148:BO148" si="446">AJ147/AJ85</f>
        <v>0</v>
      </c>
      <c r="AK148" s="61">
        <f t="shared" si="446"/>
        <v>0</v>
      </c>
      <c r="AL148" s="61">
        <f t="shared" si="446"/>
        <v>0</v>
      </c>
      <c r="AM148" s="61">
        <f t="shared" si="446"/>
        <v>0</v>
      </c>
      <c r="AN148" s="61">
        <f t="shared" si="446"/>
        <v>0</v>
      </c>
      <c r="AO148" s="61">
        <f t="shared" si="446"/>
        <v>0</v>
      </c>
      <c r="AP148" s="61">
        <f t="shared" si="446"/>
        <v>0</v>
      </c>
      <c r="AQ148" s="61">
        <f t="shared" si="446"/>
        <v>0</v>
      </c>
      <c r="AR148" s="61">
        <f t="shared" si="446"/>
        <v>0</v>
      </c>
      <c r="AS148" s="61">
        <f t="shared" si="446"/>
        <v>0</v>
      </c>
      <c r="AT148" s="61">
        <f t="shared" si="446"/>
        <v>0</v>
      </c>
      <c r="AU148" s="61">
        <f t="shared" si="446"/>
        <v>0</v>
      </c>
      <c r="AV148" s="61">
        <f t="shared" si="446"/>
        <v>0</v>
      </c>
      <c r="AW148" s="61">
        <f t="shared" si="446"/>
        <v>0</v>
      </c>
      <c r="AX148" s="61">
        <f t="shared" si="446"/>
        <v>0</v>
      </c>
      <c r="AY148" s="61">
        <f t="shared" si="446"/>
        <v>0</v>
      </c>
      <c r="AZ148" s="61">
        <f t="shared" si="446"/>
        <v>0</v>
      </c>
      <c r="BA148" s="61">
        <f t="shared" si="446"/>
        <v>0</v>
      </c>
      <c r="BB148" s="61">
        <f t="shared" si="446"/>
        <v>0</v>
      </c>
      <c r="BC148" s="61">
        <f t="shared" si="446"/>
        <v>0</v>
      </c>
      <c r="BD148" s="61">
        <f t="shared" si="446"/>
        <v>0</v>
      </c>
      <c r="BE148" s="61">
        <f t="shared" si="446"/>
        <v>0</v>
      </c>
      <c r="BF148" s="61">
        <f t="shared" si="446"/>
        <v>0</v>
      </c>
      <c r="BG148" s="61">
        <f t="shared" si="446"/>
        <v>0</v>
      </c>
      <c r="BH148" s="61">
        <f t="shared" si="446"/>
        <v>0</v>
      </c>
      <c r="BI148" s="61">
        <f t="shared" si="446"/>
        <v>0</v>
      </c>
      <c r="BJ148" s="61">
        <f t="shared" si="446"/>
        <v>0</v>
      </c>
      <c r="BK148" s="61">
        <f t="shared" si="446"/>
        <v>0</v>
      </c>
      <c r="BL148" s="61">
        <f t="shared" si="446"/>
        <v>0</v>
      </c>
      <c r="BM148" s="61">
        <f t="shared" si="446"/>
        <v>0</v>
      </c>
      <c r="BN148" s="61">
        <f t="shared" si="446"/>
        <v>0</v>
      </c>
      <c r="BO148" s="61">
        <f t="shared" si="446"/>
        <v>0</v>
      </c>
      <c r="BP148" s="61">
        <f t="shared" ref="BP148:BX148" si="447">BP147/BP85</f>
        <v>0</v>
      </c>
      <c r="BQ148" s="61">
        <f t="shared" si="447"/>
        <v>0</v>
      </c>
      <c r="BR148" s="61">
        <f t="shared" si="447"/>
        <v>0</v>
      </c>
      <c r="BS148" s="61">
        <f t="shared" si="447"/>
        <v>0</v>
      </c>
      <c r="BT148" s="61">
        <f t="shared" si="447"/>
        <v>0</v>
      </c>
      <c r="BU148" s="61">
        <f t="shared" si="447"/>
        <v>0</v>
      </c>
      <c r="BV148" s="61">
        <f t="shared" si="447"/>
        <v>0</v>
      </c>
      <c r="BW148" s="61">
        <f t="shared" si="447"/>
        <v>0</v>
      </c>
      <c r="BX148" s="61">
        <f t="shared" si="447"/>
        <v>0</v>
      </c>
    </row>
    <row r="149" spans="1:76" s="205" customFormat="1" x14ac:dyDescent="0.45">
      <c r="B149" s="30">
        <f>SUM(D149:CY149)</f>
        <v>875903561.80542266</v>
      </c>
      <c r="C149" s="190" t="s">
        <v>141</v>
      </c>
      <c r="D149" s="61">
        <f t="shared" ref="D149:AI149" si="448">D147/D86</f>
        <v>0</v>
      </c>
      <c r="E149" s="61">
        <f t="shared" si="448"/>
        <v>0</v>
      </c>
      <c r="F149" s="61">
        <f t="shared" si="448"/>
        <v>129778277.00602064</v>
      </c>
      <c r="G149" s="61">
        <f t="shared" si="448"/>
        <v>115107689.17055745</v>
      </c>
      <c r="H149" s="61">
        <f t="shared" si="448"/>
        <v>102095515.61214662</v>
      </c>
      <c r="I149" s="61">
        <f t="shared" si="448"/>
        <v>90554283.41251266</v>
      </c>
      <c r="J149" s="61">
        <f t="shared" si="448"/>
        <v>80317712.244141683</v>
      </c>
      <c r="K149" s="61">
        <f t="shared" si="448"/>
        <v>71238318.686108261</v>
      </c>
      <c r="L149" s="61">
        <f t="shared" si="448"/>
        <v>63185291.356374308</v>
      </c>
      <c r="M149" s="61">
        <f t="shared" si="448"/>
        <v>56042606.246523298</v>
      </c>
      <c r="N149" s="61">
        <f t="shared" si="448"/>
        <v>49707355.105611965</v>
      </c>
      <c r="O149" s="61">
        <f t="shared" si="448"/>
        <v>44088262.789325394</v>
      </c>
      <c r="P149" s="61">
        <f t="shared" si="448"/>
        <v>39104372.213140801</v>
      </c>
      <c r="Q149" s="61">
        <f t="shared" si="448"/>
        <v>34683877.962959662</v>
      </c>
      <c r="R149" s="61">
        <f t="shared" si="448"/>
        <v>0</v>
      </c>
      <c r="S149" s="61">
        <f t="shared" si="448"/>
        <v>0</v>
      </c>
      <c r="T149" s="61">
        <f t="shared" si="448"/>
        <v>0</v>
      </c>
      <c r="U149" s="61">
        <f t="shared" si="448"/>
        <v>0</v>
      </c>
      <c r="V149" s="61">
        <f t="shared" si="448"/>
        <v>0</v>
      </c>
      <c r="W149" s="61">
        <f t="shared" si="448"/>
        <v>0</v>
      </c>
      <c r="X149" s="61">
        <f t="shared" si="448"/>
        <v>0</v>
      </c>
      <c r="Y149" s="61">
        <f t="shared" si="448"/>
        <v>0</v>
      </c>
      <c r="Z149" s="61">
        <f t="shared" si="448"/>
        <v>0</v>
      </c>
      <c r="AA149" s="61">
        <f t="shared" si="448"/>
        <v>0</v>
      </c>
      <c r="AB149" s="61">
        <f t="shared" si="448"/>
        <v>0</v>
      </c>
      <c r="AC149" s="61">
        <f t="shared" si="448"/>
        <v>0</v>
      </c>
      <c r="AD149" s="61">
        <f t="shared" si="448"/>
        <v>0</v>
      </c>
      <c r="AE149" s="61">
        <f t="shared" si="448"/>
        <v>0</v>
      </c>
      <c r="AF149" s="61">
        <f t="shared" si="448"/>
        <v>0</v>
      </c>
      <c r="AG149" s="61">
        <f t="shared" si="448"/>
        <v>0</v>
      </c>
      <c r="AH149" s="61">
        <f t="shared" si="448"/>
        <v>0</v>
      </c>
      <c r="AI149" s="61">
        <f t="shared" si="448"/>
        <v>0</v>
      </c>
      <c r="AJ149" s="61">
        <f t="shared" ref="AJ149:BO149" si="449">AJ147/AJ86</f>
        <v>0</v>
      </c>
      <c r="AK149" s="61">
        <f t="shared" si="449"/>
        <v>0</v>
      </c>
      <c r="AL149" s="61">
        <f t="shared" si="449"/>
        <v>0</v>
      </c>
      <c r="AM149" s="61">
        <f t="shared" si="449"/>
        <v>0</v>
      </c>
      <c r="AN149" s="61">
        <f t="shared" si="449"/>
        <v>0</v>
      </c>
      <c r="AO149" s="61">
        <f t="shared" si="449"/>
        <v>0</v>
      </c>
      <c r="AP149" s="61">
        <f t="shared" si="449"/>
        <v>0</v>
      </c>
      <c r="AQ149" s="61">
        <f t="shared" si="449"/>
        <v>0</v>
      </c>
      <c r="AR149" s="61">
        <f t="shared" si="449"/>
        <v>0</v>
      </c>
      <c r="AS149" s="61">
        <f t="shared" si="449"/>
        <v>0</v>
      </c>
      <c r="AT149" s="61">
        <f t="shared" si="449"/>
        <v>0</v>
      </c>
      <c r="AU149" s="61">
        <f t="shared" si="449"/>
        <v>0</v>
      </c>
      <c r="AV149" s="61">
        <f t="shared" si="449"/>
        <v>0</v>
      </c>
      <c r="AW149" s="61">
        <f t="shared" si="449"/>
        <v>0</v>
      </c>
      <c r="AX149" s="61">
        <f t="shared" si="449"/>
        <v>0</v>
      </c>
      <c r="AY149" s="61">
        <f t="shared" si="449"/>
        <v>0</v>
      </c>
      <c r="AZ149" s="61">
        <f t="shared" si="449"/>
        <v>0</v>
      </c>
      <c r="BA149" s="61">
        <f t="shared" si="449"/>
        <v>0</v>
      </c>
      <c r="BB149" s="61">
        <f t="shared" si="449"/>
        <v>0</v>
      </c>
      <c r="BC149" s="61">
        <f t="shared" si="449"/>
        <v>0</v>
      </c>
      <c r="BD149" s="61">
        <f t="shared" si="449"/>
        <v>0</v>
      </c>
      <c r="BE149" s="61">
        <f t="shared" si="449"/>
        <v>0</v>
      </c>
      <c r="BF149" s="61">
        <f t="shared" si="449"/>
        <v>0</v>
      </c>
      <c r="BG149" s="61">
        <f t="shared" si="449"/>
        <v>0</v>
      </c>
      <c r="BH149" s="61">
        <f t="shared" si="449"/>
        <v>0</v>
      </c>
      <c r="BI149" s="61">
        <f t="shared" si="449"/>
        <v>0</v>
      </c>
      <c r="BJ149" s="61">
        <f t="shared" si="449"/>
        <v>0</v>
      </c>
      <c r="BK149" s="61">
        <f t="shared" si="449"/>
        <v>0</v>
      </c>
      <c r="BL149" s="61">
        <f t="shared" si="449"/>
        <v>0</v>
      </c>
      <c r="BM149" s="61">
        <f t="shared" si="449"/>
        <v>0</v>
      </c>
      <c r="BN149" s="61">
        <f t="shared" si="449"/>
        <v>0</v>
      </c>
      <c r="BO149" s="61">
        <f t="shared" si="449"/>
        <v>0</v>
      </c>
      <c r="BP149" s="61">
        <f t="shared" ref="BP149:BX149" si="450">BP147/BP86</f>
        <v>0</v>
      </c>
      <c r="BQ149" s="61">
        <f t="shared" si="450"/>
        <v>0</v>
      </c>
      <c r="BR149" s="61">
        <f t="shared" si="450"/>
        <v>0</v>
      </c>
      <c r="BS149" s="61">
        <f t="shared" si="450"/>
        <v>0</v>
      </c>
      <c r="BT149" s="61">
        <f t="shared" si="450"/>
        <v>0</v>
      </c>
      <c r="BU149" s="61">
        <f t="shared" si="450"/>
        <v>0</v>
      </c>
      <c r="BV149" s="61">
        <f t="shared" si="450"/>
        <v>0</v>
      </c>
      <c r="BW149" s="61">
        <f t="shared" si="450"/>
        <v>0</v>
      </c>
      <c r="BX149" s="61">
        <f t="shared" si="450"/>
        <v>0</v>
      </c>
    </row>
    <row r="150" spans="1:76" ht="16.3" thickBot="1" x14ac:dyDescent="0.5">
      <c r="A150" s="14"/>
      <c r="B150" s="52"/>
      <c r="C150" s="9"/>
      <c r="D150" s="60"/>
      <c r="E150" s="60"/>
      <c r="F150" s="60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0"/>
      <c r="Z150" s="60"/>
    </row>
    <row r="151" spans="1:76" x14ac:dyDescent="0.45">
      <c r="B151" s="62" t="s">
        <v>42</v>
      </c>
      <c r="C151" s="62"/>
      <c r="D151" s="63"/>
      <c r="E151" s="63"/>
      <c r="F151" s="63"/>
      <c r="G151" s="63"/>
      <c r="H151" s="63"/>
      <c r="I151" s="63"/>
      <c r="J151" s="63"/>
      <c r="K151" s="63"/>
      <c r="L151" s="78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</row>
    <row r="152" spans="1:76" x14ac:dyDescent="0.45">
      <c r="B152" s="12"/>
      <c r="C152" s="12"/>
      <c r="D152" s="64"/>
      <c r="E152" s="64"/>
      <c r="F152" s="64"/>
      <c r="G152" s="64"/>
      <c r="H152" s="64"/>
      <c r="I152" s="64"/>
      <c r="J152" s="64"/>
      <c r="K152" s="64"/>
      <c r="L152" s="77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</row>
    <row r="153" spans="1:76" s="205" customFormat="1" x14ac:dyDescent="0.45">
      <c r="B153" s="258" t="s">
        <v>36</v>
      </c>
      <c r="C153" s="42" t="s">
        <v>37</v>
      </c>
      <c r="D153" s="207">
        <f t="shared" ref="D153:AI153" si="451">D82</f>
        <v>2058</v>
      </c>
      <c r="E153" s="207">
        <f t="shared" si="451"/>
        <v>2059</v>
      </c>
      <c r="F153" s="207">
        <f t="shared" si="451"/>
        <v>2060</v>
      </c>
      <c r="G153" s="207">
        <f t="shared" si="451"/>
        <v>2061</v>
      </c>
      <c r="H153" s="207">
        <f t="shared" si="451"/>
        <v>2062</v>
      </c>
      <c r="I153" s="207">
        <f t="shared" si="451"/>
        <v>2063</v>
      </c>
      <c r="J153" s="207">
        <f t="shared" si="451"/>
        <v>2064</v>
      </c>
      <c r="K153" s="207">
        <f t="shared" si="451"/>
        <v>2065</v>
      </c>
      <c r="L153" s="207">
        <f t="shared" si="451"/>
        <v>2066</v>
      </c>
      <c r="M153" s="207">
        <f t="shared" si="451"/>
        <v>2067</v>
      </c>
      <c r="N153" s="207">
        <f t="shared" si="451"/>
        <v>2068</v>
      </c>
      <c r="O153" s="207">
        <f t="shared" si="451"/>
        <v>2069</v>
      </c>
      <c r="P153" s="207">
        <f t="shared" si="451"/>
        <v>2070</v>
      </c>
      <c r="Q153" s="207">
        <f t="shared" si="451"/>
        <v>2071</v>
      </c>
      <c r="R153" s="207">
        <f t="shared" si="451"/>
        <v>2072</v>
      </c>
      <c r="S153" s="207">
        <f t="shared" si="451"/>
        <v>2073</v>
      </c>
      <c r="T153" s="207">
        <f t="shared" si="451"/>
        <v>2074</v>
      </c>
      <c r="U153" s="207">
        <f t="shared" si="451"/>
        <v>2075</v>
      </c>
      <c r="V153" s="207">
        <f t="shared" si="451"/>
        <v>2076</v>
      </c>
      <c r="W153" s="207">
        <f t="shared" si="451"/>
        <v>2077</v>
      </c>
      <c r="X153" s="207">
        <f t="shared" si="451"/>
        <v>2078</v>
      </c>
      <c r="Y153" s="207">
        <f t="shared" si="451"/>
        <v>2079</v>
      </c>
      <c r="Z153" s="207">
        <f t="shared" si="451"/>
        <v>2080</v>
      </c>
      <c r="AA153" s="207">
        <f t="shared" si="451"/>
        <v>2081</v>
      </c>
      <c r="AB153" s="207">
        <f t="shared" si="451"/>
        <v>2082</v>
      </c>
      <c r="AC153" s="207">
        <f t="shared" si="451"/>
        <v>2083</v>
      </c>
      <c r="AD153" s="207">
        <f t="shared" si="451"/>
        <v>2084</v>
      </c>
      <c r="AE153" s="207">
        <f t="shared" si="451"/>
        <v>2085</v>
      </c>
      <c r="AF153" s="207">
        <f t="shared" si="451"/>
        <v>2086</v>
      </c>
      <c r="AG153" s="207">
        <f t="shared" si="451"/>
        <v>2087</v>
      </c>
      <c r="AH153" s="207">
        <f t="shared" si="451"/>
        <v>2088</v>
      </c>
      <c r="AI153" s="207">
        <f t="shared" si="451"/>
        <v>2089</v>
      </c>
      <c r="AJ153" s="207">
        <f t="shared" ref="AJ153:BO153" si="452">AJ82</f>
        <v>2090</v>
      </c>
      <c r="AK153" s="207">
        <f t="shared" si="452"/>
        <v>2091</v>
      </c>
      <c r="AL153" s="207">
        <f t="shared" si="452"/>
        <v>2092</v>
      </c>
      <c r="AM153" s="207">
        <f t="shared" si="452"/>
        <v>2093</v>
      </c>
      <c r="AN153" s="207">
        <f t="shared" si="452"/>
        <v>2094</v>
      </c>
      <c r="AO153" s="207">
        <f t="shared" si="452"/>
        <v>2095</v>
      </c>
      <c r="AP153" s="207">
        <f t="shared" si="452"/>
        <v>2096</v>
      </c>
      <c r="AQ153" s="207">
        <f t="shared" si="452"/>
        <v>2097</v>
      </c>
      <c r="AR153" s="207">
        <f t="shared" si="452"/>
        <v>2098</v>
      </c>
      <c r="AS153" s="207">
        <f t="shared" si="452"/>
        <v>2099</v>
      </c>
      <c r="AT153" s="207">
        <f t="shared" si="452"/>
        <v>2100</v>
      </c>
      <c r="AU153" s="207">
        <f t="shared" si="452"/>
        <v>2101</v>
      </c>
      <c r="AV153" s="207">
        <f t="shared" si="452"/>
        <v>2102</v>
      </c>
      <c r="AW153" s="207">
        <f t="shared" si="452"/>
        <v>2103</v>
      </c>
      <c r="AX153" s="207">
        <f t="shared" si="452"/>
        <v>2104</v>
      </c>
      <c r="AY153" s="207">
        <f t="shared" si="452"/>
        <v>2105</v>
      </c>
      <c r="AZ153" s="207">
        <f t="shared" si="452"/>
        <v>2106</v>
      </c>
      <c r="BA153" s="207">
        <f t="shared" si="452"/>
        <v>2107</v>
      </c>
      <c r="BB153" s="207">
        <f t="shared" si="452"/>
        <v>2108</v>
      </c>
      <c r="BC153" s="207">
        <f t="shared" si="452"/>
        <v>2109</v>
      </c>
      <c r="BD153" s="207">
        <f t="shared" si="452"/>
        <v>2110</v>
      </c>
      <c r="BE153" s="207">
        <f t="shared" si="452"/>
        <v>2111</v>
      </c>
      <c r="BF153" s="207">
        <f t="shared" si="452"/>
        <v>2112</v>
      </c>
      <c r="BG153" s="207">
        <f t="shared" si="452"/>
        <v>2113</v>
      </c>
      <c r="BH153" s="207">
        <f t="shared" si="452"/>
        <v>2114</v>
      </c>
      <c r="BI153" s="207">
        <f t="shared" si="452"/>
        <v>2115</v>
      </c>
      <c r="BJ153" s="207">
        <f t="shared" si="452"/>
        <v>2116</v>
      </c>
      <c r="BK153" s="207">
        <f t="shared" si="452"/>
        <v>2117</v>
      </c>
      <c r="BL153" s="207">
        <f t="shared" si="452"/>
        <v>2118</v>
      </c>
      <c r="BM153" s="207">
        <f t="shared" si="452"/>
        <v>2119</v>
      </c>
      <c r="BN153" s="207">
        <f t="shared" si="452"/>
        <v>2120</v>
      </c>
      <c r="BO153" s="207">
        <f t="shared" si="452"/>
        <v>2121</v>
      </c>
      <c r="BP153" s="207">
        <f t="shared" ref="BP153:BX153" si="453">BP82</f>
        <v>2122</v>
      </c>
      <c r="BQ153" s="207">
        <f t="shared" si="453"/>
        <v>2123</v>
      </c>
      <c r="BR153" s="207">
        <f t="shared" si="453"/>
        <v>2124</v>
      </c>
      <c r="BS153" s="207">
        <f t="shared" si="453"/>
        <v>2125</v>
      </c>
      <c r="BT153" s="207">
        <f t="shared" si="453"/>
        <v>2126</v>
      </c>
      <c r="BU153" s="207">
        <f t="shared" si="453"/>
        <v>2127</v>
      </c>
      <c r="BV153" s="207">
        <f t="shared" si="453"/>
        <v>2128</v>
      </c>
      <c r="BW153" s="207">
        <f t="shared" si="453"/>
        <v>2129</v>
      </c>
      <c r="BX153" s="207">
        <f t="shared" si="453"/>
        <v>2130</v>
      </c>
    </row>
    <row r="154" spans="1:76" s="205" customFormat="1" x14ac:dyDescent="0.45">
      <c r="B154" s="258"/>
      <c r="C154" s="43" t="s">
        <v>38</v>
      </c>
      <c r="D154" s="209">
        <v>1</v>
      </c>
      <c r="E154" s="209">
        <f>D154+1</f>
        <v>2</v>
      </c>
      <c r="F154" s="209">
        <f t="shared" ref="F154:U154" si="454">E154+1</f>
        <v>3</v>
      </c>
      <c r="G154" s="209">
        <f t="shared" si="454"/>
        <v>4</v>
      </c>
      <c r="H154" s="209">
        <f t="shared" si="454"/>
        <v>5</v>
      </c>
      <c r="I154" s="209">
        <f t="shared" si="454"/>
        <v>6</v>
      </c>
      <c r="J154" s="209">
        <f t="shared" si="454"/>
        <v>7</v>
      </c>
      <c r="K154" s="209">
        <f t="shared" si="454"/>
        <v>8</v>
      </c>
      <c r="L154" s="209">
        <f t="shared" si="454"/>
        <v>9</v>
      </c>
      <c r="M154" s="209">
        <f>L154+1</f>
        <v>10</v>
      </c>
      <c r="N154" s="209">
        <f t="shared" si="454"/>
        <v>11</v>
      </c>
      <c r="O154" s="209">
        <f t="shared" si="454"/>
        <v>12</v>
      </c>
      <c r="P154" s="209">
        <f t="shared" si="454"/>
        <v>13</v>
      </c>
      <c r="Q154" s="209">
        <f>P154+1</f>
        <v>14</v>
      </c>
      <c r="R154" s="209">
        <f>Q154+1</f>
        <v>15</v>
      </c>
      <c r="S154" s="209">
        <f t="shared" si="454"/>
        <v>16</v>
      </c>
      <c r="T154" s="209">
        <f t="shared" si="454"/>
        <v>17</v>
      </c>
      <c r="U154" s="209">
        <f t="shared" si="454"/>
        <v>18</v>
      </c>
      <c r="V154" s="209">
        <f t="shared" ref="V154:Y154" si="455">U154+1</f>
        <v>19</v>
      </c>
      <c r="W154" s="209">
        <f t="shared" si="455"/>
        <v>20</v>
      </c>
      <c r="X154" s="209">
        <f>W154+1</f>
        <v>21</v>
      </c>
      <c r="Y154" s="209">
        <f t="shared" si="455"/>
        <v>22</v>
      </c>
      <c r="Z154" s="209">
        <f t="shared" ref="Z154" si="456">Y154+1</f>
        <v>23</v>
      </c>
      <c r="AA154" s="209">
        <f t="shared" ref="AA154" si="457">Z154+1</f>
        <v>24</v>
      </c>
      <c r="AB154" s="209">
        <f t="shared" ref="AB154" si="458">AA154+1</f>
        <v>25</v>
      </c>
      <c r="AC154" s="209">
        <f t="shared" ref="AC154" si="459">AB154+1</f>
        <v>26</v>
      </c>
      <c r="AD154" s="209">
        <f t="shared" ref="AD154" si="460">AC154+1</f>
        <v>27</v>
      </c>
      <c r="AE154" s="209">
        <f t="shared" ref="AE154" si="461">AD154+1</f>
        <v>28</v>
      </c>
      <c r="AF154" s="209">
        <f t="shared" ref="AF154" si="462">AE154+1</f>
        <v>29</v>
      </c>
      <c r="AG154" s="209">
        <f t="shared" ref="AG154" si="463">AF154+1</f>
        <v>30</v>
      </c>
      <c r="AH154" s="209">
        <f t="shared" ref="AH154" si="464">AG154+1</f>
        <v>31</v>
      </c>
      <c r="AI154" s="209">
        <f t="shared" ref="AI154" si="465">AH154+1</f>
        <v>32</v>
      </c>
      <c r="AJ154" s="209">
        <f t="shared" ref="AJ154" si="466">AI154+1</f>
        <v>33</v>
      </c>
      <c r="AK154" s="209">
        <f t="shared" ref="AK154" si="467">AJ154+1</f>
        <v>34</v>
      </c>
      <c r="AL154" s="209">
        <f t="shared" ref="AL154" si="468">AK154+1</f>
        <v>35</v>
      </c>
      <c r="AM154" s="209">
        <f t="shared" ref="AM154" si="469">AL154+1</f>
        <v>36</v>
      </c>
      <c r="AN154" s="209">
        <f t="shared" ref="AN154" si="470">AM154+1</f>
        <v>37</v>
      </c>
      <c r="AO154" s="209">
        <f t="shared" ref="AO154" si="471">AN154+1</f>
        <v>38</v>
      </c>
      <c r="AP154" s="209">
        <f t="shared" ref="AP154" si="472">AO154+1</f>
        <v>39</v>
      </c>
      <c r="AQ154" s="209">
        <f t="shared" ref="AQ154" si="473">AP154+1</f>
        <v>40</v>
      </c>
      <c r="AR154" s="209">
        <f t="shared" ref="AR154" si="474">AQ154+1</f>
        <v>41</v>
      </c>
      <c r="AS154" s="209">
        <f t="shared" ref="AS154" si="475">AR154+1</f>
        <v>42</v>
      </c>
      <c r="AT154" s="209">
        <f t="shared" ref="AT154" si="476">AS154+1</f>
        <v>43</v>
      </c>
      <c r="AU154" s="209">
        <f t="shared" ref="AU154" si="477">AT154+1</f>
        <v>44</v>
      </c>
      <c r="AV154" s="209">
        <f t="shared" ref="AV154" si="478">AU154+1</f>
        <v>45</v>
      </c>
      <c r="AW154" s="209">
        <f t="shared" ref="AW154" si="479">AV154+1</f>
        <v>46</v>
      </c>
      <c r="AX154" s="209">
        <f t="shared" ref="AX154" si="480">AW154+1</f>
        <v>47</v>
      </c>
      <c r="AY154" s="209">
        <f t="shared" ref="AY154" si="481">AX154+1</f>
        <v>48</v>
      </c>
      <c r="AZ154" s="209">
        <f t="shared" ref="AZ154" si="482">AY154+1</f>
        <v>49</v>
      </c>
      <c r="BA154" s="209">
        <f t="shared" ref="BA154" si="483">AZ154+1</f>
        <v>50</v>
      </c>
      <c r="BB154" s="209">
        <f t="shared" ref="BB154" si="484">BA154+1</f>
        <v>51</v>
      </c>
      <c r="BC154" s="209">
        <f t="shared" ref="BC154" si="485">BB154+1</f>
        <v>52</v>
      </c>
      <c r="BD154" s="209">
        <f t="shared" ref="BD154" si="486">BC154+1</f>
        <v>53</v>
      </c>
      <c r="BE154" s="209">
        <f t="shared" ref="BE154" si="487">BD154+1</f>
        <v>54</v>
      </c>
      <c r="BF154" s="209">
        <f t="shared" ref="BF154" si="488">BE154+1</f>
        <v>55</v>
      </c>
      <c r="BG154" s="209">
        <f t="shared" ref="BG154" si="489">BF154+1</f>
        <v>56</v>
      </c>
      <c r="BH154" s="209">
        <f t="shared" ref="BH154" si="490">BG154+1</f>
        <v>57</v>
      </c>
      <c r="BI154" s="209">
        <f t="shared" ref="BI154" si="491">BH154+1</f>
        <v>58</v>
      </c>
      <c r="BJ154" s="209">
        <f t="shared" ref="BJ154" si="492">BI154+1</f>
        <v>59</v>
      </c>
      <c r="BK154" s="209">
        <f t="shared" ref="BK154" si="493">BJ154+1</f>
        <v>60</v>
      </c>
      <c r="BL154" s="209">
        <f t="shared" ref="BL154" si="494">BK154+1</f>
        <v>61</v>
      </c>
      <c r="BM154" s="209">
        <f t="shared" ref="BM154" si="495">BL154+1</f>
        <v>62</v>
      </c>
      <c r="BN154" s="209">
        <f t="shared" ref="BN154" si="496">BM154+1</f>
        <v>63</v>
      </c>
      <c r="BO154" s="209">
        <f t="shared" ref="BO154" si="497">BN154+1</f>
        <v>64</v>
      </c>
      <c r="BP154" s="209">
        <f t="shared" ref="BP154" si="498">BO154+1</f>
        <v>65</v>
      </c>
      <c r="BQ154" s="209">
        <f t="shared" ref="BQ154" si="499">BP154+1</f>
        <v>66</v>
      </c>
      <c r="BR154" s="209">
        <f t="shared" ref="BR154" si="500">BQ154+1</f>
        <v>67</v>
      </c>
      <c r="BS154" s="209">
        <f t="shared" ref="BS154" si="501">BR154+1</f>
        <v>68</v>
      </c>
      <c r="BT154" s="209">
        <f t="shared" ref="BT154" si="502">BS154+1</f>
        <v>69</v>
      </c>
      <c r="BU154" s="209">
        <f t="shared" ref="BU154" si="503">BT154+1</f>
        <v>70</v>
      </c>
      <c r="BV154" s="209">
        <f t="shared" ref="BV154" si="504">BU154+1</f>
        <v>71</v>
      </c>
      <c r="BW154" s="209">
        <f t="shared" ref="BW154" si="505">BV154+1</f>
        <v>72</v>
      </c>
      <c r="BX154" s="209">
        <f t="shared" ref="BX154" si="506">BW154+1</f>
        <v>73</v>
      </c>
    </row>
    <row r="155" spans="1:76" x14ac:dyDescent="0.45">
      <c r="B155" s="258"/>
      <c r="C155" s="65"/>
      <c r="D155" s="65"/>
      <c r="E155" s="65"/>
      <c r="F155" s="65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5"/>
    </row>
    <row r="156" spans="1:76" s="205" customFormat="1" x14ac:dyDescent="0.45">
      <c r="B156" s="229">
        <f t="shared" ref="B156:B160" si="507">SUM(D156:CY156)</f>
        <v>-648089781.83179367</v>
      </c>
      <c r="C156" s="190" t="s">
        <v>137</v>
      </c>
      <c r="D156" s="230">
        <f t="shared" ref="D156:AI156" si="508">D135</f>
        <v>0</v>
      </c>
      <c r="E156" s="230">
        <f t="shared" si="508"/>
        <v>0</v>
      </c>
      <c r="F156" s="230">
        <f>F135</f>
        <v>-48321312.70883517</v>
      </c>
      <c r="G156" s="230">
        <f t="shared" si="508"/>
        <v>-49287738.963011868</v>
      </c>
      <c r="H156" s="230">
        <f t="shared" si="508"/>
        <v>-50273493.742272101</v>
      </c>
      <c r="I156" s="230">
        <f t="shared" si="508"/>
        <v>-51278963.617117539</v>
      </c>
      <c r="J156" s="230">
        <f t="shared" si="508"/>
        <v>-52304542.889459901</v>
      </c>
      <c r="K156" s="230">
        <f t="shared" si="508"/>
        <v>-53350633.747249097</v>
      </c>
      <c r="L156" s="230">
        <f t="shared" si="508"/>
        <v>-54417646.422194079</v>
      </c>
      <c r="M156" s="230">
        <f t="shared" si="508"/>
        <v>-55505999.35063795</v>
      </c>
      <c r="N156" s="230">
        <f t="shared" si="508"/>
        <v>-56616119.337650709</v>
      </c>
      <c r="O156" s="230">
        <f t="shared" si="508"/>
        <v>-57748441.724403724</v>
      </c>
      <c r="P156" s="230">
        <f t="shared" si="508"/>
        <v>-58903410.55889181</v>
      </c>
      <c r="Q156" s="230">
        <f t="shared" si="508"/>
        <v>-60081478.770069636</v>
      </c>
      <c r="R156" s="230">
        <f t="shared" si="508"/>
        <v>0</v>
      </c>
      <c r="S156" s="230">
        <f t="shared" si="508"/>
        <v>0</v>
      </c>
      <c r="T156" s="230">
        <f t="shared" si="508"/>
        <v>0</v>
      </c>
      <c r="U156" s="230">
        <f t="shared" si="508"/>
        <v>0</v>
      </c>
      <c r="V156" s="230">
        <f t="shared" si="508"/>
        <v>0</v>
      </c>
      <c r="W156" s="230">
        <f t="shared" si="508"/>
        <v>0</v>
      </c>
      <c r="X156" s="230">
        <f t="shared" si="508"/>
        <v>0</v>
      </c>
      <c r="Y156" s="230">
        <f t="shared" si="508"/>
        <v>0</v>
      </c>
      <c r="Z156" s="230">
        <f t="shared" si="508"/>
        <v>0</v>
      </c>
      <c r="AA156" s="230">
        <f t="shared" si="508"/>
        <v>0</v>
      </c>
      <c r="AB156" s="230">
        <f t="shared" si="508"/>
        <v>0</v>
      </c>
      <c r="AC156" s="230">
        <f t="shared" si="508"/>
        <v>0</v>
      </c>
      <c r="AD156" s="230">
        <f t="shared" si="508"/>
        <v>0</v>
      </c>
      <c r="AE156" s="230">
        <f t="shared" si="508"/>
        <v>0</v>
      </c>
      <c r="AF156" s="230">
        <f t="shared" si="508"/>
        <v>0</v>
      </c>
      <c r="AG156" s="230">
        <f t="shared" si="508"/>
        <v>0</v>
      </c>
      <c r="AH156" s="230">
        <f t="shared" si="508"/>
        <v>0</v>
      </c>
      <c r="AI156" s="230">
        <f t="shared" si="508"/>
        <v>0</v>
      </c>
      <c r="AJ156" s="230">
        <f t="shared" ref="AJ156:BX156" si="509">AJ135</f>
        <v>0</v>
      </c>
      <c r="AK156" s="230">
        <f t="shared" si="509"/>
        <v>0</v>
      </c>
      <c r="AL156" s="230">
        <f t="shared" si="509"/>
        <v>0</v>
      </c>
      <c r="AM156" s="230">
        <f t="shared" si="509"/>
        <v>0</v>
      </c>
      <c r="AN156" s="230">
        <f t="shared" si="509"/>
        <v>0</v>
      </c>
      <c r="AO156" s="230">
        <f t="shared" si="509"/>
        <v>0</v>
      </c>
      <c r="AP156" s="230">
        <f t="shared" si="509"/>
        <v>0</v>
      </c>
      <c r="AQ156" s="230">
        <f t="shared" si="509"/>
        <v>0</v>
      </c>
      <c r="AR156" s="230">
        <f t="shared" si="509"/>
        <v>0</v>
      </c>
      <c r="AS156" s="230">
        <f t="shared" si="509"/>
        <v>0</v>
      </c>
      <c r="AT156" s="230">
        <f t="shared" si="509"/>
        <v>0</v>
      </c>
      <c r="AU156" s="230">
        <f t="shared" si="509"/>
        <v>0</v>
      </c>
      <c r="AV156" s="230">
        <f t="shared" si="509"/>
        <v>0</v>
      </c>
      <c r="AW156" s="230">
        <f t="shared" si="509"/>
        <v>0</v>
      </c>
      <c r="AX156" s="230">
        <f t="shared" si="509"/>
        <v>0</v>
      </c>
      <c r="AY156" s="230">
        <f t="shared" si="509"/>
        <v>0</v>
      </c>
      <c r="AZ156" s="230">
        <f t="shared" si="509"/>
        <v>0</v>
      </c>
      <c r="BA156" s="230">
        <f t="shared" si="509"/>
        <v>0</v>
      </c>
      <c r="BB156" s="230">
        <f t="shared" si="509"/>
        <v>0</v>
      </c>
      <c r="BC156" s="230">
        <f t="shared" si="509"/>
        <v>0</v>
      </c>
      <c r="BD156" s="230">
        <f t="shared" si="509"/>
        <v>0</v>
      </c>
      <c r="BE156" s="230">
        <f t="shared" si="509"/>
        <v>0</v>
      </c>
      <c r="BF156" s="230">
        <f t="shared" si="509"/>
        <v>0</v>
      </c>
      <c r="BG156" s="230">
        <f t="shared" si="509"/>
        <v>0</v>
      </c>
      <c r="BH156" s="230">
        <f t="shared" si="509"/>
        <v>0</v>
      </c>
      <c r="BI156" s="230">
        <f t="shared" si="509"/>
        <v>0</v>
      </c>
      <c r="BJ156" s="230">
        <f t="shared" si="509"/>
        <v>0</v>
      </c>
      <c r="BK156" s="230">
        <f t="shared" si="509"/>
        <v>0</v>
      </c>
      <c r="BL156" s="230">
        <f t="shared" si="509"/>
        <v>0</v>
      </c>
      <c r="BM156" s="230">
        <f t="shared" si="509"/>
        <v>0</v>
      </c>
      <c r="BN156" s="230">
        <f t="shared" si="509"/>
        <v>0</v>
      </c>
      <c r="BO156" s="230">
        <f t="shared" si="509"/>
        <v>0</v>
      </c>
      <c r="BP156" s="230">
        <f t="shared" si="509"/>
        <v>0</v>
      </c>
      <c r="BQ156" s="230">
        <f t="shared" si="509"/>
        <v>0</v>
      </c>
      <c r="BR156" s="230">
        <f t="shared" si="509"/>
        <v>0</v>
      </c>
      <c r="BS156" s="230">
        <f t="shared" si="509"/>
        <v>0</v>
      </c>
      <c r="BT156" s="230">
        <f t="shared" si="509"/>
        <v>0</v>
      </c>
      <c r="BU156" s="230">
        <f t="shared" si="509"/>
        <v>0</v>
      </c>
      <c r="BV156" s="230">
        <f t="shared" si="509"/>
        <v>0</v>
      </c>
      <c r="BW156" s="230">
        <f t="shared" si="509"/>
        <v>0</v>
      </c>
      <c r="BX156" s="230">
        <f t="shared" si="509"/>
        <v>0</v>
      </c>
    </row>
    <row r="157" spans="1:76" s="205" customFormat="1" x14ac:dyDescent="0.45">
      <c r="B157" s="229">
        <f t="shared" si="507"/>
        <v>794181217.48969615</v>
      </c>
      <c r="C157" s="231" t="s">
        <v>142</v>
      </c>
      <c r="D157" s="230">
        <f>D110</f>
        <v>0</v>
      </c>
      <c r="E157" s="230">
        <f t="shared" ref="E157:AI157" si="510">E110</f>
        <v>0</v>
      </c>
      <c r="F157" s="230">
        <f>F110</f>
        <v>58471158.477398634</v>
      </c>
      <c r="G157" s="230">
        <f t="shared" si="510"/>
        <v>59640581.646946602</v>
      </c>
      <c r="H157" s="230">
        <f t="shared" si="510"/>
        <v>61743077.96349664</v>
      </c>
      <c r="I157" s="230">
        <f t="shared" si="510"/>
        <v>62977939.522766575</v>
      </c>
      <c r="J157" s="230">
        <f t="shared" si="510"/>
        <v>64237498.313221917</v>
      </c>
      <c r="K157" s="230">
        <f t="shared" si="510"/>
        <v>65522248.279486343</v>
      </c>
      <c r="L157" s="230">
        <f t="shared" si="510"/>
        <v>66832693.245076083</v>
      </c>
      <c r="M157" s="230">
        <f t="shared" si="510"/>
        <v>68169347.109977588</v>
      </c>
      <c r="N157" s="230">
        <f t="shared" si="510"/>
        <v>69532734.052177146</v>
      </c>
      <c r="O157" s="230">
        <f t="shared" si="510"/>
        <v>70923388.733220696</v>
      </c>
      <c r="P157" s="230">
        <f t="shared" si="510"/>
        <v>72341856.507885113</v>
      </c>
      <c r="Q157" s="230">
        <f t="shared" si="510"/>
        <v>73788693.638042808</v>
      </c>
      <c r="R157" s="230">
        <f t="shared" si="510"/>
        <v>0</v>
      </c>
      <c r="S157" s="230">
        <f t="shared" si="510"/>
        <v>0</v>
      </c>
      <c r="T157" s="230">
        <f t="shared" si="510"/>
        <v>0</v>
      </c>
      <c r="U157" s="230">
        <f t="shared" si="510"/>
        <v>0</v>
      </c>
      <c r="V157" s="230">
        <f t="shared" si="510"/>
        <v>0</v>
      </c>
      <c r="W157" s="230">
        <f t="shared" si="510"/>
        <v>0</v>
      </c>
      <c r="X157" s="230">
        <f t="shared" si="510"/>
        <v>0</v>
      </c>
      <c r="Y157" s="230">
        <f t="shared" si="510"/>
        <v>0</v>
      </c>
      <c r="Z157" s="230">
        <f t="shared" si="510"/>
        <v>0</v>
      </c>
      <c r="AA157" s="230">
        <f t="shared" si="510"/>
        <v>0</v>
      </c>
      <c r="AB157" s="230">
        <f t="shared" si="510"/>
        <v>0</v>
      </c>
      <c r="AC157" s="230">
        <f t="shared" si="510"/>
        <v>0</v>
      </c>
      <c r="AD157" s="230">
        <f t="shared" si="510"/>
        <v>0</v>
      </c>
      <c r="AE157" s="230">
        <f t="shared" si="510"/>
        <v>0</v>
      </c>
      <c r="AF157" s="230">
        <f t="shared" si="510"/>
        <v>0</v>
      </c>
      <c r="AG157" s="230">
        <f t="shared" si="510"/>
        <v>0</v>
      </c>
      <c r="AH157" s="230">
        <f t="shared" si="510"/>
        <v>0</v>
      </c>
      <c r="AI157" s="230">
        <f t="shared" si="510"/>
        <v>0</v>
      </c>
      <c r="AJ157" s="230">
        <f t="shared" ref="AJ157:BX157" si="511">AJ110</f>
        <v>0</v>
      </c>
      <c r="AK157" s="230">
        <f t="shared" si="511"/>
        <v>0</v>
      </c>
      <c r="AL157" s="230">
        <f t="shared" si="511"/>
        <v>0</v>
      </c>
      <c r="AM157" s="230">
        <f t="shared" si="511"/>
        <v>0</v>
      </c>
      <c r="AN157" s="230">
        <f t="shared" si="511"/>
        <v>0</v>
      </c>
      <c r="AO157" s="230">
        <f t="shared" si="511"/>
        <v>0</v>
      </c>
      <c r="AP157" s="230">
        <f t="shared" si="511"/>
        <v>0</v>
      </c>
      <c r="AQ157" s="230">
        <f t="shared" si="511"/>
        <v>0</v>
      </c>
      <c r="AR157" s="230">
        <f t="shared" si="511"/>
        <v>0</v>
      </c>
      <c r="AS157" s="230">
        <f t="shared" si="511"/>
        <v>0</v>
      </c>
      <c r="AT157" s="230">
        <f t="shared" si="511"/>
        <v>0</v>
      </c>
      <c r="AU157" s="230">
        <f t="shared" si="511"/>
        <v>0</v>
      </c>
      <c r="AV157" s="230">
        <f t="shared" si="511"/>
        <v>0</v>
      </c>
      <c r="AW157" s="230">
        <f t="shared" si="511"/>
        <v>0</v>
      </c>
      <c r="AX157" s="230">
        <f t="shared" si="511"/>
        <v>0</v>
      </c>
      <c r="AY157" s="230">
        <f t="shared" si="511"/>
        <v>0</v>
      </c>
      <c r="AZ157" s="230">
        <f t="shared" si="511"/>
        <v>0</v>
      </c>
      <c r="BA157" s="230">
        <f t="shared" si="511"/>
        <v>0</v>
      </c>
      <c r="BB157" s="230">
        <f t="shared" si="511"/>
        <v>0</v>
      </c>
      <c r="BC157" s="230">
        <f t="shared" si="511"/>
        <v>0</v>
      </c>
      <c r="BD157" s="230">
        <f t="shared" si="511"/>
        <v>0</v>
      </c>
      <c r="BE157" s="230">
        <f t="shared" si="511"/>
        <v>0</v>
      </c>
      <c r="BF157" s="230">
        <f t="shared" si="511"/>
        <v>0</v>
      </c>
      <c r="BG157" s="230">
        <f t="shared" si="511"/>
        <v>0</v>
      </c>
      <c r="BH157" s="230">
        <f t="shared" si="511"/>
        <v>0</v>
      </c>
      <c r="BI157" s="230">
        <f t="shared" si="511"/>
        <v>0</v>
      </c>
      <c r="BJ157" s="230">
        <f t="shared" si="511"/>
        <v>0</v>
      </c>
      <c r="BK157" s="230">
        <f t="shared" si="511"/>
        <v>0</v>
      </c>
      <c r="BL157" s="230">
        <f t="shared" si="511"/>
        <v>0</v>
      </c>
      <c r="BM157" s="230">
        <f t="shared" si="511"/>
        <v>0</v>
      </c>
      <c r="BN157" s="230">
        <f t="shared" si="511"/>
        <v>0</v>
      </c>
      <c r="BO157" s="230">
        <f t="shared" si="511"/>
        <v>0</v>
      </c>
      <c r="BP157" s="230">
        <f t="shared" si="511"/>
        <v>0</v>
      </c>
      <c r="BQ157" s="230">
        <f t="shared" si="511"/>
        <v>0</v>
      </c>
      <c r="BR157" s="230">
        <f t="shared" si="511"/>
        <v>0</v>
      </c>
      <c r="BS157" s="230">
        <f t="shared" si="511"/>
        <v>0</v>
      </c>
      <c r="BT157" s="230">
        <f t="shared" si="511"/>
        <v>0</v>
      </c>
      <c r="BU157" s="230">
        <f t="shared" si="511"/>
        <v>0</v>
      </c>
      <c r="BV157" s="230">
        <f t="shared" si="511"/>
        <v>0</v>
      </c>
      <c r="BW157" s="230">
        <f t="shared" si="511"/>
        <v>0</v>
      </c>
      <c r="BX157" s="230">
        <f t="shared" si="511"/>
        <v>0</v>
      </c>
    </row>
    <row r="158" spans="1:76" s="205" customFormat="1" x14ac:dyDescent="0.45">
      <c r="B158" s="229">
        <f t="shared" si="507"/>
        <v>-1442270999.3214898</v>
      </c>
      <c r="C158" s="231" t="s">
        <v>143</v>
      </c>
      <c r="D158" s="230">
        <f>D156-D157</f>
        <v>0</v>
      </c>
      <c r="E158" s="230">
        <f t="shared" ref="E158:AI158" si="512">E156-E157</f>
        <v>0</v>
      </c>
      <c r="F158" s="230">
        <f t="shared" si="512"/>
        <v>-106792471.1862338</v>
      </c>
      <c r="G158" s="230">
        <f t="shared" si="512"/>
        <v>-108928320.60995847</v>
      </c>
      <c r="H158" s="230">
        <f t="shared" si="512"/>
        <v>-112016571.70576873</v>
      </c>
      <c r="I158" s="230">
        <f t="shared" si="512"/>
        <v>-114256903.13988411</v>
      </c>
      <c r="J158" s="230">
        <f t="shared" si="512"/>
        <v>-116542041.20268181</v>
      </c>
      <c r="K158" s="230">
        <f t="shared" si="512"/>
        <v>-118872882.02673544</v>
      </c>
      <c r="L158" s="230">
        <f t="shared" si="512"/>
        <v>-121250339.66727015</v>
      </c>
      <c r="M158" s="230">
        <f t="shared" si="512"/>
        <v>-123675346.46061555</v>
      </c>
      <c r="N158" s="230">
        <f t="shared" si="512"/>
        <v>-126148853.38982785</v>
      </c>
      <c r="O158" s="230">
        <f t="shared" si="512"/>
        <v>-128671830.45762442</v>
      </c>
      <c r="P158" s="230">
        <f t="shared" si="512"/>
        <v>-131245267.06677693</v>
      </c>
      <c r="Q158" s="230">
        <f t="shared" si="512"/>
        <v>-133870172.40811244</v>
      </c>
      <c r="R158" s="230">
        <f t="shared" si="512"/>
        <v>0</v>
      </c>
      <c r="S158" s="230">
        <f t="shared" si="512"/>
        <v>0</v>
      </c>
      <c r="T158" s="230">
        <f t="shared" si="512"/>
        <v>0</v>
      </c>
      <c r="U158" s="230">
        <f t="shared" si="512"/>
        <v>0</v>
      </c>
      <c r="V158" s="230">
        <f t="shared" si="512"/>
        <v>0</v>
      </c>
      <c r="W158" s="230">
        <f t="shared" si="512"/>
        <v>0</v>
      </c>
      <c r="X158" s="230">
        <f t="shared" si="512"/>
        <v>0</v>
      </c>
      <c r="Y158" s="230">
        <f t="shared" si="512"/>
        <v>0</v>
      </c>
      <c r="Z158" s="230">
        <f t="shared" si="512"/>
        <v>0</v>
      </c>
      <c r="AA158" s="230">
        <f t="shared" si="512"/>
        <v>0</v>
      </c>
      <c r="AB158" s="230">
        <f t="shared" si="512"/>
        <v>0</v>
      </c>
      <c r="AC158" s="230">
        <f t="shared" si="512"/>
        <v>0</v>
      </c>
      <c r="AD158" s="230">
        <f t="shared" si="512"/>
        <v>0</v>
      </c>
      <c r="AE158" s="230">
        <f t="shared" si="512"/>
        <v>0</v>
      </c>
      <c r="AF158" s="230">
        <f t="shared" si="512"/>
        <v>0</v>
      </c>
      <c r="AG158" s="230">
        <f t="shared" si="512"/>
        <v>0</v>
      </c>
      <c r="AH158" s="230">
        <f t="shared" si="512"/>
        <v>0</v>
      </c>
      <c r="AI158" s="230">
        <f t="shared" si="512"/>
        <v>0</v>
      </c>
      <c r="AJ158" s="230">
        <f t="shared" ref="AJ158:BX158" si="513">AJ156-AJ157</f>
        <v>0</v>
      </c>
      <c r="AK158" s="230">
        <f t="shared" si="513"/>
        <v>0</v>
      </c>
      <c r="AL158" s="230">
        <f t="shared" si="513"/>
        <v>0</v>
      </c>
      <c r="AM158" s="230">
        <f t="shared" si="513"/>
        <v>0</v>
      </c>
      <c r="AN158" s="230">
        <f t="shared" si="513"/>
        <v>0</v>
      </c>
      <c r="AO158" s="230">
        <f t="shared" si="513"/>
        <v>0</v>
      </c>
      <c r="AP158" s="230">
        <f t="shared" si="513"/>
        <v>0</v>
      </c>
      <c r="AQ158" s="230">
        <f t="shared" si="513"/>
        <v>0</v>
      </c>
      <c r="AR158" s="230">
        <f t="shared" si="513"/>
        <v>0</v>
      </c>
      <c r="AS158" s="230">
        <f t="shared" si="513"/>
        <v>0</v>
      </c>
      <c r="AT158" s="230">
        <f t="shared" si="513"/>
        <v>0</v>
      </c>
      <c r="AU158" s="230">
        <f t="shared" si="513"/>
        <v>0</v>
      </c>
      <c r="AV158" s="230">
        <f t="shared" si="513"/>
        <v>0</v>
      </c>
      <c r="AW158" s="230">
        <f t="shared" si="513"/>
        <v>0</v>
      </c>
      <c r="AX158" s="230">
        <f t="shared" si="513"/>
        <v>0</v>
      </c>
      <c r="AY158" s="230">
        <f t="shared" si="513"/>
        <v>0</v>
      </c>
      <c r="AZ158" s="230">
        <f t="shared" si="513"/>
        <v>0</v>
      </c>
      <c r="BA158" s="230">
        <f t="shared" si="513"/>
        <v>0</v>
      </c>
      <c r="BB158" s="230">
        <f t="shared" si="513"/>
        <v>0</v>
      </c>
      <c r="BC158" s="230">
        <f t="shared" si="513"/>
        <v>0</v>
      </c>
      <c r="BD158" s="230">
        <f t="shared" si="513"/>
        <v>0</v>
      </c>
      <c r="BE158" s="230">
        <f t="shared" si="513"/>
        <v>0</v>
      </c>
      <c r="BF158" s="230">
        <f t="shared" si="513"/>
        <v>0</v>
      </c>
      <c r="BG158" s="230">
        <f t="shared" si="513"/>
        <v>0</v>
      </c>
      <c r="BH158" s="230">
        <f t="shared" si="513"/>
        <v>0</v>
      </c>
      <c r="BI158" s="230">
        <f t="shared" si="513"/>
        <v>0</v>
      </c>
      <c r="BJ158" s="230">
        <f t="shared" si="513"/>
        <v>0</v>
      </c>
      <c r="BK158" s="230">
        <f t="shared" si="513"/>
        <v>0</v>
      </c>
      <c r="BL158" s="230">
        <f t="shared" si="513"/>
        <v>0</v>
      </c>
      <c r="BM158" s="230">
        <f t="shared" si="513"/>
        <v>0</v>
      </c>
      <c r="BN158" s="230">
        <f t="shared" si="513"/>
        <v>0</v>
      </c>
      <c r="BO158" s="230">
        <f t="shared" si="513"/>
        <v>0</v>
      </c>
      <c r="BP158" s="230">
        <f t="shared" si="513"/>
        <v>0</v>
      </c>
      <c r="BQ158" s="230">
        <f t="shared" si="513"/>
        <v>0</v>
      </c>
      <c r="BR158" s="230">
        <f t="shared" si="513"/>
        <v>0</v>
      </c>
      <c r="BS158" s="230">
        <f t="shared" si="513"/>
        <v>0</v>
      </c>
      <c r="BT158" s="230">
        <f t="shared" si="513"/>
        <v>0</v>
      </c>
      <c r="BU158" s="230">
        <f t="shared" si="513"/>
        <v>0</v>
      </c>
      <c r="BV158" s="230">
        <f t="shared" si="513"/>
        <v>0</v>
      </c>
      <c r="BW158" s="230">
        <f t="shared" si="513"/>
        <v>0</v>
      </c>
      <c r="BX158" s="230">
        <f t="shared" si="513"/>
        <v>0</v>
      </c>
    </row>
    <row r="159" spans="1:76" s="205" customFormat="1" x14ac:dyDescent="0.45">
      <c r="B159" s="229">
        <f t="shared" si="507"/>
        <v>-516971067.52879077</v>
      </c>
      <c r="C159" s="66" t="s">
        <v>144</v>
      </c>
      <c r="D159" s="230">
        <f t="shared" ref="D159:AI159" si="514">D125</f>
        <v>0</v>
      </c>
      <c r="E159" s="230">
        <f t="shared" si="514"/>
        <v>0</v>
      </c>
      <c r="F159" s="230">
        <f>F125</f>
        <v>-103394213.50575815</v>
      </c>
      <c r="G159" s="230">
        <f t="shared" si="514"/>
        <v>-165430741.60921302</v>
      </c>
      <c r="H159" s="230">
        <f t="shared" si="514"/>
        <v>-99258444.965527818</v>
      </c>
      <c r="I159" s="230">
        <f t="shared" si="514"/>
        <v>-59555066.979316689</v>
      </c>
      <c r="J159" s="230">
        <f>J125</f>
        <v>-59555066.979316689</v>
      </c>
      <c r="K159" s="230">
        <f t="shared" si="514"/>
        <v>-29777533.489658345</v>
      </c>
      <c r="L159" s="230">
        <f t="shared" si="514"/>
        <v>0</v>
      </c>
      <c r="M159" s="230">
        <f t="shared" si="514"/>
        <v>0</v>
      </c>
      <c r="N159" s="230">
        <f t="shared" si="514"/>
        <v>0</v>
      </c>
      <c r="O159" s="230">
        <f t="shared" si="514"/>
        <v>0</v>
      </c>
      <c r="P159" s="230">
        <f t="shared" si="514"/>
        <v>0</v>
      </c>
      <c r="Q159" s="230">
        <f t="shared" si="514"/>
        <v>0</v>
      </c>
      <c r="R159" s="230">
        <f t="shared" si="514"/>
        <v>0</v>
      </c>
      <c r="S159" s="230">
        <f t="shared" si="514"/>
        <v>0</v>
      </c>
      <c r="T159" s="230">
        <f t="shared" si="514"/>
        <v>0</v>
      </c>
      <c r="U159" s="230">
        <f t="shared" si="514"/>
        <v>0</v>
      </c>
      <c r="V159" s="230">
        <f t="shared" si="514"/>
        <v>0</v>
      </c>
      <c r="W159" s="230">
        <f t="shared" si="514"/>
        <v>0</v>
      </c>
      <c r="X159" s="230">
        <f t="shared" si="514"/>
        <v>0</v>
      </c>
      <c r="Y159" s="230">
        <f t="shared" si="514"/>
        <v>0</v>
      </c>
      <c r="Z159" s="230">
        <f t="shared" si="514"/>
        <v>0</v>
      </c>
      <c r="AA159" s="230">
        <f t="shared" si="514"/>
        <v>0</v>
      </c>
      <c r="AB159" s="230">
        <f t="shared" si="514"/>
        <v>0</v>
      </c>
      <c r="AC159" s="230">
        <f t="shared" si="514"/>
        <v>0</v>
      </c>
      <c r="AD159" s="230">
        <f t="shared" si="514"/>
        <v>0</v>
      </c>
      <c r="AE159" s="230">
        <f t="shared" si="514"/>
        <v>0</v>
      </c>
      <c r="AF159" s="230">
        <f t="shared" si="514"/>
        <v>0</v>
      </c>
      <c r="AG159" s="230">
        <f t="shared" si="514"/>
        <v>0</v>
      </c>
      <c r="AH159" s="230">
        <f t="shared" si="514"/>
        <v>0</v>
      </c>
      <c r="AI159" s="230">
        <f t="shared" si="514"/>
        <v>0</v>
      </c>
      <c r="AJ159" s="230">
        <f t="shared" ref="AJ159:BX159" si="515">AJ125</f>
        <v>0</v>
      </c>
      <c r="AK159" s="230">
        <f t="shared" si="515"/>
        <v>0</v>
      </c>
      <c r="AL159" s="230">
        <f t="shared" si="515"/>
        <v>0</v>
      </c>
      <c r="AM159" s="230">
        <f t="shared" si="515"/>
        <v>0</v>
      </c>
      <c r="AN159" s="230">
        <f t="shared" si="515"/>
        <v>0</v>
      </c>
      <c r="AO159" s="230">
        <f t="shared" si="515"/>
        <v>0</v>
      </c>
      <c r="AP159" s="230">
        <f t="shared" si="515"/>
        <v>0</v>
      </c>
      <c r="AQ159" s="230">
        <f t="shared" si="515"/>
        <v>0</v>
      </c>
      <c r="AR159" s="230">
        <f t="shared" si="515"/>
        <v>0</v>
      </c>
      <c r="AS159" s="230">
        <f t="shared" si="515"/>
        <v>0</v>
      </c>
      <c r="AT159" s="230">
        <f t="shared" si="515"/>
        <v>0</v>
      </c>
      <c r="AU159" s="230">
        <f t="shared" si="515"/>
        <v>0</v>
      </c>
      <c r="AV159" s="230">
        <f t="shared" si="515"/>
        <v>0</v>
      </c>
      <c r="AW159" s="230">
        <f t="shared" si="515"/>
        <v>0</v>
      </c>
      <c r="AX159" s="230">
        <f t="shared" si="515"/>
        <v>0</v>
      </c>
      <c r="AY159" s="230">
        <f t="shared" si="515"/>
        <v>0</v>
      </c>
      <c r="AZ159" s="230">
        <f t="shared" si="515"/>
        <v>0</v>
      </c>
      <c r="BA159" s="230">
        <f t="shared" si="515"/>
        <v>0</v>
      </c>
      <c r="BB159" s="230">
        <f t="shared" si="515"/>
        <v>0</v>
      </c>
      <c r="BC159" s="230">
        <f t="shared" si="515"/>
        <v>0</v>
      </c>
      <c r="BD159" s="230">
        <f t="shared" si="515"/>
        <v>0</v>
      </c>
      <c r="BE159" s="230">
        <f t="shared" si="515"/>
        <v>0</v>
      </c>
      <c r="BF159" s="230">
        <f t="shared" si="515"/>
        <v>0</v>
      </c>
      <c r="BG159" s="230">
        <f t="shared" si="515"/>
        <v>0</v>
      </c>
      <c r="BH159" s="230">
        <f t="shared" si="515"/>
        <v>0</v>
      </c>
      <c r="BI159" s="230">
        <f t="shared" si="515"/>
        <v>0</v>
      </c>
      <c r="BJ159" s="230">
        <f t="shared" si="515"/>
        <v>0</v>
      </c>
      <c r="BK159" s="230">
        <f t="shared" si="515"/>
        <v>0</v>
      </c>
      <c r="BL159" s="230">
        <f t="shared" si="515"/>
        <v>0</v>
      </c>
      <c r="BM159" s="230">
        <f t="shared" si="515"/>
        <v>0</v>
      </c>
      <c r="BN159" s="230">
        <f t="shared" si="515"/>
        <v>0</v>
      </c>
      <c r="BO159" s="230">
        <f t="shared" si="515"/>
        <v>0</v>
      </c>
      <c r="BP159" s="230">
        <f t="shared" si="515"/>
        <v>0</v>
      </c>
      <c r="BQ159" s="230">
        <f t="shared" si="515"/>
        <v>0</v>
      </c>
      <c r="BR159" s="230">
        <f t="shared" si="515"/>
        <v>0</v>
      </c>
      <c r="BS159" s="230">
        <f t="shared" si="515"/>
        <v>0</v>
      </c>
      <c r="BT159" s="230">
        <f t="shared" si="515"/>
        <v>0</v>
      </c>
      <c r="BU159" s="230">
        <f t="shared" si="515"/>
        <v>0</v>
      </c>
      <c r="BV159" s="230">
        <f t="shared" si="515"/>
        <v>0</v>
      </c>
      <c r="BW159" s="230">
        <f t="shared" si="515"/>
        <v>0</v>
      </c>
      <c r="BX159" s="230">
        <f t="shared" si="515"/>
        <v>0</v>
      </c>
    </row>
    <row r="160" spans="1:76" s="205" customFormat="1" x14ac:dyDescent="0.45">
      <c r="B160" s="229">
        <f t="shared" si="507"/>
        <v>-1959242066.8502805</v>
      </c>
      <c r="C160" s="66" t="s">
        <v>145</v>
      </c>
      <c r="D160" s="232">
        <f t="shared" ref="D160" si="516">D158+D159</f>
        <v>0</v>
      </c>
      <c r="E160" s="232">
        <f>E158+E159</f>
        <v>0</v>
      </c>
      <c r="F160" s="232">
        <f>F158+F159</f>
        <v>-210186684.69199196</v>
      </c>
      <c r="G160" s="232">
        <f t="shared" ref="G160:AI160" si="517">G158+G159</f>
        <v>-274359062.21917152</v>
      </c>
      <c r="H160" s="232">
        <f t="shared" si="517"/>
        <v>-211275016.67129654</v>
      </c>
      <c r="I160" s="232">
        <f t="shared" si="517"/>
        <v>-173811970.1192008</v>
      </c>
      <c r="J160" s="232">
        <f t="shared" si="517"/>
        <v>-176097108.18199849</v>
      </c>
      <c r="K160" s="232">
        <f t="shared" si="517"/>
        <v>-148650415.51639378</v>
      </c>
      <c r="L160" s="232">
        <f t="shared" si="517"/>
        <v>-121250339.66727015</v>
      </c>
      <c r="M160" s="232">
        <f t="shared" si="517"/>
        <v>-123675346.46061555</v>
      </c>
      <c r="N160" s="232">
        <f t="shared" si="517"/>
        <v>-126148853.38982785</v>
      </c>
      <c r="O160" s="232">
        <f t="shared" si="517"/>
        <v>-128671830.45762442</v>
      </c>
      <c r="P160" s="232">
        <f t="shared" si="517"/>
        <v>-131245267.06677693</v>
      </c>
      <c r="Q160" s="232">
        <f t="shared" si="517"/>
        <v>-133870172.40811244</v>
      </c>
      <c r="R160" s="232">
        <f t="shared" si="517"/>
        <v>0</v>
      </c>
      <c r="S160" s="232">
        <f t="shared" si="517"/>
        <v>0</v>
      </c>
      <c r="T160" s="232">
        <f t="shared" si="517"/>
        <v>0</v>
      </c>
      <c r="U160" s="232">
        <f t="shared" si="517"/>
        <v>0</v>
      </c>
      <c r="V160" s="232">
        <f t="shared" si="517"/>
        <v>0</v>
      </c>
      <c r="W160" s="232">
        <f t="shared" si="517"/>
        <v>0</v>
      </c>
      <c r="X160" s="232">
        <f t="shared" si="517"/>
        <v>0</v>
      </c>
      <c r="Y160" s="232">
        <f t="shared" si="517"/>
        <v>0</v>
      </c>
      <c r="Z160" s="232">
        <f t="shared" si="517"/>
        <v>0</v>
      </c>
      <c r="AA160" s="232">
        <f t="shared" si="517"/>
        <v>0</v>
      </c>
      <c r="AB160" s="232">
        <f t="shared" si="517"/>
        <v>0</v>
      </c>
      <c r="AC160" s="232">
        <f t="shared" si="517"/>
        <v>0</v>
      </c>
      <c r="AD160" s="232">
        <f t="shared" si="517"/>
        <v>0</v>
      </c>
      <c r="AE160" s="232">
        <f t="shared" si="517"/>
        <v>0</v>
      </c>
      <c r="AF160" s="232">
        <f t="shared" si="517"/>
        <v>0</v>
      </c>
      <c r="AG160" s="232">
        <f t="shared" si="517"/>
        <v>0</v>
      </c>
      <c r="AH160" s="232">
        <f t="shared" si="517"/>
        <v>0</v>
      </c>
      <c r="AI160" s="232">
        <f t="shared" si="517"/>
        <v>0</v>
      </c>
      <c r="AJ160" s="232">
        <f t="shared" ref="AJ160:BX160" si="518">AJ158+AJ159</f>
        <v>0</v>
      </c>
      <c r="AK160" s="232">
        <f t="shared" si="518"/>
        <v>0</v>
      </c>
      <c r="AL160" s="232">
        <f t="shared" si="518"/>
        <v>0</v>
      </c>
      <c r="AM160" s="232">
        <f t="shared" si="518"/>
        <v>0</v>
      </c>
      <c r="AN160" s="232">
        <f t="shared" si="518"/>
        <v>0</v>
      </c>
      <c r="AO160" s="232">
        <f t="shared" si="518"/>
        <v>0</v>
      </c>
      <c r="AP160" s="232">
        <f t="shared" si="518"/>
        <v>0</v>
      </c>
      <c r="AQ160" s="232">
        <f t="shared" si="518"/>
        <v>0</v>
      </c>
      <c r="AR160" s="232">
        <f t="shared" si="518"/>
        <v>0</v>
      </c>
      <c r="AS160" s="232">
        <f t="shared" si="518"/>
        <v>0</v>
      </c>
      <c r="AT160" s="232">
        <f t="shared" si="518"/>
        <v>0</v>
      </c>
      <c r="AU160" s="232">
        <f t="shared" si="518"/>
        <v>0</v>
      </c>
      <c r="AV160" s="232">
        <f t="shared" si="518"/>
        <v>0</v>
      </c>
      <c r="AW160" s="232">
        <f t="shared" si="518"/>
        <v>0</v>
      </c>
      <c r="AX160" s="232">
        <f t="shared" si="518"/>
        <v>0</v>
      </c>
      <c r="AY160" s="232">
        <f t="shared" si="518"/>
        <v>0</v>
      </c>
      <c r="AZ160" s="232">
        <f t="shared" si="518"/>
        <v>0</v>
      </c>
      <c r="BA160" s="232">
        <f t="shared" si="518"/>
        <v>0</v>
      </c>
      <c r="BB160" s="232">
        <f t="shared" si="518"/>
        <v>0</v>
      </c>
      <c r="BC160" s="232">
        <f t="shared" si="518"/>
        <v>0</v>
      </c>
      <c r="BD160" s="232">
        <f t="shared" si="518"/>
        <v>0</v>
      </c>
      <c r="BE160" s="232">
        <f t="shared" si="518"/>
        <v>0</v>
      </c>
      <c r="BF160" s="232">
        <f t="shared" si="518"/>
        <v>0</v>
      </c>
      <c r="BG160" s="232">
        <f t="shared" si="518"/>
        <v>0</v>
      </c>
      <c r="BH160" s="232">
        <f t="shared" si="518"/>
        <v>0</v>
      </c>
      <c r="BI160" s="232">
        <f t="shared" si="518"/>
        <v>0</v>
      </c>
      <c r="BJ160" s="232">
        <f t="shared" si="518"/>
        <v>0</v>
      </c>
      <c r="BK160" s="232">
        <f t="shared" si="518"/>
        <v>0</v>
      </c>
      <c r="BL160" s="232">
        <f t="shared" si="518"/>
        <v>0</v>
      </c>
      <c r="BM160" s="232">
        <f t="shared" si="518"/>
        <v>0</v>
      </c>
      <c r="BN160" s="232">
        <f t="shared" si="518"/>
        <v>0</v>
      </c>
      <c r="BO160" s="232">
        <f t="shared" si="518"/>
        <v>0</v>
      </c>
      <c r="BP160" s="232">
        <f t="shared" si="518"/>
        <v>0</v>
      </c>
      <c r="BQ160" s="232">
        <f t="shared" si="518"/>
        <v>0</v>
      </c>
      <c r="BR160" s="232">
        <f t="shared" si="518"/>
        <v>0</v>
      </c>
      <c r="BS160" s="232">
        <f t="shared" si="518"/>
        <v>0</v>
      </c>
      <c r="BT160" s="232">
        <f t="shared" si="518"/>
        <v>0</v>
      </c>
      <c r="BU160" s="232">
        <f t="shared" si="518"/>
        <v>0</v>
      </c>
      <c r="BV160" s="232">
        <f t="shared" si="518"/>
        <v>0</v>
      </c>
      <c r="BW160" s="232">
        <f t="shared" si="518"/>
        <v>0</v>
      </c>
      <c r="BX160" s="232">
        <f t="shared" si="518"/>
        <v>0</v>
      </c>
    </row>
    <row r="161" spans="1:76" s="205" customFormat="1" x14ac:dyDescent="0.45">
      <c r="B161" s="30">
        <v>0</v>
      </c>
      <c r="C161" s="233" t="s">
        <v>146</v>
      </c>
      <c r="D161" s="234">
        <f t="shared" ref="D161:AI161" si="519">IF(D160&lt;0,0,D160)</f>
        <v>0</v>
      </c>
      <c r="E161" s="234">
        <f t="shared" si="519"/>
        <v>0</v>
      </c>
      <c r="F161" s="234">
        <f t="shared" si="519"/>
        <v>0</v>
      </c>
      <c r="G161" s="234">
        <f t="shared" si="519"/>
        <v>0</v>
      </c>
      <c r="H161" s="234">
        <f t="shared" si="519"/>
        <v>0</v>
      </c>
      <c r="I161" s="234">
        <f t="shared" si="519"/>
        <v>0</v>
      </c>
      <c r="J161" s="234">
        <f t="shared" si="519"/>
        <v>0</v>
      </c>
      <c r="K161" s="234">
        <f t="shared" si="519"/>
        <v>0</v>
      </c>
      <c r="L161" s="234">
        <f t="shared" si="519"/>
        <v>0</v>
      </c>
      <c r="M161" s="234">
        <f t="shared" si="519"/>
        <v>0</v>
      </c>
      <c r="N161" s="234">
        <f t="shared" si="519"/>
        <v>0</v>
      </c>
      <c r="O161" s="234">
        <f t="shared" si="519"/>
        <v>0</v>
      </c>
      <c r="P161" s="234">
        <f t="shared" si="519"/>
        <v>0</v>
      </c>
      <c r="Q161" s="234">
        <f t="shared" si="519"/>
        <v>0</v>
      </c>
      <c r="R161" s="234">
        <f t="shared" si="519"/>
        <v>0</v>
      </c>
      <c r="S161" s="234">
        <f t="shared" si="519"/>
        <v>0</v>
      </c>
      <c r="T161" s="234">
        <f t="shared" si="519"/>
        <v>0</v>
      </c>
      <c r="U161" s="234">
        <f t="shared" si="519"/>
        <v>0</v>
      </c>
      <c r="V161" s="234">
        <f t="shared" si="519"/>
        <v>0</v>
      </c>
      <c r="W161" s="234">
        <f t="shared" si="519"/>
        <v>0</v>
      </c>
      <c r="X161" s="234">
        <f t="shared" si="519"/>
        <v>0</v>
      </c>
      <c r="Y161" s="234">
        <f t="shared" si="519"/>
        <v>0</v>
      </c>
      <c r="Z161" s="234">
        <f t="shared" si="519"/>
        <v>0</v>
      </c>
      <c r="AA161" s="234">
        <f t="shared" si="519"/>
        <v>0</v>
      </c>
      <c r="AB161" s="234">
        <f t="shared" si="519"/>
        <v>0</v>
      </c>
      <c r="AC161" s="234">
        <f t="shared" si="519"/>
        <v>0</v>
      </c>
      <c r="AD161" s="234">
        <f t="shared" si="519"/>
        <v>0</v>
      </c>
      <c r="AE161" s="234">
        <f t="shared" si="519"/>
        <v>0</v>
      </c>
      <c r="AF161" s="234">
        <f t="shared" si="519"/>
        <v>0</v>
      </c>
      <c r="AG161" s="234">
        <f t="shared" si="519"/>
        <v>0</v>
      </c>
      <c r="AH161" s="234">
        <f t="shared" si="519"/>
        <v>0</v>
      </c>
      <c r="AI161" s="234">
        <f t="shared" si="519"/>
        <v>0</v>
      </c>
      <c r="AJ161" s="234">
        <f t="shared" ref="AJ161:BO161" si="520">IF(AJ160&lt;0,0,AJ160)</f>
        <v>0</v>
      </c>
      <c r="AK161" s="234">
        <f t="shared" si="520"/>
        <v>0</v>
      </c>
      <c r="AL161" s="234">
        <f t="shared" si="520"/>
        <v>0</v>
      </c>
      <c r="AM161" s="234">
        <f t="shared" si="520"/>
        <v>0</v>
      </c>
      <c r="AN161" s="234">
        <f t="shared" si="520"/>
        <v>0</v>
      </c>
      <c r="AO161" s="234">
        <f t="shared" si="520"/>
        <v>0</v>
      </c>
      <c r="AP161" s="234">
        <f t="shared" si="520"/>
        <v>0</v>
      </c>
      <c r="AQ161" s="234">
        <f t="shared" si="520"/>
        <v>0</v>
      </c>
      <c r="AR161" s="234">
        <f t="shared" si="520"/>
        <v>0</v>
      </c>
      <c r="AS161" s="234">
        <f t="shared" si="520"/>
        <v>0</v>
      </c>
      <c r="AT161" s="234">
        <f t="shared" si="520"/>
        <v>0</v>
      </c>
      <c r="AU161" s="234">
        <f t="shared" si="520"/>
        <v>0</v>
      </c>
      <c r="AV161" s="234">
        <f t="shared" si="520"/>
        <v>0</v>
      </c>
      <c r="AW161" s="234">
        <f t="shared" si="520"/>
        <v>0</v>
      </c>
      <c r="AX161" s="234">
        <f t="shared" si="520"/>
        <v>0</v>
      </c>
      <c r="AY161" s="234">
        <f t="shared" si="520"/>
        <v>0</v>
      </c>
      <c r="AZ161" s="234">
        <f t="shared" si="520"/>
        <v>0</v>
      </c>
      <c r="BA161" s="234">
        <f t="shared" si="520"/>
        <v>0</v>
      </c>
      <c r="BB161" s="234">
        <f t="shared" si="520"/>
        <v>0</v>
      </c>
      <c r="BC161" s="234">
        <f t="shared" si="520"/>
        <v>0</v>
      </c>
      <c r="BD161" s="234">
        <f t="shared" si="520"/>
        <v>0</v>
      </c>
      <c r="BE161" s="234">
        <f t="shared" si="520"/>
        <v>0</v>
      </c>
      <c r="BF161" s="234">
        <f t="shared" si="520"/>
        <v>0</v>
      </c>
      <c r="BG161" s="234">
        <f t="shared" si="520"/>
        <v>0</v>
      </c>
      <c r="BH161" s="234">
        <f t="shared" si="520"/>
        <v>0</v>
      </c>
      <c r="BI161" s="234">
        <f t="shared" si="520"/>
        <v>0</v>
      </c>
      <c r="BJ161" s="234">
        <f t="shared" si="520"/>
        <v>0</v>
      </c>
      <c r="BK161" s="234">
        <f t="shared" si="520"/>
        <v>0</v>
      </c>
      <c r="BL161" s="234">
        <f t="shared" si="520"/>
        <v>0</v>
      </c>
      <c r="BM161" s="234">
        <f t="shared" si="520"/>
        <v>0</v>
      </c>
      <c r="BN161" s="234">
        <f t="shared" si="520"/>
        <v>0</v>
      </c>
      <c r="BO161" s="234">
        <f t="shared" si="520"/>
        <v>0</v>
      </c>
      <c r="BP161" s="234">
        <f t="shared" ref="BP161:BX161" si="521">IF(BP160&lt;0,0,BP160)</f>
        <v>0</v>
      </c>
      <c r="BQ161" s="234">
        <f t="shared" si="521"/>
        <v>0</v>
      </c>
      <c r="BR161" s="234">
        <f t="shared" si="521"/>
        <v>0</v>
      </c>
      <c r="BS161" s="234">
        <f t="shared" si="521"/>
        <v>0</v>
      </c>
      <c r="BT161" s="234">
        <f t="shared" si="521"/>
        <v>0</v>
      </c>
      <c r="BU161" s="234">
        <f t="shared" si="521"/>
        <v>0</v>
      </c>
      <c r="BV161" s="234">
        <f t="shared" si="521"/>
        <v>0</v>
      </c>
      <c r="BW161" s="234">
        <f t="shared" si="521"/>
        <v>0</v>
      </c>
      <c r="BX161" s="234">
        <f t="shared" si="521"/>
        <v>0</v>
      </c>
    </row>
    <row r="162" spans="1:76" s="205" customFormat="1" x14ac:dyDescent="0.45">
      <c r="B162" s="30">
        <f t="shared" ref="B162:B167" si="522">SUM(D162:CY162)</f>
        <v>0</v>
      </c>
      <c r="C162" s="233" t="s">
        <v>147</v>
      </c>
      <c r="D162" s="234">
        <f t="shared" ref="D162:AI162" si="523">D161*$D$54</f>
        <v>0</v>
      </c>
      <c r="E162" s="234">
        <f t="shared" si="523"/>
        <v>0</v>
      </c>
      <c r="F162" s="234">
        <f t="shared" si="523"/>
        <v>0</v>
      </c>
      <c r="G162" s="234">
        <f t="shared" si="523"/>
        <v>0</v>
      </c>
      <c r="H162" s="234">
        <f t="shared" si="523"/>
        <v>0</v>
      </c>
      <c r="I162" s="234">
        <f t="shared" si="523"/>
        <v>0</v>
      </c>
      <c r="J162" s="234">
        <f t="shared" si="523"/>
        <v>0</v>
      </c>
      <c r="K162" s="234">
        <f t="shared" si="523"/>
        <v>0</v>
      </c>
      <c r="L162" s="234">
        <f t="shared" si="523"/>
        <v>0</v>
      </c>
      <c r="M162" s="234">
        <f t="shared" si="523"/>
        <v>0</v>
      </c>
      <c r="N162" s="234">
        <f t="shared" si="523"/>
        <v>0</v>
      </c>
      <c r="O162" s="234">
        <f t="shared" si="523"/>
        <v>0</v>
      </c>
      <c r="P162" s="234">
        <f t="shared" si="523"/>
        <v>0</v>
      </c>
      <c r="Q162" s="234">
        <f t="shared" si="523"/>
        <v>0</v>
      </c>
      <c r="R162" s="234">
        <f t="shared" si="523"/>
        <v>0</v>
      </c>
      <c r="S162" s="234">
        <f t="shared" si="523"/>
        <v>0</v>
      </c>
      <c r="T162" s="234">
        <f t="shared" si="523"/>
        <v>0</v>
      </c>
      <c r="U162" s="234">
        <f t="shared" si="523"/>
        <v>0</v>
      </c>
      <c r="V162" s="234">
        <f t="shared" si="523"/>
        <v>0</v>
      </c>
      <c r="W162" s="234">
        <f t="shared" si="523"/>
        <v>0</v>
      </c>
      <c r="X162" s="234">
        <f t="shared" si="523"/>
        <v>0</v>
      </c>
      <c r="Y162" s="234">
        <f t="shared" si="523"/>
        <v>0</v>
      </c>
      <c r="Z162" s="234">
        <f t="shared" si="523"/>
        <v>0</v>
      </c>
      <c r="AA162" s="234">
        <f t="shared" si="523"/>
        <v>0</v>
      </c>
      <c r="AB162" s="234">
        <f t="shared" si="523"/>
        <v>0</v>
      </c>
      <c r="AC162" s="234">
        <f t="shared" si="523"/>
        <v>0</v>
      </c>
      <c r="AD162" s="234">
        <f t="shared" si="523"/>
        <v>0</v>
      </c>
      <c r="AE162" s="234">
        <f t="shared" si="523"/>
        <v>0</v>
      </c>
      <c r="AF162" s="234">
        <f t="shared" si="523"/>
        <v>0</v>
      </c>
      <c r="AG162" s="234">
        <f t="shared" si="523"/>
        <v>0</v>
      </c>
      <c r="AH162" s="234">
        <f t="shared" si="523"/>
        <v>0</v>
      </c>
      <c r="AI162" s="234">
        <f t="shared" si="523"/>
        <v>0</v>
      </c>
      <c r="AJ162" s="234">
        <f t="shared" ref="AJ162:BO162" si="524">AJ161*$D$54</f>
        <v>0</v>
      </c>
      <c r="AK162" s="234">
        <f t="shared" si="524"/>
        <v>0</v>
      </c>
      <c r="AL162" s="234">
        <f t="shared" si="524"/>
        <v>0</v>
      </c>
      <c r="AM162" s="234">
        <f t="shared" si="524"/>
        <v>0</v>
      </c>
      <c r="AN162" s="234">
        <f t="shared" si="524"/>
        <v>0</v>
      </c>
      <c r="AO162" s="234">
        <f t="shared" si="524"/>
        <v>0</v>
      </c>
      <c r="AP162" s="234">
        <f t="shared" si="524"/>
        <v>0</v>
      </c>
      <c r="AQ162" s="234">
        <f t="shared" si="524"/>
        <v>0</v>
      </c>
      <c r="AR162" s="234">
        <f t="shared" si="524"/>
        <v>0</v>
      </c>
      <c r="AS162" s="234">
        <f t="shared" si="524"/>
        <v>0</v>
      </c>
      <c r="AT162" s="234">
        <f t="shared" si="524"/>
        <v>0</v>
      </c>
      <c r="AU162" s="234">
        <f t="shared" si="524"/>
        <v>0</v>
      </c>
      <c r="AV162" s="234">
        <f t="shared" si="524"/>
        <v>0</v>
      </c>
      <c r="AW162" s="234">
        <f t="shared" si="524"/>
        <v>0</v>
      </c>
      <c r="AX162" s="234">
        <f t="shared" si="524"/>
        <v>0</v>
      </c>
      <c r="AY162" s="234">
        <f t="shared" si="524"/>
        <v>0</v>
      </c>
      <c r="AZ162" s="234">
        <f t="shared" si="524"/>
        <v>0</v>
      </c>
      <c r="BA162" s="234">
        <f t="shared" si="524"/>
        <v>0</v>
      </c>
      <c r="BB162" s="234">
        <f t="shared" si="524"/>
        <v>0</v>
      </c>
      <c r="BC162" s="234">
        <f t="shared" si="524"/>
        <v>0</v>
      </c>
      <c r="BD162" s="234">
        <f t="shared" si="524"/>
        <v>0</v>
      </c>
      <c r="BE162" s="234">
        <f t="shared" si="524"/>
        <v>0</v>
      </c>
      <c r="BF162" s="234">
        <f t="shared" si="524"/>
        <v>0</v>
      </c>
      <c r="BG162" s="234">
        <f t="shared" si="524"/>
        <v>0</v>
      </c>
      <c r="BH162" s="234">
        <f t="shared" si="524"/>
        <v>0</v>
      </c>
      <c r="BI162" s="234">
        <f t="shared" si="524"/>
        <v>0</v>
      </c>
      <c r="BJ162" s="234">
        <f t="shared" si="524"/>
        <v>0</v>
      </c>
      <c r="BK162" s="234">
        <f t="shared" si="524"/>
        <v>0</v>
      </c>
      <c r="BL162" s="234">
        <f t="shared" si="524"/>
        <v>0</v>
      </c>
      <c r="BM162" s="234">
        <f t="shared" si="524"/>
        <v>0</v>
      </c>
      <c r="BN162" s="234">
        <f t="shared" si="524"/>
        <v>0</v>
      </c>
      <c r="BO162" s="234">
        <f t="shared" si="524"/>
        <v>0</v>
      </c>
      <c r="BP162" s="234">
        <f t="shared" ref="BP162:BX162" si="525">BP161*$D$54</f>
        <v>0</v>
      </c>
      <c r="BQ162" s="234">
        <f t="shared" si="525"/>
        <v>0</v>
      </c>
      <c r="BR162" s="234">
        <f t="shared" si="525"/>
        <v>0</v>
      </c>
      <c r="BS162" s="234">
        <f t="shared" si="525"/>
        <v>0</v>
      </c>
      <c r="BT162" s="234">
        <f t="shared" si="525"/>
        <v>0</v>
      </c>
      <c r="BU162" s="234">
        <f t="shared" si="525"/>
        <v>0</v>
      </c>
      <c r="BV162" s="234">
        <f t="shared" si="525"/>
        <v>0</v>
      </c>
      <c r="BW162" s="234">
        <f t="shared" si="525"/>
        <v>0</v>
      </c>
      <c r="BX162" s="234">
        <f t="shared" si="525"/>
        <v>0</v>
      </c>
    </row>
    <row r="163" spans="1:76" s="205" customFormat="1" x14ac:dyDescent="0.45">
      <c r="B163" s="229">
        <f t="shared" si="522"/>
        <v>-1959242066.8502805</v>
      </c>
      <c r="C163" s="233" t="s">
        <v>148</v>
      </c>
      <c r="D163" s="234">
        <f t="shared" ref="D163:AI163" si="526">D160-D162</f>
        <v>0</v>
      </c>
      <c r="E163" s="234">
        <f t="shared" si="526"/>
        <v>0</v>
      </c>
      <c r="F163" s="234">
        <f t="shared" si="526"/>
        <v>-210186684.69199196</v>
      </c>
      <c r="G163" s="234">
        <f t="shared" si="526"/>
        <v>-274359062.21917152</v>
      </c>
      <c r="H163" s="234">
        <f t="shared" si="526"/>
        <v>-211275016.67129654</v>
      </c>
      <c r="I163" s="234">
        <f t="shared" si="526"/>
        <v>-173811970.1192008</v>
      </c>
      <c r="J163" s="234">
        <f t="shared" si="526"/>
        <v>-176097108.18199849</v>
      </c>
      <c r="K163" s="234">
        <f t="shared" si="526"/>
        <v>-148650415.51639378</v>
      </c>
      <c r="L163" s="234">
        <f t="shared" si="526"/>
        <v>-121250339.66727015</v>
      </c>
      <c r="M163" s="234">
        <f t="shared" si="526"/>
        <v>-123675346.46061555</v>
      </c>
      <c r="N163" s="234">
        <f t="shared" si="526"/>
        <v>-126148853.38982785</v>
      </c>
      <c r="O163" s="234">
        <f t="shared" si="526"/>
        <v>-128671830.45762442</v>
      </c>
      <c r="P163" s="234">
        <f t="shared" si="526"/>
        <v>-131245267.06677693</v>
      </c>
      <c r="Q163" s="234">
        <f t="shared" si="526"/>
        <v>-133870172.40811244</v>
      </c>
      <c r="R163" s="234">
        <f t="shared" si="526"/>
        <v>0</v>
      </c>
      <c r="S163" s="234">
        <f t="shared" si="526"/>
        <v>0</v>
      </c>
      <c r="T163" s="234">
        <f t="shared" si="526"/>
        <v>0</v>
      </c>
      <c r="U163" s="234">
        <f t="shared" si="526"/>
        <v>0</v>
      </c>
      <c r="V163" s="234">
        <f t="shared" si="526"/>
        <v>0</v>
      </c>
      <c r="W163" s="234">
        <f t="shared" si="526"/>
        <v>0</v>
      </c>
      <c r="X163" s="234">
        <f t="shared" si="526"/>
        <v>0</v>
      </c>
      <c r="Y163" s="234">
        <f t="shared" si="526"/>
        <v>0</v>
      </c>
      <c r="Z163" s="234">
        <f t="shared" si="526"/>
        <v>0</v>
      </c>
      <c r="AA163" s="234">
        <f t="shared" si="526"/>
        <v>0</v>
      </c>
      <c r="AB163" s="234">
        <f t="shared" si="526"/>
        <v>0</v>
      </c>
      <c r="AC163" s="234">
        <f t="shared" si="526"/>
        <v>0</v>
      </c>
      <c r="AD163" s="234">
        <f t="shared" si="526"/>
        <v>0</v>
      </c>
      <c r="AE163" s="234">
        <f t="shared" si="526"/>
        <v>0</v>
      </c>
      <c r="AF163" s="234">
        <f t="shared" si="526"/>
        <v>0</v>
      </c>
      <c r="AG163" s="234">
        <f t="shared" si="526"/>
        <v>0</v>
      </c>
      <c r="AH163" s="234">
        <f t="shared" si="526"/>
        <v>0</v>
      </c>
      <c r="AI163" s="234">
        <f t="shared" si="526"/>
        <v>0</v>
      </c>
      <c r="AJ163" s="234">
        <f t="shared" ref="AJ163:BO163" si="527">AJ160-AJ162</f>
        <v>0</v>
      </c>
      <c r="AK163" s="234">
        <f t="shared" si="527"/>
        <v>0</v>
      </c>
      <c r="AL163" s="234">
        <f t="shared" si="527"/>
        <v>0</v>
      </c>
      <c r="AM163" s="234">
        <f t="shared" si="527"/>
        <v>0</v>
      </c>
      <c r="AN163" s="234">
        <f t="shared" si="527"/>
        <v>0</v>
      </c>
      <c r="AO163" s="234">
        <f t="shared" si="527"/>
        <v>0</v>
      </c>
      <c r="AP163" s="234">
        <f t="shared" si="527"/>
        <v>0</v>
      </c>
      <c r="AQ163" s="234">
        <f t="shared" si="527"/>
        <v>0</v>
      </c>
      <c r="AR163" s="234">
        <f t="shared" si="527"/>
        <v>0</v>
      </c>
      <c r="AS163" s="234">
        <f t="shared" si="527"/>
        <v>0</v>
      </c>
      <c r="AT163" s="234">
        <f t="shared" si="527"/>
        <v>0</v>
      </c>
      <c r="AU163" s="234">
        <f t="shared" si="527"/>
        <v>0</v>
      </c>
      <c r="AV163" s="234">
        <f t="shared" si="527"/>
        <v>0</v>
      </c>
      <c r="AW163" s="234">
        <f t="shared" si="527"/>
        <v>0</v>
      </c>
      <c r="AX163" s="234">
        <f t="shared" si="527"/>
        <v>0</v>
      </c>
      <c r="AY163" s="234">
        <f t="shared" si="527"/>
        <v>0</v>
      </c>
      <c r="AZ163" s="234">
        <f t="shared" si="527"/>
        <v>0</v>
      </c>
      <c r="BA163" s="234">
        <f t="shared" si="527"/>
        <v>0</v>
      </c>
      <c r="BB163" s="234">
        <f t="shared" si="527"/>
        <v>0</v>
      </c>
      <c r="BC163" s="234">
        <f t="shared" si="527"/>
        <v>0</v>
      </c>
      <c r="BD163" s="234">
        <f t="shared" si="527"/>
        <v>0</v>
      </c>
      <c r="BE163" s="234">
        <f t="shared" si="527"/>
        <v>0</v>
      </c>
      <c r="BF163" s="234">
        <f t="shared" si="527"/>
        <v>0</v>
      </c>
      <c r="BG163" s="234">
        <f t="shared" si="527"/>
        <v>0</v>
      </c>
      <c r="BH163" s="234">
        <f t="shared" si="527"/>
        <v>0</v>
      </c>
      <c r="BI163" s="234">
        <f t="shared" si="527"/>
        <v>0</v>
      </c>
      <c r="BJ163" s="234">
        <f t="shared" si="527"/>
        <v>0</v>
      </c>
      <c r="BK163" s="234">
        <f t="shared" si="527"/>
        <v>0</v>
      </c>
      <c r="BL163" s="234">
        <f t="shared" si="527"/>
        <v>0</v>
      </c>
      <c r="BM163" s="234">
        <f t="shared" si="527"/>
        <v>0</v>
      </c>
      <c r="BN163" s="234">
        <f t="shared" si="527"/>
        <v>0</v>
      </c>
      <c r="BO163" s="234">
        <f t="shared" si="527"/>
        <v>0</v>
      </c>
      <c r="BP163" s="234">
        <f t="shared" ref="BP163:BX163" si="528">BP160-BP162</f>
        <v>0</v>
      </c>
      <c r="BQ163" s="234">
        <f t="shared" si="528"/>
        <v>0</v>
      </c>
      <c r="BR163" s="234">
        <f t="shared" si="528"/>
        <v>0</v>
      </c>
      <c r="BS163" s="234">
        <f t="shared" si="528"/>
        <v>0</v>
      </c>
      <c r="BT163" s="234">
        <f t="shared" si="528"/>
        <v>0</v>
      </c>
      <c r="BU163" s="234">
        <f t="shared" si="528"/>
        <v>0</v>
      </c>
      <c r="BV163" s="234">
        <f t="shared" si="528"/>
        <v>0</v>
      </c>
      <c r="BW163" s="234">
        <f t="shared" si="528"/>
        <v>0</v>
      </c>
      <c r="BX163" s="234">
        <f t="shared" si="528"/>
        <v>0</v>
      </c>
    </row>
    <row r="164" spans="1:76" s="205" customFormat="1" x14ac:dyDescent="0.45">
      <c r="A164" s="235"/>
      <c r="B164" s="229">
        <f t="shared" si="522"/>
        <v>470218096.04406732</v>
      </c>
      <c r="C164" s="233" t="s">
        <v>149</v>
      </c>
      <c r="D164" s="234">
        <f t="shared" ref="D164:AI164" si="529">IF((D158+D159)&lt;0,-(D158+D159)*$D$54,0)</f>
        <v>0</v>
      </c>
      <c r="E164" s="234">
        <f t="shared" si="529"/>
        <v>0</v>
      </c>
      <c r="F164" s="234">
        <f t="shared" si="529"/>
        <v>50444804.326078065</v>
      </c>
      <c r="G164" s="234">
        <f t="shared" si="529"/>
        <v>65846174.932601161</v>
      </c>
      <c r="H164" s="234">
        <f t="shared" si="529"/>
        <v>50706004.001111165</v>
      </c>
      <c r="I164" s="234">
        <f t="shared" si="529"/>
        <v>41714872.828608193</v>
      </c>
      <c r="J164" s="234">
        <f t="shared" si="529"/>
        <v>42263305.963679634</v>
      </c>
      <c r="K164" s="234">
        <f t="shared" si="529"/>
        <v>35676099.723934509</v>
      </c>
      <c r="L164" s="234">
        <f t="shared" si="529"/>
        <v>29100081.520144835</v>
      </c>
      <c r="M164" s="234">
        <f t="shared" si="529"/>
        <v>29682083.150547732</v>
      </c>
      <c r="N164" s="234">
        <f t="shared" si="529"/>
        <v>30275724.813558683</v>
      </c>
      <c r="O164" s="234">
        <f t="shared" si="529"/>
        <v>30881239.309829861</v>
      </c>
      <c r="P164" s="234">
        <f t="shared" si="529"/>
        <v>31498864.096026462</v>
      </c>
      <c r="Q164" s="234">
        <f t="shared" si="529"/>
        <v>32128841.377946984</v>
      </c>
      <c r="R164" s="234">
        <f t="shared" si="529"/>
        <v>0</v>
      </c>
      <c r="S164" s="234">
        <f t="shared" si="529"/>
        <v>0</v>
      </c>
      <c r="T164" s="234">
        <f t="shared" si="529"/>
        <v>0</v>
      </c>
      <c r="U164" s="234">
        <f t="shared" si="529"/>
        <v>0</v>
      </c>
      <c r="V164" s="234">
        <f t="shared" si="529"/>
        <v>0</v>
      </c>
      <c r="W164" s="234">
        <f t="shared" si="529"/>
        <v>0</v>
      </c>
      <c r="X164" s="234">
        <f t="shared" si="529"/>
        <v>0</v>
      </c>
      <c r="Y164" s="234">
        <f t="shared" si="529"/>
        <v>0</v>
      </c>
      <c r="Z164" s="234">
        <f t="shared" si="529"/>
        <v>0</v>
      </c>
      <c r="AA164" s="234">
        <f t="shared" si="529"/>
        <v>0</v>
      </c>
      <c r="AB164" s="234">
        <f t="shared" si="529"/>
        <v>0</v>
      </c>
      <c r="AC164" s="234">
        <f t="shared" si="529"/>
        <v>0</v>
      </c>
      <c r="AD164" s="234">
        <f t="shared" si="529"/>
        <v>0</v>
      </c>
      <c r="AE164" s="234">
        <f t="shared" si="529"/>
        <v>0</v>
      </c>
      <c r="AF164" s="234">
        <f t="shared" si="529"/>
        <v>0</v>
      </c>
      <c r="AG164" s="234">
        <f t="shared" si="529"/>
        <v>0</v>
      </c>
      <c r="AH164" s="234">
        <f t="shared" si="529"/>
        <v>0</v>
      </c>
      <c r="AI164" s="234">
        <f t="shared" si="529"/>
        <v>0</v>
      </c>
      <c r="AJ164" s="234">
        <f t="shared" ref="AJ164:BO164" si="530">IF((AJ158+AJ159)&lt;0,-(AJ158+AJ159)*$D$54,0)</f>
        <v>0</v>
      </c>
      <c r="AK164" s="234">
        <f t="shared" si="530"/>
        <v>0</v>
      </c>
      <c r="AL164" s="234">
        <f t="shared" si="530"/>
        <v>0</v>
      </c>
      <c r="AM164" s="234">
        <f t="shared" si="530"/>
        <v>0</v>
      </c>
      <c r="AN164" s="234">
        <f t="shared" si="530"/>
        <v>0</v>
      </c>
      <c r="AO164" s="234">
        <f t="shared" si="530"/>
        <v>0</v>
      </c>
      <c r="AP164" s="234">
        <f t="shared" si="530"/>
        <v>0</v>
      </c>
      <c r="AQ164" s="234">
        <f t="shared" si="530"/>
        <v>0</v>
      </c>
      <c r="AR164" s="234">
        <f t="shared" si="530"/>
        <v>0</v>
      </c>
      <c r="AS164" s="234">
        <f t="shared" si="530"/>
        <v>0</v>
      </c>
      <c r="AT164" s="234">
        <f t="shared" si="530"/>
        <v>0</v>
      </c>
      <c r="AU164" s="234">
        <f t="shared" si="530"/>
        <v>0</v>
      </c>
      <c r="AV164" s="234">
        <f t="shared" si="530"/>
        <v>0</v>
      </c>
      <c r="AW164" s="234">
        <f t="shared" si="530"/>
        <v>0</v>
      </c>
      <c r="AX164" s="234">
        <f t="shared" si="530"/>
        <v>0</v>
      </c>
      <c r="AY164" s="234">
        <f t="shared" si="530"/>
        <v>0</v>
      </c>
      <c r="AZ164" s="234">
        <f t="shared" si="530"/>
        <v>0</v>
      </c>
      <c r="BA164" s="234">
        <f t="shared" si="530"/>
        <v>0</v>
      </c>
      <c r="BB164" s="234">
        <f t="shared" si="530"/>
        <v>0</v>
      </c>
      <c r="BC164" s="234">
        <f t="shared" si="530"/>
        <v>0</v>
      </c>
      <c r="BD164" s="234">
        <f t="shared" si="530"/>
        <v>0</v>
      </c>
      <c r="BE164" s="234">
        <f t="shared" si="530"/>
        <v>0</v>
      </c>
      <c r="BF164" s="234">
        <f t="shared" si="530"/>
        <v>0</v>
      </c>
      <c r="BG164" s="234">
        <f t="shared" si="530"/>
        <v>0</v>
      </c>
      <c r="BH164" s="234">
        <f t="shared" si="530"/>
        <v>0</v>
      </c>
      <c r="BI164" s="234">
        <f t="shared" si="530"/>
        <v>0</v>
      </c>
      <c r="BJ164" s="234">
        <f t="shared" si="530"/>
        <v>0</v>
      </c>
      <c r="BK164" s="234">
        <f t="shared" si="530"/>
        <v>0</v>
      </c>
      <c r="BL164" s="234">
        <f t="shared" si="530"/>
        <v>0</v>
      </c>
      <c r="BM164" s="234">
        <f t="shared" si="530"/>
        <v>0</v>
      </c>
      <c r="BN164" s="234">
        <f t="shared" si="530"/>
        <v>0</v>
      </c>
      <c r="BO164" s="234">
        <f t="shared" si="530"/>
        <v>0</v>
      </c>
      <c r="BP164" s="234">
        <f t="shared" ref="BP164:BX164" si="531">IF((BP158+BP159)&lt;0,-(BP158+BP159)*$D$54,0)</f>
        <v>0</v>
      </c>
      <c r="BQ164" s="234">
        <f t="shared" si="531"/>
        <v>0</v>
      </c>
      <c r="BR164" s="234">
        <f t="shared" si="531"/>
        <v>0</v>
      </c>
      <c r="BS164" s="234">
        <f t="shared" si="531"/>
        <v>0</v>
      </c>
      <c r="BT164" s="234">
        <f t="shared" si="531"/>
        <v>0</v>
      </c>
      <c r="BU164" s="234">
        <f t="shared" si="531"/>
        <v>0</v>
      </c>
      <c r="BV164" s="234">
        <f t="shared" si="531"/>
        <v>0</v>
      </c>
      <c r="BW164" s="234">
        <f t="shared" si="531"/>
        <v>0</v>
      </c>
      <c r="BX164" s="234">
        <f t="shared" si="531"/>
        <v>0</v>
      </c>
    </row>
    <row r="165" spans="1:76" s="205" customFormat="1" x14ac:dyDescent="0.45">
      <c r="B165" s="229">
        <f t="shared" si="522"/>
        <v>516971067.52879071</v>
      </c>
      <c r="C165" s="233" t="s">
        <v>150</v>
      </c>
      <c r="D165" s="236">
        <f t="shared" ref="D165:AI165" si="532">D123</f>
        <v>255926271.05385685</v>
      </c>
      <c r="E165" s="236">
        <f t="shared" si="532"/>
        <v>261044796.47493389</v>
      </c>
      <c r="F165" s="236">
        <f t="shared" si="532"/>
        <v>0</v>
      </c>
      <c r="G165" s="236">
        <f t="shared" si="532"/>
        <v>0</v>
      </c>
      <c r="H165" s="236">
        <f t="shared" si="532"/>
        <v>0</v>
      </c>
      <c r="I165" s="236">
        <f t="shared" si="532"/>
        <v>0</v>
      </c>
      <c r="J165" s="236">
        <f t="shared" si="532"/>
        <v>0</v>
      </c>
      <c r="K165" s="236">
        <f t="shared" si="532"/>
        <v>0</v>
      </c>
      <c r="L165" s="236">
        <f t="shared" si="532"/>
        <v>0</v>
      </c>
      <c r="M165" s="236">
        <f t="shared" si="532"/>
        <v>0</v>
      </c>
      <c r="N165" s="236">
        <f t="shared" si="532"/>
        <v>0</v>
      </c>
      <c r="O165" s="236">
        <f t="shared" si="532"/>
        <v>0</v>
      </c>
      <c r="P165" s="236">
        <f t="shared" si="532"/>
        <v>0</v>
      </c>
      <c r="Q165" s="236">
        <f t="shared" si="532"/>
        <v>0</v>
      </c>
      <c r="R165" s="236">
        <f t="shared" si="532"/>
        <v>0</v>
      </c>
      <c r="S165" s="236">
        <f t="shared" si="532"/>
        <v>0</v>
      </c>
      <c r="T165" s="236">
        <f t="shared" si="532"/>
        <v>0</v>
      </c>
      <c r="U165" s="236">
        <f t="shared" si="532"/>
        <v>0</v>
      </c>
      <c r="V165" s="236">
        <f t="shared" si="532"/>
        <v>0</v>
      </c>
      <c r="W165" s="236">
        <f t="shared" si="532"/>
        <v>0</v>
      </c>
      <c r="X165" s="236">
        <f t="shared" si="532"/>
        <v>0</v>
      </c>
      <c r="Y165" s="236">
        <f t="shared" si="532"/>
        <v>0</v>
      </c>
      <c r="Z165" s="236">
        <f t="shared" si="532"/>
        <v>0</v>
      </c>
      <c r="AA165" s="236">
        <f t="shared" si="532"/>
        <v>0</v>
      </c>
      <c r="AB165" s="236">
        <f t="shared" si="532"/>
        <v>0</v>
      </c>
      <c r="AC165" s="236">
        <f t="shared" si="532"/>
        <v>0</v>
      </c>
      <c r="AD165" s="236">
        <f t="shared" si="532"/>
        <v>0</v>
      </c>
      <c r="AE165" s="236">
        <f t="shared" si="532"/>
        <v>0</v>
      </c>
      <c r="AF165" s="236">
        <f t="shared" si="532"/>
        <v>0</v>
      </c>
      <c r="AG165" s="236">
        <f t="shared" si="532"/>
        <v>0</v>
      </c>
      <c r="AH165" s="236">
        <f t="shared" si="532"/>
        <v>0</v>
      </c>
      <c r="AI165" s="236">
        <f t="shared" si="532"/>
        <v>0</v>
      </c>
      <c r="AJ165" s="236">
        <f t="shared" ref="AJ165:BO165" si="533">AJ123</f>
        <v>0</v>
      </c>
      <c r="AK165" s="236">
        <f t="shared" si="533"/>
        <v>0</v>
      </c>
      <c r="AL165" s="236">
        <f t="shared" si="533"/>
        <v>0</v>
      </c>
      <c r="AM165" s="236">
        <f t="shared" si="533"/>
        <v>0</v>
      </c>
      <c r="AN165" s="236">
        <f t="shared" si="533"/>
        <v>0</v>
      </c>
      <c r="AO165" s="236">
        <f t="shared" si="533"/>
        <v>0</v>
      </c>
      <c r="AP165" s="236">
        <f t="shared" si="533"/>
        <v>0</v>
      </c>
      <c r="AQ165" s="236">
        <f t="shared" si="533"/>
        <v>0</v>
      </c>
      <c r="AR165" s="236">
        <f t="shared" si="533"/>
        <v>0</v>
      </c>
      <c r="AS165" s="236">
        <f t="shared" si="533"/>
        <v>0</v>
      </c>
      <c r="AT165" s="236">
        <f t="shared" si="533"/>
        <v>0</v>
      </c>
      <c r="AU165" s="236">
        <f t="shared" si="533"/>
        <v>0</v>
      </c>
      <c r="AV165" s="236">
        <f t="shared" si="533"/>
        <v>0</v>
      </c>
      <c r="AW165" s="236">
        <f t="shared" si="533"/>
        <v>0</v>
      </c>
      <c r="AX165" s="236">
        <f t="shared" si="533"/>
        <v>0</v>
      </c>
      <c r="AY165" s="236">
        <f t="shared" si="533"/>
        <v>0</v>
      </c>
      <c r="AZ165" s="236">
        <f t="shared" si="533"/>
        <v>0</v>
      </c>
      <c r="BA165" s="236">
        <f t="shared" si="533"/>
        <v>0</v>
      </c>
      <c r="BB165" s="236">
        <f t="shared" si="533"/>
        <v>0</v>
      </c>
      <c r="BC165" s="236">
        <f t="shared" si="533"/>
        <v>0</v>
      </c>
      <c r="BD165" s="236">
        <f t="shared" si="533"/>
        <v>0</v>
      </c>
      <c r="BE165" s="236">
        <f t="shared" si="533"/>
        <v>0</v>
      </c>
      <c r="BF165" s="236">
        <f t="shared" si="533"/>
        <v>0</v>
      </c>
      <c r="BG165" s="236">
        <f t="shared" si="533"/>
        <v>0</v>
      </c>
      <c r="BH165" s="236">
        <f t="shared" si="533"/>
        <v>0</v>
      </c>
      <c r="BI165" s="236">
        <f t="shared" si="533"/>
        <v>0</v>
      </c>
      <c r="BJ165" s="236">
        <f t="shared" si="533"/>
        <v>0</v>
      </c>
      <c r="BK165" s="236">
        <f t="shared" si="533"/>
        <v>0</v>
      </c>
      <c r="BL165" s="236">
        <f t="shared" si="533"/>
        <v>0</v>
      </c>
      <c r="BM165" s="236">
        <f t="shared" si="533"/>
        <v>0</v>
      </c>
      <c r="BN165" s="236">
        <f t="shared" si="533"/>
        <v>0</v>
      </c>
      <c r="BO165" s="236">
        <f t="shared" si="533"/>
        <v>0</v>
      </c>
      <c r="BP165" s="236">
        <f t="shared" ref="BP165:BX165" si="534">BP123</f>
        <v>0</v>
      </c>
      <c r="BQ165" s="236">
        <f t="shared" si="534"/>
        <v>0</v>
      </c>
      <c r="BR165" s="236">
        <f t="shared" si="534"/>
        <v>0</v>
      </c>
      <c r="BS165" s="236">
        <f t="shared" si="534"/>
        <v>0</v>
      </c>
      <c r="BT165" s="236">
        <f t="shared" si="534"/>
        <v>0</v>
      </c>
      <c r="BU165" s="236">
        <f t="shared" si="534"/>
        <v>0</v>
      </c>
      <c r="BV165" s="236">
        <f t="shared" si="534"/>
        <v>0</v>
      </c>
      <c r="BW165" s="236">
        <f t="shared" si="534"/>
        <v>0</v>
      </c>
      <c r="BX165" s="236">
        <f t="shared" si="534"/>
        <v>0</v>
      </c>
    </row>
    <row r="166" spans="1:76" s="205" customFormat="1" x14ac:dyDescent="0.45">
      <c r="B166" s="229">
        <f t="shared" si="522"/>
        <v>812916746.60948873</v>
      </c>
      <c r="C166" s="233" t="s">
        <v>151</v>
      </c>
      <c r="D166" s="234">
        <f t="shared" ref="D166:AI166" si="535">D163-D159-D165+D147+D164</f>
        <v>-255926271.05385685</v>
      </c>
      <c r="E166" s="234">
        <f t="shared" si="535"/>
        <v>-261044796.47493389</v>
      </c>
      <c r="F166" s="234">
        <f t="shared" si="535"/>
        <v>115284104.48030654</v>
      </c>
      <c r="G166" s="234">
        <f t="shared" si="535"/>
        <v>131982261.08991417</v>
      </c>
      <c r="H166" s="234">
        <f t="shared" si="535"/>
        <v>117255127.19795939</v>
      </c>
      <c r="I166" s="234">
        <f t="shared" si="535"/>
        <v>109594978.48939338</v>
      </c>
      <c r="J166" s="234">
        <f t="shared" si="535"/>
        <v>111501013.73768055</v>
      </c>
      <c r="K166" s="234">
        <f t="shared" si="535"/>
        <v>106298561.65341538</v>
      </c>
      <c r="L166" s="234">
        <f t="shared" si="535"/>
        <v>101134992.68821536</v>
      </c>
      <c r="M166" s="234">
        <f t="shared" si="535"/>
        <v>103157692.54197966</v>
      </c>
      <c r="N166" s="234">
        <f t="shared" si="535"/>
        <v>105220846.39281924</v>
      </c>
      <c r="O166" s="234">
        <f t="shared" si="535"/>
        <v>107325263.3206756</v>
      </c>
      <c r="P166" s="234">
        <f t="shared" si="535"/>
        <v>109471768.58708914</v>
      </c>
      <c r="Q166" s="234">
        <f t="shared" si="535"/>
        <v>111661203.95883094</v>
      </c>
      <c r="R166" s="234">
        <f t="shared" si="535"/>
        <v>0</v>
      </c>
      <c r="S166" s="234">
        <f t="shared" si="535"/>
        <v>0</v>
      </c>
      <c r="T166" s="234">
        <f t="shared" si="535"/>
        <v>0</v>
      </c>
      <c r="U166" s="234">
        <f t="shared" si="535"/>
        <v>0</v>
      </c>
      <c r="V166" s="234">
        <f t="shared" si="535"/>
        <v>0</v>
      </c>
      <c r="W166" s="234">
        <f t="shared" si="535"/>
        <v>0</v>
      </c>
      <c r="X166" s="234">
        <f t="shared" si="535"/>
        <v>0</v>
      </c>
      <c r="Y166" s="234">
        <f t="shared" si="535"/>
        <v>0</v>
      </c>
      <c r="Z166" s="234">
        <f t="shared" si="535"/>
        <v>0</v>
      </c>
      <c r="AA166" s="234">
        <f t="shared" si="535"/>
        <v>0</v>
      </c>
      <c r="AB166" s="234">
        <f t="shared" si="535"/>
        <v>0</v>
      </c>
      <c r="AC166" s="234">
        <f t="shared" si="535"/>
        <v>0</v>
      </c>
      <c r="AD166" s="234">
        <f t="shared" si="535"/>
        <v>0</v>
      </c>
      <c r="AE166" s="234">
        <f t="shared" si="535"/>
        <v>0</v>
      </c>
      <c r="AF166" s="234">
        <f t="shared" si="535"/>
        <v>0</v>
      </c>
      <c r="AG166" s="234">
        <f t="shared" si="535"/>
        <v>0</v>
      </c>
      <c r="AH166" s="234">
        <f t="shared" si="535"/>
        <v>0</v>
      </c>
      <c r="AI166" s="234">
        <f t="shared" si="535"/>
        <v>0</v>
      </c>
      <c r="AJ166" s="234">
        <f t="shared" ref="AJ166:BO166" si="536">AJ163-AJ159-AJ165+AJ147+AJ164</f>
        <v>0</v>
      </c>
      <c r="AK166" s="234">
        <f t="shared" si="536"/>
        <v>0</v>
      </c>
      <c r="AL166" s="234">
        <f t="shared" si="536"/>
        <v>0</v>
      </c>
      <c r="AM166" s="234">
        <f t="shared" si="536"/>
        <v>0</v>
      </c>
      <c r="AN166" s="234">
        <f t="shared" si="536"/>
        <v>0</v>
      </c>
      <c r="AO166" s="234">
        <f t="shared" si="536"/>
        <v>0</v>
      </c>
      <c r="AP166" s="234">
        <f t="shared" si="536"/>
        <v>0</v>
      </c>
      <c r="AQ166" s="234">
        <f t="shared" si="536"/>
        <v>0</v>
      </c>
      <c r="AR166" s="234">
        <f t="shared" si="536"/>
        <v>0</v>
      </c>
      <c r="AS166" s="234">
        <f t="shared" si="536"/>
        <v>0</v>
      </c>
      <c r="AT166" s="234">
        <f t="shared" si="536"/>
        <v>0</v>
      </c>
      <c r="AU166" s="234">
        <f t="shared" si="536"/>
        <v>0</v>
      </c>
      <c r="AV166" s="234">
        <f t="shared" si="536"/>
        <v>0</v>
      </c>
      <c r="AW166" s="234">
        <f t="shared" si="536"/>
        <v>0</v>
      </c>
      <c r="AX166" s="234">
        <f t="shared" si="536"/>
        <v>0</v>
      </c>
      <c r="AY166" s="234">
        <f t="shared" si="536"/>
        <v>0</v>
      </c>
      <c r="AZ166" s="234">
        <f t="shared" si="536"/>
        <v>0</v>
      </c>
      <c r="BA166" s="234">
        <f t="shared" si="536"/>
        <v>0</v>
      </c>
      <c r="BB166" s="234">
        <f t="shared" si="536"/>
        <v>0</v>
      </c>
      <c r="BC166" s="234">
        <f t="shared" si="536"/>
        <v>0</v>
      </c>
      <c r="BD166" s="234">
        <f t="shared" si="536"/>
        <v>0</v>
      </c>
      <c r="BE166" s="234">
        <f t="shared" si="536"/>
        <v>0</v>
      </c>
      <c r="BF166" s="234">
        <f t="shared" si="536"/>
        <v>0</v>
      </c>
      <c r="BG166" s="234">
        <f t="shared" si="536"/>
        <v>0</v>
      </c>
      <c r="BH166" s="234">
        <f t="shared" si="536"/>
        <v>0</v>
      </c>
      <c r="BI166" s="234">
        <f t="shared" si="536"/>
        <v>0</v>
      </c>
      <c r="BJ166" s="234">
        <f t="shared" si="536"/>
        <v>0</v>
      </c>
      <c r="BK166" s="234">
        <f t="shared" si="536"/>
        <v>0</v>
      </c>
      <c r="BL166" s="234">
        <f t="shared" si="536"/>
        <v>0</v>
      </c>
      <c r="BM166" s="234">
        <f t="shared" si="536"/>
        <v>0</v>
      </c>
      <c r="BN166" s="234">
        <f t="shared" si="536"/>
        <v>0</v>
      </c>
      <c r="BO166" s="234">
        <f t="shared" si="536"/>
        <v>0</v>
      </c>
      <c r="BP166" s="234">
        <f t="shared" ref="BP166:BX166" si="537">BP163-BP159-BP165+BP147+BP164</f>
        <v>0</v>
      </c>
      <c r="BQ166" s="234">
        <f t="shared" si="537"/>
        <v>0</v>
      </c>
      <c r="BR166" s="234">
        <f t="shared" si="537"/>
        <v>0</v>
      </c>
      <c r="BS166" s="234">
        <f t="shared" si="537"/>
        <v>0</v>
      </c>
      <c r="BT166" s="234">
        <f t="shared" si="537"/>
        <v>0</v>
      </c>
      <c r="BU166" s="234">
        <f t="shared" si="537"/>
        <v>0</v>
      </c>
      <c r="BV166" s="234">
        <f t="shared" si="537"/>
        <v>0</v>
      </c>
      <c r="BW166" s="234">
        <f t="shared" si="537"/>
        <v>0</v>
      </c>
      <c r="BX166" s="234">
        <f t="shared" si="537"/>
        <v>0</v>
      </c>
    </row>
    <row r="167" spans="1:76" s="205" customFormat="1" x14ac:dyDescent="0.45">
      <c r="B167" s="237">
        <f t="shared" si="522"/>
        <v>50797691.921631537</v>
      </c>
      <c r="C167" s="212" t="s">
        <v>152</v>
      </c>
      <c r="D167" s="238">
        <f t="shared" ref="D167:AI167" si="538">D166/D86</f>
        <v>-255926271.05385685</v>
      </c>
      <c r="E167" s="238">
        <f t="shared" si="538"/>
        <v>-226995475.1955947</v>
      </c>
      <c r="F167" s="238">
        <f t="shared" si="538"/>
        <v>87171345.542764887</v>
      </c>
      <c r="G167" s="238">
        <f t="shared" si="538"/>
        <v>86780479.059695378</v>
      </c>
      <c r="H167" s="238">
        <f t="shared" si="538"/>
        <v>67040999.537857242</v>
      </c>
      <c r="I167" s="238">
        <f t="shared" si="538"/>
        <v>54488073.610442907</v>
      </c>
      <c r="J167" s="238">
        <f t="shared" si="538"/>
        <v>48204965.210912861</v>
      </c>
      <c r="K167" s="238">
        <f t="shared" si="538"/>
        <v>39961566.616067342</v>
      </c>
      <c r="L167" s="238">
        <f t="shared" si="538"/>
        <v>33061208.507696789</v>
      </c>
      <c r="M167" s="238">
        <f t="shared" si="538"/>
        <v>29323854.502478886</v>
      </c>
      <c r="N167" s="238">
        <f t="shared" si="538"/>
        <v>26008983.993503015</v>
      </c>
      <c r="O167" s="238">
        <f t="shared" si="538"/>
        <v>23068837.976846147</v>
      </c>
      <c r="P167" s="238">
        <f t="shared" si="538"/>
        <v>20461056.292507026</v>
      </c>
      <c r="Q167" s="238">
        <f t="shared" si="538"/>
        <v>18148067.320310581</v>
      </c>
      <c r="R167" s="238">
        <f t="shared" si="538"/>
        <v>0</v>
      </c>
      <c r="S167" s="238">
        <f t="shared" si="538"/>
        <v>0</v>
      </c>
      <c r="T167" s="238">
        <f t="shared" si="538"/>
        <v>0</v>
      </c>
      <c r="U167" s="238">
        <f t="shared" si="538"/>
        <v>0</v>
      </c>
      <c r="V167" s="238">
        <f t="shared" si="538"/>
        <v>0</v>
      </c>
      <c r="W167" s="238">
        <f t="shared" si="538"/>
        <v>0</v>
      </c>
      <c r="X167" s="238">
        <f t="shared" si="538"/>
        <v>0</v>
      </c>
      <c r="Y167" s="238">
        <f t="shared" si="538"/>
        <v>0</v>
      </c>
      <c r="Z167" s="238">
        <f t="shared" si="538"/>
        <v>0</v>
      </c>
      <c r="AA167" s="238">
        <f t="shared" si="538"/>
        <v>0</v>
      </c>
      <c r="AB167" s="238">
        <f t="shared" si="538"/>
        <v>0</v>
      </c>
      <c r="AC167" s="238">
        <f t="shared" si="538"/>
        <v>0</v>
      </c>
      <c r="AD167" s="238">
        <f t="shared" si="538"/>
        <v>0</v>
      </c>
      <c r="AE167" s="238">
        <f t="shared" si="538"/>
        <v>0</v>
      </c>
      <c r="AF167" s="238">
        <f t="shared" si="538"/>
        <v>0</v>
      </c>
      <c r="AG167" s="238">
        <f t="shared" si="538"/>
        <v>0</v>
      </c>
      <c r="AH167" s="238">
        <f t="shared" si="538"/>
        <v>0</v>
      </c>
      <c r="AI167" s="238">
        <f t="shared" si="538"/>
        <v>0</v>
      </c>
      <c r="AJ167" s="238">
        <f t="shared" ref="AJ167:BO167" si="539">AJ166/AJ86</f>
        <v>0</v>
      </c>
      <c r="AK167" s="238">
        <f t="shared" si="539"/>
        <v>0</v>
      </c>
      <c r="AL167" s="238">
        <f t="shared" si="539"/>
        <v>0</v>
      </c>
      <c r="AM167" s="238">
        <f t="shared" si="539"/>
        <v>0</v>
      </c>
      <c r="AN167" s="238">
        <f t="shared" si="539"/>
        <v>0</v>
      </c>
      <c r="AO167" s="238">
        <f t="shared" si="539"/>
        <v>0</v>
      </c>
      <c r="AP167" s="238">
        <f t="shared" si="539"/>
        <v>0</v>
      </c>
      <c r="AQ167" s="238">
        <f t="shared" si="539"/>
        <v>0</v>
      </c>
      <c r="AR167" s="238">
        <f t="shared" si="539"/>
        <v>0</v>
      </c>
      <c r="AS167" s="238">
        <f t="shared" si="539"/>
        <v>0</v>
      </c>
      <c r="AT167" s="238">
        <f t="shared" si="539"/>
        <v>0</v>
      </c>
      <c r="AU167" s="238">
        <f t="shared" si="539"/>
        <v>0</v>
      </c>
      <c r="AV167" s="238">
        <f t="shared" si="539"/>
        <v>0</v>
      </c>
      <c r="AW167" s="238">
        <f t="shared" si="539"/>
        <v>0</v>
      </c>
      <c r="AX167" s="238">
        <f t="shared" si="539"/>
        <v>0</v>
      </c>
      <c r="AY167" s="238">
        <f t="shared" si="539"/>
        <v>0</v>
      </c>
      <c r="AZ167" s="238">
        <f t="shared" si="539"/>
        <v>0</v>
      </c>
      <c r="BA167" s="238">
        <f t="shared" si="539"/>
        <v>0</v>
      </c>
      <c r="BB167" s="238">
        <f t="shared" si="539"/>
        <v>0</v>
      </c>
      <c r="BC167" s="238">
        <f t="shared" si="539"/>
        <v>0</v>
      </c>
      <c r="BD167" s="238">
        <f t="shared" si="539"/>
        <v>0</v>
      </c>
      <c r="BE167" s="238">
        <f t="shared" si="539"/>
        <v>0</v>
      </c>
      <c r="BF167" s="238">
        <f t="shared" si="539"/>
        <v>0</v>
      </c>
      <c r="BG167" s="238">
        <f t="shared" si="539"/>
        <v>0</v>
      </c>
      <c r="BH167" s="238">
        <f t="shared" si="539"/>
        <v>0</v>
      </c>
      <c r="BI167" s="238">
        <f t="shared" si="539"/>
        <v>0</v>
      </c>
      <c r="BJ167" s="238">
        <f t="shared" si="539"/>
        <v>0</v>
      </c>
      <c r="BK167" s="238">
        <f t="shared" si="539"/>
        <v>0</v>
      </c>
      <c r="BL167" s="238">
        <f t="shared" si="539"/>
        <v>0</v>
      </c>
      <c r="BM167" s="238">
        <f t="shared" si="539"/>
        <v>0</v>
      </c>
      <c r="BN167" s="238">
        <f t="shared" si="539"/>
        <v>0</v>
      </c>
      <c r="BO167" s="238">
        <f t="shared" si="539"/>
        <v>0</v>
      </c>
      <c r="BP167" s="238">
        <f t="shared" ref="BP167:BX167" si="540">BP166/BP86</f>
        <v>0</v>
      </c>
      <c r="BQ167" s="238">
        <f t="shared" si="540"/>
        <v>0</v>
      </c>
      <c r="BR167" s="238">
        <f t="shared" si="540"/>
        <v>0</v>
      </c>
      <c r="BS167" s="238">
        <f t="shared" si="540"/>
        <v>0</v>
      </c>
      <c r="BT167" s="238">
        <f t="shared" si="540"/>
        <v>0</v>
      </c>
      <c r="BU167" s="238">
        <f t="shared" si="540"/>
        <v>0</v>
      </c>
      <c r="BV167" s="238">
        <f t="shared" si="540"/>
        <v>0</v>
      </c>
      <c r="BW167" s="238">
        <f t="shared" si="540"/>
        <v>0</v>
      </c>
      <c r="BX167" s="238">
        <f t="shared" si="540"/>
        <v>0</v>
      </c>
    </row>
    <row r="168" spans="1:76" ht="16.3" thickBot="1" x14ac:dyDescent="0.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</row>
    <row r="169" spans="1:76" x14ac:dyDescent="0.45">
      <c r="B169" s="76"/>
      <c r="F169" s="83"/>
      <c r="G169" s="83"/>
      <c r="H169" s="83"/>
      <c r="I169" s="83"/>
      <c r="J169" s="83"/>
      <c r="K169" s="83"/>
      <c r="L169" s="83"/>
      <c r="M169" s="83"/>
      <c r="N169" s="83"/>
      <c r="O169" s="83"/>
      <c r="P169" s="83"/>
      <c r="Q169" s="83"/>
    </row>
    <row r="170" spans="1:76" x14ac:dyDescent="0.45">
      <c r="B170" s="76"/>
      <c r="F170" s="83"/>
      <c r="G170" s="83"/>
      <c r="H170" s="83"/>
      <c r="I170" s="83"/>
      <c r="J170" s="83"/>
      <c r="K170" s="83"/>
      <c r="L170" s="83"/>
      <c r="M170" s="83"/>
      <c r="N170" s="83"/>
      <c r="O170" s="83"/>
      <c r="P170" s="83"/>
      <c r="Q170" s="83"/>
    </row>
    <row r="171" spans="1:76" x14ac:dyDescent="0.45">
      <c r="A171" s="250" t="s">
        <v>156</v>
      </c>
      <c r="B171" s="76"/>
      <c r="F171" s="83"/>
      <c r="G171" s="83"/>
      <c r="H171" s="83"/>
      <c r="I171" s="83"/>
      <c r="J171" s="83"/>
      <c r="K171" s="83"/>
      <c r="L171" s="83"/>
      <c r="M171" s="83"/>
      <c r="N171" s="83"/>
      <c r="O171" s="83"/>
      <c r="P171" s="83"/>
      <c r="Q171" s="83"/>
    </row>
    <row r="172" spans="1:76" x14ac:dyDescent="0.45">
      <c r="A172" s="248">
        <v>1</v>
      </c>
      <c r="B172" s="190" t="s">
        <v>54</v>
      </c>
      <c r="C172" s="9"/>
    </row>
    <row r="173" spans="1:76" x14ac:dyDescent="0.45">
      <c r="A173" s="68"/>
      <c r="B173" s="190" t="s">
        <v>51</v>
      </c>
      <c r="C173" s="9"/>
      <c r="E173" s="79"/>
      <c r="F173" s="1"/>
    </row>
    <row r="174" spans="1:76" x14ac:dyDescent="0.45">
      <c r="A174" s="68"/>
      <c r="B174" s="190" t="s">
        <v>74</v>
      </c>
      <c r="C174" s="9"/>
    </row>
    <row r="175" spans="1:76" x14ac:dyDescent="0.45">
      <c r="A175" s="68"/>
      <c r="B175" s="190" t="s">
        <v>52</v>
      </c>
      <c r="F175" s="79"/>
    </row>
    <row r="176" spans="1:76" x14ac:dyDescent="0.45">
      <c r="A176" s="68"/>
    </row>
    <row r="177" spans="1:76" x14ac:dyDescent="0.45">
      <c r="A177" s="248">
        <v>2</v>
      </c>
      <c r="B177" s="5" t="s">
        <v>72</v>
      </c>
    </row>
    <row r="178" spans="1:76" x14ac:dyDescent="0.45">
      <c r="A178" s="68"/>
      <c r="B178" s="5" t="s">
        <v>73</v>
      </c>
    </row>
    <row r="179" spans="1:76" x14ac:dyDescent="0.45">
      <c r="A179" s="68"/>
      <c r="B179" s="5" t="s">
        <v>75</v>
      </c>
    </row>
    <row r="180" spans="1:76" x14ac:dyDescent="0.45">
      <c r="A180" s="68"/>
      <c r="B180" s="2"/>
    </row>
    <row r="181" spans="1:76" x14ac:dyDescent="0.45">
      <c r="A181" s="248">
        <v>3</v>
      </c>
      <c r="B181" s="9" t="s">
        <v>57</v>
      </c>
    </row>
    <row r="182" spans="1:76" x14ac:dyDescent="0.45">
      <c r="A182" s="68"/>
      <c r="B182" s="190" t="s">
        <v>55</v>
      </c>
    </row>
    <row r="183" spans="1:76" x14ac:dyDescent="0.45">
      <c r="A183" s="68"/>
      <c r="B183" s="190" t="s">
        <v>153</v>
      </c>
    </row>
    <row r="184" spans="1:76" x14ac:dyDescent="0.45">
      <c r="A184" s="68"/>
      <c r="B184" s="137"/>
    </row>
    <row r="185" spans="1:76" s="239" customFormat="1" ht="15.9" customHeight="1" x14ac:dyDescent="0.35">
      <c r="A185" s="249">
        <v>4</v>
      </c>
      <c r="B185" s="258" t="s">
        <v>103</v>
      </c>
      <c r="C185" s="143" t="s">
        <v>37</v>
      </c>
      <c r="D185" s="207">
        <f t="shared" ref="D185:AI185" si="541">D82</f>
        <v>2058</v>
      </c>
      <c r="E185" s="207">
        <f t="shared" si="541"/>
        <v>2059</v>
      </c>
      <c r="F185" s="207">
        <f t="shared" si="541"/>
        <v>2060</v>
      </c>
      <c r="G185" s="207">
        <f t="shared" si="541"/>
        <v>2061</v>
      </c>
      <c r="H185" s="207">
        <f t="shared" si="541"/>
        <v>2062</v>
      </c>
      <c r="I185" s="207">
        <f t="shared" si="541"/>
        <v>2063</v>
      </c>
      <c r="J185" s="207">
        <f t="shared" si="541"/>
        <v>2064</v>
      </c>
      <c r="K185" s="207">
        <f t="shared" si="541"/>
        <v>2065</v>
      </c>
      <c r="L185" s="207">
        <f t="shared" si="541"/>
        <v>2066</v>
      </c>
      <c r="M185" s="207">
        <f t="shared" si="541"/>
        <v>2067</v>
      </c>
      <c r="N185" s="207">
        <f t="shared" si="541"/>
        <v>2068</v>
      </c>
      <c r="O185" s="207">
        <f t="shared" si="541"/>
        <v>2069</v>
      </c>
      <c r="P185" s="207">
        <f t="shared" si="541"/>
        <v>2070</v>
      </c>
      <c r="Q185" s="207">
        <f t="shared" si="541"/>
        <v>2071</v>
      </c>
      <c r="R185" s="207">
        <f t="shared" si="541"/>
        <v>2072</v>
      </c>
      <c r="S185" s="207">
        <f t="shared" si="541"/>
        <v>2073</v>
      </c>
      <c r="T185" s="207">
        <f t="shared" si="541"/>
        <v>2074</v>
      </c>
      <c r="U185" s="207">
        <f t="shared" si="541"/>
        <v>2075</v>
      </c>
      <c r="V185" s="207">
        <f t="shared" si="541"/>
        <v>2076</v>
      </c>
      <c r="W185" s="207">
        <f t="shared" si="541"/>
        <v>2077</v>
      </c>
      <c r="X185" s="207">
        <f t="shared" si="541"/>
        <v>2078</v>
      </c>
      <c r="Y185" s="207">
        <f t="shared" si="541"/>
        <v>2079</v>
      </c>
      <c r="Z185" s="207">
        <f t="shared" si="541"/>
        <v>2080</v>
      </c>
      <c r="AA185" s="207">
        <f t="shared" si="541"/>
        <v>2081</v>
      </c>
      <c r="AB185" s="207">
        <f t="shared" si="541"/>
        <v>2082</v>
      </c>
      <c r="AC185" s="207">
        <f t="shared" si="541"/>
        <v>2083</v>
      </c>
      <c r="AD185" s="207">
        <f t="shared" si="541"/>
        <v>2084</v>
      </c>
      <c r="AE185" s="207">
        <f t="shared" si="541"/>
        <v>2085</v>
      </c>
      <c r="AF185" s="207">
        <f t="shared" si="541"/>
        <v>2086</v>
      </c>
      <c r="AG185" s="207">
        <f t="shared" si="541"/>
        <v>2087</v>
      </c>
      <c r="AH185" s="207">
        <f t="shared" si="541"/>
        <v>2088</v>
      </c>
      <c r="AI185" s="207">
        <f t="shared" si="541"/>
        <v>2089</v>
      </c>
      <c r="AJ185" s="207">
        <f t="shared" ref="AJ185:BO185" si="542">AJ82</f>
        <v>2090</v>
      </c>
      <c r="AK185" s="207">
        <f t="shared" si="542"/>
        <v>2091</v>
      </c>
      <c r="AL185" s="207">
        <f t="shared" si="542"/>
        <v>2092</v>
      </c>
      <c r="AM185" s="207">
        <f t="shared" si="542"/>
        <v>2093</v>
      </c>
      <c r="AN185" s="207">
        <f t="shared" si="542"/>
        <v>2094</v>
      </c>
      <c r="AO185" s="207">
        <f t="shared" si="542"/>
        <v>2095</v>
      </c>
      <c r="AP185" s="207">
        <f t="shared" si="542"/>
        <v>2096</v>
      </c>
      <c r="AQ185" s="207">
        <f t="shared" si="542"/>
        <v>2097</v>
      </c>
      <c r="AR185" s="207">
        <f t="shared" si="542"/>
        <v>2098</v>
      </c>
      <c r="AS185" s="207">
        <f t="shared" si="542"/>
        <v>2099</v>
      </c>
      <c r="AT185" s="207">
        <f t="shared" si="542"/>
        <v>2100</v>
      </c>
      <c r="AU185" s="207">
        <f t="shared" si="542"/>
        <v>2101</v>
      </c>
      <c r="AV185" s="207">
        <f t="shared" si="542"/>
        <v>2102</v>
      </c>
      <c r="AW185" s="207">
        <f t="shared" si="542"/>
        <v>2103</v>
      </c>
      <c r="AX185" s="207">
        <f t="shared" si="542"/>
        <v>2104</v>
      </c>
      <c r="AY185" s="207">
        <f t="shared" si="542"/>
        <v>2105</v>
      </c>
      <c r="AZ185" s="207">
        <f t="shared" si="542"/>
        <v>2106</v>
      </c>
      <c r="BA185" s="207">
        <f t="shared" si="542"/>
        <v>2107</v>
      </c>
      <c r="BB185" s="207">
        <f t="shared" si="542"/>
        <v>2108</v>
      </c>
      <c r="BC185" s="207">
        <f t="shared" si="542"/>
        <v>2109</v>
      </c>
      <c r="BD185" s="207">
        <f t="shared" si="542"/>
        <v>2110</v>
      </c>
      <c r="BE185" s="207">
        <f t="shared" si="542"/>
        <v>2111</v>
      </c>
      <c r="BF185" s="207">
        <f t="shared" si="542"/>
        <v>2112</v>
      </c>
      <c r="BG185" s="207">
        <f t="shared" si="542"/>
        <v>2113</v>
      </c>
      <c r="BH185" s="207">
        <f t="shared" si="542"/>
        <v>2114</v>
      </c>
      <c r="BI185" s="207">
        <f t="shared" si="542"/>
        <v>2115</v>
      </c>
      <c r="BJ185" s="207">
        <f t="shared" si="542"/>
        <v>2116</v>
      </c>
      <c r="BK185" s="207">
        <f t="shared" si="542"/>
        <v>2117</v>
      </c>
      <c r="BL185" s="207">
        <f t="shared" si="542"/>
        <v>2118</v>
      </c>
      <c r="BM185" s="207">
        <f t="shared" si="542"/>
        <v>2119</v>
      </c>
      <c r="BN185" s="207">
        <f t="shared" si="542"/>
        <v>2120</v>
      </c>
      <c r="BO185" s="207">
        <f t="shared" si="542"/>
        <v>2121</v>
      </c>
      <c r="BP185" s="207">
        <f t="shared" ref="BP185:BX185" si="543">BP82</f>
        <v>2122</v>
      </c>
      <c r="BQ185" s="207">
        <f t="shared" si="543"/>
        <v>2123</v>
      </c>
      <c r="BR185" s="207">
        <f t="shared" si="543"/>
        <v>2124</v>
      </c>
      <c r="BS185" s="207">
        <f t="shared" si="543"/>
        <v>2125</v>
      </c>
      <c r="BT185" s="207">
        <f t="shared" si="543"/>
        <v>2126</v>
      </c>
      <c r="BU185" s="207">
        <f t="shared" si="543"/>
        <v>2127</v>
      </c>
      <c r="BV185" s="207">
        <f t="shared" si="543"/>
        <v>2128</v>
      </c>
      <c r="BW185" s="207">
        <f t="shared" si="543"/>
        <v>2129</v>
      </c>
      <c r="BX185" s="207">
        <f t="shared" si="543"/>
        <v>2130</v>
      </c>
    </row>
    <row r="186" spans="1:76" s="239" customFormat="1" ht="15.9" customHeight="1" x14ac:dyDescent="0.35">
      <c r="B186" s="258"/>
      <c r="C186" s="144" t="s">
        <v>38</v>
      </c>
      <c r="D186" s="209">
        <v>1</v>
      </c>
      <c r="E186" s="209">
        <f t="shared" ref="E186:BP186" si="544">D186+1</f>
        <v>2</v>
      </c>
      <c r="F186" s="209">
        <f t="shared" si="544"/>
        <v>3</v>
      </c>
      <c r="G186" s="209">
        <f t="shared" si="544"/>
        <v>4</v>
      </c>
      <c r="H186" s="209">
        <f t="shared" si="544"/>
        <v>5</v>
      </c>
      <c r="I186" s="209">
        <f t="shared" si="544"/>
        <v>6</v>
      </c>
      <c r="J186" s="209">
        <f t="shared" si="544"/>
        <v>7</v>
      </c>
      <c r="K186" s="209">
        <f t="shared" si="544"/>
        <v>8</v>
      </c>
      <c r="L186" s="209">
        <f t="shared" si="544"/>
        <v>9</v>
      </c>
      <c r="M186" s="209">
        <f t="shared" si="544"/>
        <v>10</v>
      </c>
      <c r="N186" s="209">
        <f t="shared" si="544"/>
        <v>11</v>
      </c>
      <c r="O186" s="209">
        <f t="shared" si="544"/>
        <v>12</v>
      </c>
      <c r="P186" s="209">
        <f t="shared" si="544"/>
        <v>13</v>
      </c>
      <c r="Q186" s="209">
        <f t="shared" si="544"/>
        <v>14</v>
      </c>
      <c r="R186" s="209">
        <f t="shared" si="544"/>
        <v>15</v>
      </c>
      <c r="S186" s="209">
        <f t="shared" si="544"/>
        <v>16</v>
      </c>
      <c r="T186" s="209">
        <f t="shared" si="544"/>
        <v>17</v>
      </c>
      <c r="U186" s="209">
        <f t="shared" si="544"/>
        <v>18</v>
      </c>
      <c r="V186" s="209">
        <f t="shared" si="544"/>
        <v>19</v>
      </c>
      <c r="W186" s="209">
        <f t="shared" si="544"/>
        <v>20</v>
      </c>
      <c r="X186" s="209">
        <f t="shared" si="544"/>
        <v>21</v>
      </c>
      <c r="Y186" s="209">
        <f t="shared" si="544"/>
        <v>22</v>
      </c>
      <c r="Z186" s="209">
        <f t="shared" si="544"/>
        <v>23</v>
      </c>
      <c r="AA186" s="209">
        <f t="shared" si="544"/>
        <v>24</v>
      </c>
      <c r="AB186" s="209">
        <f t="shared" si="544"/>
        <v>25</v>
      </c>
      <c r="AC186" s="209">
        <f t="shared" si="544"/>
        <v>26</v>
      </c>
      <c r="AD186" s="209">
        <f t="shared" si="544"/>
        <v>27</v>
      </c>
      <c r="AE186" s="209">
        <f t="shared" si="544"/>
        <v>28</v>
      </c>
      <c r="AF186" s="209">
        <f t="shared" si="544"/>
        <v>29</v>
      </c>
      <c r="AG186" s="209">
        <f t="shared" si="544"/>
        <v>30</v>
      </c>
      <c r="AH186" s="209">
        <f t="shared" si="544"/>
        <v>31</v>
      </c>
      <c r="AI186" s="209">
        <f t="shared" si="544"/>
        <v>32</v>
      </c>
      <c r="AJ186" s="209">
        <f t="shared" si="544"/>
        <v>33</v>
      </c>
      <c r="AK186" s="209">
        <f t="shared" si="544"/>
        <v>34</v>
      </c>
      <c r="AL186" s="209">
        <f t="shared" si="544"/>
        <v>35</v>
      </c>
      <c r="AM186" s="209">
        <f t="shared" si="544"/>
        <v>36</v>
      </c>
      <c r="AN186" s="209">
        <f t="shared" si="544"/>
        <v>37</v>
      </c>
      <c r="AO186" s="209">
        <f t="shared" si="544"/>
        <v>38</v>
      </c>
      <c r="AP186" s="209">
        <f t="shared" si="544"/>
        <v>39</v>
      </c>
      <c r="AQ186" s="209">
        <f t="shared" si="544"/>
        <v>40</v>
      </c>
      <c r="AR186" s="209">
        <f t="shared" si="544"/>
        <v>41</v>
      </c>
      <c r="AS186" s="209">
        <f t="shared" si="544"/>
        <v>42</v>
      </c>
      <c r="AT186" s="209">
        <f t="shared" si="544"/>
        <v>43</v>
      </c>
      <c r="AU186" s="209">
        <f t="shared" si="544"/>
        <v>44</v>
      </c>
      <c r="AV186" s="209">
        <f t="shared" si="544"/>
        <v>45</v>
      </c>
      <c r="AW186" s="209">
        <f t="shared" si="544"/>
        <v>46</v>
      </c>
      <c r="AX186" s="209">
        <f t="shared" si="544"/>
        <v>47</v>
      </c>
      <c r="AY186" s="209">
        <f t="shared" si="544"/>
        <v>48</v>
      </c>
      <c r="AZ186" s="209">
        <f t="shared" si="544"/>
        <v>49</v>
      </c>
      <c r="BA186" s="209">
        <f t="shared" si="544"/>
        <v>50</v>
      </c>
      <c r="BB186" s="209">
        <f t="shared" si="544"/>
        <v>51</v>
      </c>
      <c r="BC186" s="209">
        <f t="shared" si="544"/>
        <v>52</v>
      </c>
      <c r="BD186" s="209">
        <f t="shared" si="544"/>
        <v>53</v>
      </c>
      <c r="BE186" s="209">
        <f t="shared" si="544"/>
        <v>54</v>
      </c>
      <c r="BF186" s="209">
        <f t="shared" si="544"/>
        <v>55</v>
      </c>
      <c r="BG186" s="209">
        <f t="shared" si="544"/>
        <v>56</v>
      </c>
      <c r="BH186" s="209">
        <f t="shared" si="544"/>
        <v>57</v>
      </c>
      <c r="BI186" s="209">
        <f t="shared" si="544"/>
        <v>58</v>
      </c>
      <c r="BJ186" s="209">
        <f t="shared" si="544"/>
        <v>59</v>
      </c>
      <c r="BK186" s="209">
        <f t="shared" si="544"/>
        <v>60</v>
      </c>
      <c r="BL186" s="209">
        <f t="shared" si="544"/>
        <v>61</v>
      </c>
      <c r="BM186" s="209">
        <f t="shared" si="544"/>
        <v>62</v>
      </c>
      <c r="BN186" s="209">
        <f t="shared" si="544"/>
        <v>63</v>
      </c>
      <c r="BO186" s="209">
        <f t="shared" si="544"/>
        <v>64</v>
      </c>
      <c r="BP186" s="209">
        <f t="shared" si="544"/>
        <v>65</v>
      </c>
      <c r="BQ186" s="209">
        <f t="shared" ref="BQ186:BX186" si="545">BP186+1</f>
        <v>66</v>
      </c>
      <c r="BR186" s="209">
        <f t="shared" si="545"/>
        <v>67</v>
      </c>
      <c r="BS186" s="209">
        <f t="shared" si="545"/>
        <v>68</v>
      </c>
      <c r="BT186" s="209">
        <f t="shared" si="545"/>
        <v>69</v>
      </c>
      <c r="BU186" s="209">
        <f t="shared" si="545"/>
        <v>70</v>
      </c>
      <c r="BV186" s="209">
        <f t="shared" si="545"/>
        <v>71</v>
      </c>
      <c r="BW186" s="209">
        <f t="shared" si="545"/>
        <v>72</v>
      </c>
      <c r="BX186" s="209">
        <f t="shared" si="545"/>
        <v>73</v>
      </c>
    </row>
    <row r="187" spans="1:76" s="142" customFormat="1" ht="15.9" customHeight="1" x14ac:dyDescent="0.35">
      <c r="C187" s="146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</row>
    <row r="188" spans="1:76" s="145" customFormat="1" ht="15.9" customHeight="1" x14ac:dyDescent="0.35">
      <c r="B188" s="145">
        <f t="shared" ref="B188" si="546">SUM(D188:BN188)</f>
        <v>206033971.55488688</v>
      </c>
      <c r="C188" s="190" t="s">
        <v>154</v>
      </c>
      <c r="D188" s="145">
        <f t="shared" ref="D188:AI188" si="547">D164/D86</f>
        <v>0</v>
      </c>
      <c r="E188" s="145">
        <f t="shared" si="547"/>
        <v>0</v>
      </c>
      <c r="F188" s="145">
        <f t="shared" si="547"/>
        <v>38143519.33918947</v>
      </c>
      <c r="G188" s="145">
        <f t="shared" si="547"/>
        <v>43294928.86174155</v>
      </c>
      <c r="H188" s="145">
        <f t="shared" si="547"/>
        <v>28991322.358688645</v>
      </c>
      <c r="I188" s="145">
        <f t="shared" si="547"/>
        <v>20739664.286310762</v>
      </c>
      <c r="J188" s="145">
        <f t="shared" si="547"/>
        <v>18271593.462552164</v>
      </c>
      <c r="K188" s="145">
        <f t="shared" si="547"/>
        <v>13411967.326217003</v>
      </c>
      <c r="L188" s="145">
        <f t="shared" si="547"/>
        <v>9512868.2680034265</v>
      </c>
      <c r="M188" s="145">
        <f t="shared" si="547"/>
        <v>8437500.5507508665</v>
      </c>
      <c r="N188" s="145">
        <f t="shared" si="547"/>
        <v>7483696.1406659856</v>
      </c>
      <c r="O188" s="145">
        <f t="shared" si="547"/>
        <v>6637713.0986776575</v>
      </c>
      <c r="P188" s="145">
        <f t="shared" si="547"/>
        <v>5887362.9223054023</v>
      </c>
      <c r="Q188" s="145">
        <f t="shared" si="547"/>
        <v>5221834.9397839205</v>
      </c>
      <c r="R188" s="145">
        <f t="shared" si="547"/>
        <v>0</v>
      </c>
      <c r="S188" s="145">
        <f t="shared" si="547"/>
        <v>0</v>
      </c>
      <c r="T188" s="145">
        <f t="shared" si="547"/>
        <v>0</v>
      </c>
      <c r="U188" s="145">
        <f t="shared" si="547"/>
        <v>0</v>
      </c>
      <c r="V188" s="145">
        <f t="shared" si="547"/>
        <v>0</v>
      </c>
      <c r="W188" s="145">
        <f t="shared" si="547"/>
        <v>0</v>
      </c>
      <c r="X188" s="145">
        <f t="shared" si="547"/>
        <v>0</v>
      </c>
      <c r="Y188" s="145">
        <f t="shared" si="547"/>
        <v>0</v>
      </c>
      <c r="Z188" s="145">
        <f t="shared" si="547"/>
        <v>0</v>
      </c>
      <c r="AA188" s="145">
        <f t="shared" si="547"/>
        <v>0</v>
      </c>
      <c r="AB188" s="145">
        <f t="shared" si="547"/>
        <v>0</v>
      </c>
      <c r="AC188" s="145">
        <f t="shared" si="547"/>
        <v>0</v>
      </c>
      <c r="AD188" s="145">
        <f t="shared" si="547"/>
        <v>0</v>
      </c>
      <c r="AE188" s="145">
        <f t="shared" si="547"/>
        <v>0</v>
      </c>
      <c r="AF188" s="145">
        <f t="shared" si="547"/>
        <v>0</v>
      </c>
      <c r="AG188" s="145">
        <f t="shared" si="547"/>
        <v>0</v>
      </c>
      <c r="AH188" s="145">
        <f t="shared" si="547"/>
        <v>0</v>
      </c>
      <c r="AI188" s="145">
        <f t="shared" si="547"/>
        <v>0</v>
      </c>
      <c r="AJ188" s="145">
        <f t="shared" ref="AJ188:BO188" si="548">AJ164/AJ86</f>
        <v>0</v>
      </c>
      <c r="AK188" s="145">
        <f t="shared" si="548"/>
        <v>0</v>
      </c>
      <c r="AL188" s="145">
        <f t="shared" si="548"/>
        <v>0</v>
      </c>
      <c r="AM188" s="145">
        <f t="shared" si="548"/>
        <v>0</v>
      </c>
      <c r="AN188" s="145">
        <f t="shared" si="548"/>
        <v>0</v>
      </c>
      <c r="AO188" s="145">
        <f t="shared" si="548"/>
        <v>0</v>
      </c>
      <c r="AP188" s="145">
        <f t="shared" si="548"/>
        <v>0</v>
      </c>
      <c r="AQ188" s="145">
        <f t="shared" si="548"/>
        <v>0</v>
      </c>
      <c r="AR188" s="145">
        <f t="shared" si="548"/>
        <v>0</v>
      </c>
      <c r="AS188" s="145">
        <f t="shared" si="548"/>
        <v>0</v>
      </c>
      <c r="AT188" s="145">
        <f t="shared" si="548"/>
        <v>0</v>
      </c>
      <c r="AU188" s="145">
        <f t="shared" si="548"/>
        <v>0</v>
      </c>
      <c r="AV188" s="145">
        <f t="shared" si="548"/>
        <v>0</v>
      </c>
      <c r="AW188" s="145">
        <f t="shared" si="548"/>
        <v>0</v>
      </c>
      <c r="AX188" s="145">
        <f t="shared" si="548"/>
        <v>0</v>
      </c>
      <c r="AY188" s="145">
        <f t="shared" si="548"/>
        <v>0</v>
      </c>
      <c r="AZ188" s="145">
        <f t="shared" si="548"/>
        <v>0</v>
      </c>
      <c r="BA188" s="145">
        <f t="shared" si="548"/>
        <v>0</v>
      </c>
      <c r="BB188" s="145">
        <f t="shared" si="548"/>
        <v>0</v>
      </c>
      <c r="BC188" s="145">
        <f t="shared" si="548"/>
        <v>0</v>
      </c>
      <c r="BD188" s="145">
        <f t="shared" si="548"/>
        <v>0</v>
      </c>
      <c r="BE188" s="145">
        <f t="shared" si="548"/>
        <v>0</v>
      </c>
      <c r="BF188" s="145">
        <f t="shared" si="548"/>
        <v>0</v>
      </c>
      <c r="BG188" s="145">
        <f t="shared" si="548"/>
        <v>0</v>
      </c>
      <c r="BH188" s="145">
        <f t="shared" si="548"/>
        <v>0</v>
      </c>
      <c r="BI188" s="145">
        <f t="shared" si="548"/>
        <v>0</v>
      </c>
      <c r="BJ188" s="145">
        <f t="shared" si="548"/>
        <v>0</v>
      </c>
      <c r="BK188" s="145">
        <f t="shared" si="548"/>
        <v>0</v>
      </c>
      <c r="BL188" s="145">
        <f t="shared" si="548"/>
        <v>0</v>
      </c>
      <c r="BM188" s="145">
        <f t="shared" si="548"/>
        <v>0</v>
      </c>
      <c r="BN188" s="145">
        <f t="shared" si="548"/>
        <v>0</v>
      </c>
      <c r="BO188" s="145">
        <f t="shared" si="548"/>
        <v>0</v>
      </c>
      <c r="BP188" s="145">
        <f t="shared" ref="BP188:BX188" si="549">BP164/BP86</f>
        <v>0</v>
      </c>
      <c r="BQ188" s="145">
        <f t="shared" si="549"/>
        <v>0</v>
      </c>
      <c r="BR188" s="145">
        <f t="shared" si="549"/>
        <v>0</v>
      </c>
      <c r="BS188" s="145">
        <f t="shared" si="549"/>
        <v>0</v>
      </c>
      <c r="BT188" s="145">
        <f t="shared" si="549"/>
        <v>0</v>
      </c>
      <c r="BU188" s="145">
        <f t="shared" si="549"/>
        <v>0</v>
      </c>
      <c r="BV188" s="145">
        <f t="shared" si="549"/>
        <v>0</v>
      </c>
      <c r="BW188" s="145">
        <f t="shared" si="549"/>
        <v>0</v>
      </c>
      <c r="BX188" s="145">
        <f t="shared" si="549"/>
        <v>0</v>
      </c>
    </row>
    <row r="189" spans="1:76" s="145" customFormat="1" ht="15.9" customHeight="1" x14ac:dyDescent="0.35">
      <c r="B189" s="145">
        <f>SUM(D189:BN189)</f>
        <v>194490937.61097577</v>
      </c>
      <c r="C189" s="190" t="s">
        <v>155</v>
      </c>
      <c r="D189" s="145">
        <f t="shared" ref="D189:AI189" si="550">D164/D85</f>
        <v>0</v>
      </c>
      <c r="E189" s="145">
        <f t="shared" si="550"/>
        <v>0</v>
      </c>
      <c r="F189" s="145">
        <f t="shared" si="550"/>
        <v>22845968.375175506</v>
      </c>
      <c r="G189" s="145">
        <f t="shared" si="550"/>
        <v>29236374.023122989</v>
      </c>
      <c r="H189" s="145">
        <f t="shared" si="550"/>
        <v>22072532.876247112</v>
      </c>
      <c r="I189" s="145">
        <f t="shared" si="550"/>
        <v>17802604.272440188</v>
      </c>
      <c r="J189" s="145">
        <f t="shared" si="550"/>
        <v>17682998.429196291</v>
      </c>
      <c r="K189" s="145">
        <f t="shared" si="550"/>
        <v>14634222.032783369</v>
      </c>
      <c r="L189" s="145">
        <f t="shared" si="550"/>
        <v>11702706.267001709</v>
      </c>
      <c r="M189" s="145">
        <f t="shared" si="550"/>
        <v>11702706.267001713</v>
      </c>
      <c r="N189" s="145">
        <f t="shared" si="550"/>
        <v>11702706.267001711</v>
      </c>
      <c r="O189" s="145">
        <f t="shared" si="550"/>
        <v>11702706.267001711</v>
      </c>
      <c r="P189" s="145">
        <f t="shared" si="550"/>
        <v>11702706.267001713</v>
      </c>
      <c r="Q189" s="145">
        <f t="shared" si="550"/>
        <v>11702706.267001711</v>
      </c>
      <c r="R189" s="145">
        <f t="shared" si="550"/>
        <v>0</v>
      </c>
      <c r="S189" s="145">
        <f t="shared" si="550"/>
        <v>0</v>
      </c>
      <c r="T189" s="145">
        <f t="shared" si="550"/>
        <v>0</v>
      </c>
      <c r="U189" s="145">
        <f t="shared" si="550"/>
        <v>0</v>
      </c>
      <c r="V189" s="145">
        <f t="shared" si="550"/>
        <v>0</v>
      </c>
      <c r="W189" s="145">
        <f t="shared" si="550"/>
        <v>0</v>
      </c>
      <c r="X189" s="145">
        <f t="shared" si="550"/>
        <v>0</v>
      </c>
      <c r="Y189" s="145">
        <f t="shared" si="550"/>
        <v>0</v>
      </c>
      <c r="Z189" s="145">
        <f t="shared" si="550"/>
        <v>0</v>
      </c>
      <c r="AA189" s="145">
        <f t="shared" si="550"/>
        <v>0</v>
      </c>
      <c r="AB189" s="145">
        <f t="shared" si="550"/>
        <v>0</v>
      </c>
      <c r="AC189" s="145">
        <f t="shared" si="550"/>
        <v>0</v>
      </c>
      <c r="AD189" s="145">
        <f t="shared" si="550"/>
        <v>0</v>
      </c>
      <c r="AE189" s="145">
        <f t="shared" si="550"/>
        <v>0</v>
      </c>
      <c r="AF189" s="145">
        <f t="shared" si="550"/>
        <v>0</v>
      </c>
      <c r="AG189" s="145">
        <f t="shared" si="550"/>
        <v>0</v>
      </c>
      <c r="AH189" s="145">
        <f t="shared" si="550"/>
        <v>0</v>
      </c>
      <c r="AI189" s="145">
        <f t="shared" si="550"/>
        <v>0</v>
      </c>
      <c r="AJ189" s="145">
        <f t="shared" ref="AJ189:BO189" si="551">AJ164/AJ85</f>
        <v>0</v>
      </c>
      <c r="AK189" s="145">
        <f t="shared" si="551"/>
        <v>0</v>
      </c>
      <c r="AL189" s="145">
        <f t="shared" si="551"/>
        <v>0</v>
      </c>
      <c r="AM189" s="145">
        <f t="shared" si="551"/>
        <v>0</v>
      </c>
      <c r="AN189" s="145">
        <f t="shared" si="551"/>
        <v>0</v>
      </c>
      <c r="AO189" s="145">
        <f t="shared" si="551"/>
        <v>0</v>
      </c>
      <c r="AP189" s="145">
        <f t="shared" si="551"/>
        <v>0</v>
      </c>
      <c r="AQ189" s="145">
        <f t="shared" si="551"/>
        <v>0</v>
      </c>
      <c r="AR189" s="145">
        <f t="shared" si="551"/>
        <v>0</v>
      </c>
      <c r="AS189" s="145">
        <f t="shared" si="551"/>
        <v>0</v>
      </c>
      <c r="AT189" s="145">
        <f t="shared" si="551"/>
        <v>0</v>
      </c>
      <c r="AU189" s="145">
        <f t="shared" si="551"/>
        <v>0</v>
      </c>
      <c r="AV189" s="145">
        <f t="shared" si="551"/>
        <v>0</v>
      </c>
      <c r="AW189" s="145">
        <f t="shared" si="551"/>
        <v>0</v>
      </c>
      <c r="AX189" s="145">
        <f t="shared" si="551"/>
        <v>0</v>
      </c>
      <c r="AY189" s="145">
        <f t="shared" si="551"/>
        <v>0</v>
      </c>
      <c r="AZ189" s="145">
        <f t="shared" si="551"/>
        <v>0</v>
      </c>
      <c r="BA189" s="145">
        <f t="shared" si="551"/>
        <v>0</v>
      </c>
      <c r="BB189" s="145">
        <f t="shared" si="551"/>
        <v>0</v>
      </c>
      <c r="BC189" s="145">
        <f t="shared" si="551"/>
        <v>0</v>
      </c>
      <c r="BD189" s="145">
        <f t="shared" si="551"/>
        <v>0</v>
      </c>
      <c r="BE189" s="145">
        <f t="shared" si="551"/>
        <v>0</v>
      </c>
      <c r="BF189" s="145">
        <f t="shared" si="551"/>
        <v>0</v>
      </c>
      <c r="BG189" s="145">
        <f t="shared" si="551"/>
        <v>0</v>
      </c>
      <c r="BH189" s="145">
        <f t="shared" si="551"/>
        <v>0</v>
      </c>
      <c r="BI189" s="145">
        <f t="shared" si="551"/>
        <v>0</v>
      </c>
      <c r="BJ189" s="145">
        <f t="shared" si="551"/>
        <v>0</v>
      </c>
      <c r="BK189" s="145">
        <f t="shared" si="551"/>
        <v>0</v>
      </c>
      <c r="BL189" s="145">
        <f t="shared" si="551"/>
        <v>0</v>
      </c>
      <c r="BM189" s="145">
        <f t="shared" si="551"/>
        <v>0</v>
      </c>
      <c r="BN189" s="145">
        <f t="shared" si="551"/>
        <v>0</v>
      </c>
      <c r="BO189" s="145">
        <f t="shared" si="551"/>
        <v>0</v>
      </c>
      <c r="BP189" s="145">
        <f t="shared" ref="BP189:BX189" si="552">BP164/BP85</f>
        <v>0</v>
      </c>
      <c r="BQ189" s="145">
        <f t="shared" si="552"/>
        <v>0</v>
      </c>
      <c r="BR189" s="145">
        <f t="shared" si="552"/>
        <v>0</v>
      </c>
      <c r="BS189" s="145">
        <f t="shared" si="552"/>
        <v>0</v>
      </c>
      <c r="BT189" s="145">
        <f t="shared" si="552"/>
        <v>0</v>
      </c>
      <c r="BU189" s="145">
        <f t="shared" si="552"/>
        <v>0</v>
      </c>
      <c r="BV189" s="145">
        <f t="shared" si="552"/>
        <v>0</v>
      </c>
      <c r="BW189" s="145">
        <f t="shared" si="552"/>
        <v>0</v>
      </c>
      <c r="BX189" s="145">
        <f t="shared" si="552"/>
        <v>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185:B186"/>
    <mergeCell ref="Z27:AI27"/>
    <mergeCell ref="B94:B96"/>
    <mergeCell ref="B129:B131"/>
    <mergeCell ref="B153:B155"/>
    <mergeCell ref="B143:B145"/>
    <mergeCell ref="M27:V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Go_Through_All_Facilities">
                <anchor moveWithCells="1">
                  <from>
                    <xdr:col>0</xdr:col>
                    <xdr:colOff>544286</xdr:colOff>
                    <xdr:row>3</xdr:row>
                    <xdr:rowOff>152400</xdr:rowOff>
                  </from>
                  <to>
                    <xdr:col>1</xdr:col>
                    <xdr:colOff>250371</xdr:colOff>
                    <xdr:row>5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5"/>
  <sheetViews>
    <sheetView zoomScale="80" zoomScaleNormal="80" workbookViewId="0">
      <pane ySplit="1" topLeftCell="A2" activePane="bottomLeft" state="frozen"/>
      <selection pane="bottomLeft"/>
    </sheetView>
  </sheetViews>
  <sheetFormatPr defaultColWidth="10.85546875" defaultRowHeight="15.9" x14ac:dyDescent="0.45"/>
  <cols>
    <col min="1" max="1" width="14.140625" bestFit="1" customWidth="1"/>
    <col min="2" max="2" width="13.140625" style="103" customWidth="1"/>
    <col min="3" max="3" width="23.28515625" customWidth="1"/>
    <col min="4" max="4" width="33.5" style="112" customWidth="1"/>
    <col min="5" max="6" width="30.640625" customWidth="1"/>
    <col min="7" max="7" width="10.85546875" customWidth="1"/>
    <col min="8" max="8" width="30.640625" customWidth="1"/>
  </cols>
  <sheetData>
    <row r="1" spans="1:8" ht="31.85" customHeight="1" x14ac:dyDescent="0.45">
      <c r="A1" s="11" t="s">
        <v>47</v>
      </c>
      <c r="B1" s="11" t="s">
        <v>48</v>
      </c>
      <c r="C1" s="11" t="s">
        <v>106</v>
      </c>
      <c r="D1" s="251" t="s">
        <v>107</v>
      </c>
      <c r="E1" s="11" t="s">
        <v>173</v>
      </c>
      <c r="F1" s="11" t="s">
        <v>76</v>
      </c>
      <c r="H1" s="11" t="s">
        <v>77</v>
      </c>
    </row>
    <row r="2" spans="1:8" x14ac:dyDescent="0.45">
      <c r="A2" s="155">
        <v>1</v>
      </c>
      <c r="B2" s="156" t="s">
        <v>60</v>
      </c>
      <c r="C2" s="155">
        <v>1429861.95</v>
      </c>
      <c r="D2" s="159">
        <v>845</v>
      </c>
      <c r="E2" s="160">
        <v>-325448676.13640761</v>
      </c>
      <c r="F2" s="160">
        <v>-277767311.3989864</v>
      </c>
      <c r="G2" s="112"/>
      <c r="H2" s="247">
        <v>-5510293657.0713978</v>
      </c>
    </row>
    <row r="3" spans="1:8" x14ac:dyDescent="0.45">
      <c r="A3" s="155">
        <v>2</v>
      </c>
      <c r="B3" s="156" t="s">
        <v>60</v>
      </c>
      <c r="C3" s="155">
        <v>1429861.95</v>
      </c>
      <c r="D3" s="159">
        <v>659.99999999999977</v>
      </c>
      <c r="E3" s="160">
        <v>-199836158.55259708</v>
      </c>
      <c r="F3" s="160">
        <v>-170558237.14026454</v>
      </c>
    </row>
    <row r="4" spans="1:8" x14ac:dyDescent="0.45">
      <c r="A4" s="155">
        <v>3</v>
      </c>
      <c r="B4" s="156" t="s">
        <v>60</v>
      </c>
      <c r="C4" s="155">
        <v>1355279.31</v>
      </c>
      <c r="D4" s="159">
        <v>560.48107467783234</v>
      </c>
      <c r="E4" s="160">
        <v>-86089675.421589166</v>
      </c>
      <c r="F4" s="160">
        <v>-73476709.03121759</v>
      </c>
    </row>
    <row r="5" spans="1:8" x14ac:dyDescent="0.45">
      <c r="A5" s="155">
        <v>4</v>
      </c>
      <c r="B5" s="156" t="s">
        <v>60</v>
      </c>
      <c r="C5" s="155">
        <v>1375659.45</v>
      </c>
      <c r="D5" s="159">
        <v>403.93296721004936</v>
      </c>
      <c r="E5" s="160">
        <v>14880464.48012067</v>
      </c>
      <c r="F5" s="160">
        <v>12700333.152601818</v>
      </c>
    </row>
    <row r="6" spans="1:8" x14ac:dyDescent="0.45">
      <c r="A6" s="155">
        <v>5</v>
      </c>
      <c r="B6" s="156" t="s">
        <v>60</v>
      </c>
      <c r="C6" s="155">
        <v>1375659.45</v>
      </c>
      <c r="D6" s="159">
        <v>343.65000000000009</v>
      </c>
      <c r="E6" s="160">
        <v>54260185.844137557</v>
      </c>
      <c r="F6" s="160">
        <v>46310546.156925336</v>
      </c>
    </row>
    <row r="7" spans="1:8" x14ac:dyDescent="0.45">
      <c r="A7" s="155">
        <v>7</v>
      </c>
      <c r="B7" s="156" t="s">
        <v>60</v>
      </c>
      <c r="C7" s="155">
        <v>610536.95999999996</v>
      </c>
      <c r="D7" s="159">
        <v>845</v>
      </c>
      <c r="E7" s="160">
        <v>-124063799.14718121</v>
      </c>
      <c r="F7" s="160">
        <v>-105887257.98539916</v>
      </c>
    </row>
    <row r="8" spans="1:8" x14ac:dyDescent="0.45">
      <c r="A8" s="155">
        <v>8</v>
      </c>
      <c r="B8" s="156" t="s">
        <v>60</v>
      </c>
      <c r="C8" s="155">
        <v>1134566.73</v>
      </c>
      <c r="D8" s="159">
        <v>560.48107467783234</v>
      </c>
      <c r="E8" s="160">
        <v>-77260911.037070841</v>
      </c>
      <c r="F8" s="160">
        <v>-65941443.639540657</v>
      </c>
    </row>
    <row r="9" spans="1:8" x14ac:dyDescent="0.45">
      <c r="A9" s="155">
        <v>9</v>
      </c>
      <c r="B9" s="156" t="s">
        <v>60</v>
      </c>
      <c r="C9" s="155">
        <v>1454578.29</v>
      </c>
      <c r="D9" s="159">
        <v>319.71945685105993</v>
      </c>
      <c r="E9" s="160">
        <v>67246860.206494987</v>
      </c>
      <c r="F9" s="160">
        <v>57394547.679015212</v>
      </c>
    </row>
    <row r="10" spans="1:8" x14ac:dyDescent="0.45">
      <c r="A10" s="155">
        <v>10</v>
      </c>
      <c r="B10" s="156" t="s">
        <v>60</v>
      </c>
      <c r="C10" s="155">
        <v>1151261.1000000001</v>
      </c>
      <c r="D10" s="159">
        <v>560.48107467783234</v>
      </c>
      <c r="E10" s="160">
        <v>-114551113.18570967</v>
      </c>
      <c r="F10" s="160">
        <v>-97768272.113103569</v>
      </c>
    </row>
    <row r="11" spans="1:8" x14ac:dyDescent="0.45">
      <c r="A11" s="155">
        <v>11</v>
      </c>
      <c r="B11" s="156" t="s">
        <v>60</v>
      </c>
      <c r="C11" s="155">
        <v>1151261.1000000001</v>
      </c>
      <c r="D11" s="159">
        <v>443.52543510871124</v>
      </c>
      <c r="E11" s="160">
        <v>-50612666.547265589</v>
      </c>
      <c r="F11" s="160">
        <v>-43197423.558376417</v>
      </c>
    </row>
    <row r="12" spans="1:8" x14ac:dyDescent="0.45">
      <c r="A12" s="155">
        <v>15</v>
      </c>
      <c r="B12" s="156" t="s">
        <v>60</v>
      </c>
      <c r="C12" s="155">
        <v>574980.12</v>
      </c>
      <c r="D12" s="159">
        <v>403.93296721004936</v>
      </c>
      <c r="E12" s="160">
        <v>4309748.1088336734</v>
      </c>
      <c r="F12" s="160">
        <v>3678328.5131155923</v>
      </c>
    </row>
    <row r="13" spans="1:8" x14ac:dyDescent="0.45">
      <c r="A13" s="155">
        <v>16</v>
      </c>
      <c r="B13" s="156" t="s">
        <v>60</v>
      </c>
      <c r="C13" s="155">
        <v>1005998.4</v>
      </c>
      <c r="D13" s="159">
        <v>493.5</v>
      </c>
      <c r="E13" s="160">
        <v>-86097455.793868169</v>
      </c>
      <c r="F13" s="160">
        <v>-73483349.504059926</v>
      </c>
    </row>
    <row r="14" spans="1:8" x14ac:dyDescent="0.45">
      <c r="A14" s="155">
        <v>17</v>
      </c>
      <c r="B14" s="156" t="s">
        <v>60</v>
      </c>
      <c r="C14" s="155">
        <v>1207414.8899999999</v>
      </c>
      <c r="D14" s="159">
        <v>371.30349286714772</v>
      </c>
      <c r="E14" s="160">
        <v>21117749.115864329</v>
      </c>
      <c r="F14" s="160">
        <v>18023795.531629138</v>
      </c>
    </row>
    <row r="15" spans="1:8" x14ac:dyDescent="0.45">
      <c r="A15" s="155">
        <v>18</v>
      </c>
      <c r="B15" s="156" t="s">
        <v>60</v>
      </c>
      <c r="C15" s="155">
        <v>1206114.03</v>
      </c>
      <c r="D15" s="159">
        <v>319.71945685105993</v>
      </c>
      <c r="E15" s="160">
        <v>50639097.419513322</v>
      </c>
      <c r="F15" s="160">
        <v>43219982.053301267</v>
      </c>
    </row>
    <row r="16" spans="1:8" x14ac:dyDescent="0.45">
      <c r="A16" s="155">
        <v>21</v>
      </c>
      <c r="B16" s="156" t="s">
        <v>60</v>
      </c>
      <c r="C16" s="155">
        <v>770759.55</v>
      </c>
      <c r="D16" s="159">
        <v>443.52543510871124</v>
      </c>
      <c r="E16" s="160">
        <v>-13238795.121546222</v>
      </c>
      <c r="F16" s="160">
        <v>-11299184.162358873</v>
      </c>
    </row>
    <row r="17" spans="1:6" x14ac:dyDescent="0.45">
      <c r="A17" s="155">
        <v>22</v>
      </c>
      <c r="B17" s="156" t="s">
        <v>60</v>
      </c>
      <c r="C17" s="155">
        <v>770759.55</v>
      </c>
      <c r="D17" s="159">
        <v>371.30349286714772</v>
      </c>
      <c r="E17" s="160">
        <v>13194734.672589533</v>
      </c>
      <c r="F17" s="160">
        <v>11261578.993472407</v>
      </c>
    </row>
    <row r="18" spans="1:6" x14ac:dyDescent="0.45">
      <c r="A18" s="155">
        <v>23</v>
      </c>
      <c r="B18" s="156" t="s">
        <v>60</v>
      </c>
      <c r="C18" s="155">
        <v>1002963.06</v>
      </c>
      <c r="D18" s="159">
        <v>298.67289159784013</v>
      </c>
      <c r="E18" s="160">
        <v>51761537.661399513</v>
      </c>
      <c r="F18" s="160">
        <v>44177973.991999216</v>
      </c>
    </row>
    <row r="19" spans="1:6" x14ac:dyDescent="0.45">
      <c r="A19" s="155">
        <v>25</v>
      </c>
      <c r="B19" s="156" t="s">
        <v>60</v>
      </c>
      <c r="C19" s="155">
        <v>611621.01</v>
      </c>
      <c r="D19" s="159">
        <v>343.65000000000009</v>
      </c>
      <c r="E19" s="160">
        <v>15372078.284460248</v>
      </c>
      <c r="F19" s="160">
        <v>13119920.801001355</v>
      </c>
    </row>
    <row r="20" spans="1:6" x14ac:dyDescent="0.45">
      <c r="A20" s="155">
        <v>26</v>
      </c>
      <c r="B20" s="156" t="s">
        <v>60</v>
      </c>
      <c r="C20" s="155">
        <v>2493748.62</v>
      </c>
      <c r="D20" s="159">
        <v>493.5</v>
      </c>
      <c r="E20" s="160">
        <v>-136865269.74135447</v>
      </c>
      <c r="F20" s="160">
        <v>-116813189.87462221</v>
      </c>
    </row>
    <row r="21" spans="1:6" x14ac:dyDescent="0.45">
      <c r="A21" s="155">
        <v>27</v>
      </c>
      <c r="B21" s="156" t="s">
        <v>60</v>
      </c>
      <c r="C21" s="155">
        <v>1243838.97</v>
      </c>
      <c r="D21" s="159">
        <v>493.5</v>
      </c>
      <c r="E21" s="160">
        <v>-55688511.467336915</v>
      </c>
      <c r="F21" s="160">
        <v>-47529608.323250651</v>
      </c>
    </row>
    <row r="22" spans="1:6" x14ac:dyDescent="0.45">
      <c r="A22" s="155">
        <v>28</v>
      </c>
      <c r="B22" s="156" t="s">
        <v>60</v>
      </c>
      <c r="C22" s="155">
        <v>1243838.97</v>
      </c>
      <c r="D22" s="159">
        <v>493.5</v>
      </c>
      <c r="E22" s="160">
        <v>-55688511.467336915</v>
      </c>
      <c r="F22" s="160">
        <v>-47529608.323250651</v>
      </c>
    </row>
    <row r="23" spans="1:6" x14ac:dyDescent="0.45">
      <c r="A23" s="155">
        <v>29</v>
      </c>
      <c r="B23" s="156" t="s">
        <v>60</v>
      </c>
      <c r="C23" s="155">
        <v>1346390.1</v>
      </c>
      <c r="D23" s="159">
        <v>443.52543510871124</v>
      </c>
      <c r="E23" s="160">
        <v>-28328689.112363115</v>
      </c>
      <c r="F23" s="160">
        <v>-24178263.385871544</v>
      </c>
    </row>
    <row r="24" spans="1:6" x14ac:dyDescent="0.45">
      <c r="A24" s="155">
        <v>30</v>
      </c>
      <c r="B24" s="156" t="s">
        <v>60</v>
      </c>
      <c r="C24" s="155">
        <v>1346390.1</v>
      </c>
      <c r="D24" s="159">
        <v>403.93296721004936</v>
      </c>
      <c r="E24" s="160">
        <v>-3015284.2558048535</v>
      </c>
      <c r="F24" s="160">
        <v>-2573516.0787264407</v>
      </c>
    </row>
    <row r="25" spans="1:6" x14ac:dyDescent="0.45">
      <c r="A25" s="155">
        <v>31</v>
      </c>
      <c r="B25" s="156" t="s">
        <v>60</v>
      </c>
      <c r="C25" s="155">
        <v>626580.9</v>
      </c>
      <c r="D25" s="159">
        <v>845</v>
      </c>
      <c r="E25" s="160">
        <v>-130401928.129816</v>
      </c>
      <c r="F25" s="160">
        <v>-111296790.04340924</v>
      </c>
    </row>
    <row r="26" spans="1:6" x14ac:dyDescent="0.45">
      <c r="A26" s="155">
        <v>32</v>
      </c>
      <c r="B26" s="156" t="s">
        <v>60</v>
      </c>
      <c r="C26" s="155">
        <v>778347.9</v>
      </c>
      <c r="D26" s="159">
        <v>845</v>
      </c>
      <c r="E26" s="160">
        <v>-161987170.23738384</v>
      </c>
      <c r="F26" s="160">
        <v>-138254490.0539543</v>
      </c>
    </row>
    <row r="27" spans="1:6" x14ac:dyDescent="0.45">
      <c r="A27" s="155">
        <v>33</v>
      </c>
      <c r="B27" s="156" t="s">
        <v>60</v>
      </c>
      <c r="C27" s="155">
        <v>1191804.57</v>
      </c>
      <c r="D27" s="159">
        <v>845</v>
      </c>
      <c r="E27" s="160">
        <v>-254689384.7891683</v>
      </c>
      <c r="F27" s="160">
        <v>-217374937.56191543</v>
      </c>
    </row>
    <row r="28" spans="1:6" x14ac:dyDescent="0.45">
      <c r="A28" s="155">
        <v>34</v>
      </c>
      <c r="B28" s="156" t="s">
        <v>60</v>
      </c>
      <c r="C28" s="155">
        <v>1191804.57</v>
      </c>
      <c r="D28" s="159">
        <v>659.99999999999977</v>
      </c>
      <c r="E28" s="160">
        <v>-149990065.73561168</v>
      </c>
      <c r="F28" s="160">
        <v>-128015076.87950645</v>
      </c>
    </row>
    <row r="29" spans="1:6" x14ac:dyDescent="0.45">
      <c r="A29" s="155">
        <v>35</v>
      </c>
      <c r="B29" s="156" t="s">
        <v>60</v>
      </c>
      <c r="C29" s="155">
        <v>1333815.1200000001</v>
      </c>
      <c r="D29" s="159">
        <v>659.99999999999977</v>
      </c>
      <c r="E29" s="160">
        <v>-198067996.25033286</v>
      </c>
      <c r="F29" s="160">
        <v>-169049127.64055014</v>
      </c>
    </row>
    <row r="30" spans="1:6" x14ac:dyDescent="0.45">
      <c r="A30" s="155">
        <v>36</v>
      </c>
      <c r="B30" s="156" t="s">
        <v>60</v>
      </c>
      <c r="C30" s="155">
        <v>1333815.1200000001</v>
      </c>
      <c r="D30" s="159">
        <v>659.99999999999977</v>
      </c>
      <c r="E30" s="160">
        <v>-198067996.25033286</v>
      </c>
      <c r="F30" s="160">
        <v>-169049127.64055014</v>
      </c>
    </row>
    <row r="31" spans="1:6" x14ac:dyDescent="0.45">
      <c r="A31" s="155">
        <v>37</v>
      </c>
      <c r="B31" s="156" t="s">
        <v>60</v>
      </c>
      <c r="C31" s="155">
        <v>1409265</v>
      </c>
      <c r="D31" s="159">
        <v>319.71945685105993</v>
      </c>
      <c r="E31" s="160">
        <v>18445637.725425135</v>
      </c>
      <c r="F31" s="160">
        <v>15743174.189089969</v>
      </c>
    </row>
    <row r="32" spans="1:6" x14ac:dyDescent="0.45">
      <c r="A32" s="155">
        <v>38</v>
      </c>
      <c r="B32" s="156" t="s">
        <v>60</v>
      </c>
      <c r="C32" s="155">
        <v>1207848.51</v>
      </c>
      <c r="D32" s="159">
        <v>343.65000000000009</v>
      </c>
      <c r="E32" s="160">
        <v>24467892.085709244</v>
      </c>
      <c r="F32" s="160">
        <v>20883110.298463684</v>
      </c>
    </row>
    <row r="33" spans="1:6" x14ac:dyDescent="0.45">
      <c r="A33" s="155">
        <v>39</v>
      </c>
      <c r="B33" s="156" t="s">
        <v>60</v>
      </c>
      <c r="C33" s="155">
        <v>1209149.3700000001</v>
      </c>
      <c r="D33" s="159">
        <v>298.67289159784013</v>
      </c>
      <c r="E33" s="160">
        <v>50319139.318617873</v>
      </c>
      <c r="F33" s="160">
        <v>42946900.894998841</v>
      </c>
    </row>
    <row r="34" spans="1:6" x14ac:dyDescent="0.45">
      <c r="A34" s="155">
        <v>40</v>
      </c>
      <c r="B34" s="156" t="s">
        <v>60</v>
      </c>
      <c r="C34" s="155">
        <v>1824456.15</v>
      </c>
      <c r="D34" s="159">
        <v>403.93296721004936</v>
      </c>
      <c r="E34" s="160">
        <v>-80751589.008119211</v>
      </c>
      <c r="F34" s="160">
        <v>-68920703.676714599</v>
      </c>
    </row>
    <row r="35" spans="1:6" x14ac:dyDescent="0.45">
      <c r="A35" s="155">
        <v>41</v>
      </c>
      <c r="B35" s="156" t="s">
        <v>60</v>
      </c>
      <c r="C35" s="155">
        <v>724145.4</v>
      </c>
      <c r="D35" s="159">
        <v>659.99999999999977</v>
      </c>
      <c r="E35" s="160">
        <v>-109753052.51295567</v>
      </c>
      <c r="F35" s="160">
        <v>-93673173.528568164</v>
      </c>
    </row>
    <row r="36" spans="1:6" x14ac:dyDescent="0.45">
      <c r="A36" s="155">
        <v>42</v>
      </c>
      <c r="B36" s="156" t="s">
        <v>60</v>
      </c>
      <c r="C36" s="155">
        <v>1474308</v>
      </c>
      <c r="D36" s="159">
        <v>560.48107467783234</v>
      </c>
      <c r="E36" s="160">
        <v>-153776894.60495111</v>
      </c>
      <c r="F36" s="160">
        <v>-131247098.85688409</v>
      </c>
    </row>
    <row r="37" spans="1:6" x14ac:dyDescent="0.45">
      <c r="A37" s="155">
        <v>43</v>
      </c>
      <c r="B37" s="156" t="s">
        <v>60</v>
      </c>
      <c r="C37" s="155">
        <v>1474308</v>
      </c>
      <c r="D37" s="159">
        <v>493.5</v>
      </c>
      <c r="E37" s="160">
        <v>-106883959.6123385</v>
      </c>
      <c r="F37" s="160">
        <v>-91224430.363770798</v>
      </c>
    </row>
    <row r="38" spans="1:6" x14ac:dyDescent="0.45">
      <c r="A38" s="155">
        <v>44</v>
      </c>
      <c r="B38" s="156" t="s">
        <v>60</v>
      </c>
      <c r="C38" s="155">
        <v>2114981.5499999998</v>
      </c>
      <c r="D38" s="159">
        <v>493.5</v>
      </c>
      <c r="E38" s="160">
        <v>-177152330.59633797</v>
      </c>
      <c r="F38" s="160">
        <v>-151197808.39782944</v>
      </c>
    </row>
    <row r="39" spans="1:6" x14ac:dyDescent="0.45">
      <c r="A39" s="155">
        <v>45</v>
      </c>
      <c r="B39" s="156" t="s">
        <v>60</v>
      </c>
      <c r="C39" s="155">
        <v>2114981.5499999998</v>
      </c>
      <c r="D39" s="159">
        <v>443.52543510871124</v>
      </c>
      <c r="E39" s="160">
        <v>-126961695.97283453</v>
      </c>
      <c r="F39" s="160">
        <v>-108360585.02275115</v>
      </c>
    </row>
    <row r="40" spans="1:6" x14ac:dyDescent="0.45">
      <c r="A40" s="155">
        <v>46</v>
      </c>
      <c r="B40" s="156" t="s">
        <v>60</v>
      </c>
      <c r="C40" s="155">
        <v>1430946</v>
      </c>
      <c r="D40" s="159">
        <v>560.48107467783234</v>
      </c>
      <c r="E40" s="160">
        <v>-155203108.09869441</v>
      </c>
      <c r="F40" s="160">
        <v>-132464358.34101844</v>
      </c>
    </row>
    <row r="41" spans="1:6" x14ac:dyDescent="0.45">
      <c r="A41" s="155">
        <v>47</v>
      </c>
      <c r="B41" s="156" t="s">
        <v>60</v>
      </c>
      <c r="C41" s="155">
        <v>1430946</v>
      </c>
      <c r="D41" s="159">
        <v>560.48107467783234</v>
      </c>
      <c r="E41" s="160">
        <v>-155203108.09869441</v>
      </c>
      <c r="F41" s="160">
        <v>-132464358.34101844</v>
      </c>
    </row>
    <row r="42" spans="1:6" x14ac:dyDescent="0.45">
      <c r="A42" s="155">
        <v>48</v>
      </c>
      <c r="B42" s="156" t="s">
        <v>60</v>
      </c>
      <c r="C42" s="155">
        <v>1500325.2</v>
      </c>
      <c r="D42" s="159">
        <v>319.71945685105993</v>
      </c>
      <c r="E42" s="160">
        <v>8801755.0924880914</v>
      </c>
      <c r="F42" s="160">
        <v>7512213.2210222781</v>
      </c>
    </row>
    <row r="43" spans="1:6" x14ac:dyDescent="0.45">
      <c r="A43" s="155">
        <v>50</v>
      </c>
      <c r="B43" s="156" t="s">
        <v>60</v>
      </c>
      <c r="C43" s="155">
        <v>2029341.6</v>
      </c>
      <c r="D43" s="159">
        <v>659.99999999999977</v>
      </c>
      <c r="E43" s="160">
        <v>-317425097.78570294</v>
      </c>
      <c r="F43" s="160">
        <v>-270919264.53417456</v>
      </c>
    </row>
    <row r="44" spans="1:6" x14ac:dyDescent="0.45">
      <c r="A44" s="155">
        <v>51</v>
      </c>
      <c r="B44" s="156" t="s">
        <v>60</v>
      </c>
      <c r="C44" s="155">
        <v>2029341.6</v>
      </c>
      <c r="D44" s="159">
        <v>659.99999999999977</v>
      </c>
      <c r="E44" s="160">
        <v>-317425097.78570294</v>
      </c>
      <c r="F44" s="160">
        <v>-270919264.53417456</v>
      </c>
    </row>
    <row r="45" spans="1:6" x14ac:dyDescent="0.45">
      <c r="A45" s="155">
        <v>52</v>
      </c>
      <c r="B45" s="156" t="s">
        <v>60</v>
      </c>
      <c r="C45" s="155">
        <v>2818530</v>
      </c>
      <c r="D45" s="159">
        <v>371.30349286714772</v>
      </c>
      <c r="E45" s="160">
        <v>30377420.82513345</v>
      </c>
      <c r="F45" s="160">
        <v>25926836.175812822</v>
      </c>
    </row>
    <row r="46" spans="1:6" x14ac:dyDescent="0.45">
      <c r="A46" s="155">
        <v>53</v>
      </c>
      <c r="B46" s="156" t="s">
        <v>60</v>
      </c>
      <c r="C46" s="155">
        <v>2818530</v>
      </c>
      <c r="D46" s="159">
        <v>371.30349286714772</v>
      </c>
      <c r="E46" s="160">
        <v>30377420.82513345</v>
      </c>
      <c r="F46" s="160">
        <v>25926836.175812822</v>
      </c>
    </row>
    <row r="47" spans="1:6" x14ac:dyDescent="0.45">
      <c r="A47" s="155">
        <v>54</v>
      </c>
      <c r="B47" s="156" t="s">
        <v>60</v>
      </c>
      <c r="C47" s="155">
        <v>650430</v>
      </c>
      <c r="D47" s="159">
        <v>845</v>
      </c>
      <c r="E47" s="160">
        <v>-154913298.56327307</v>
      </c>
      <c r="F47" s="160">
        <v>-132217008.69307549</v>
      </c>
    </row>
    <row r="48" spans="1:6" x14ac:dyDescent="0.45">
      <c r="A48" s="155">
        <v>55</v>
      </c>
      <c r="B48" s="156" t="s">
        <v>60</v>
      </c>
      <c r="C48" s="155">
        <v>650430</v>
      </c>
      <c r="D48" s="159">
        <v>845</v>
      </c>
      <c r="E48" s="160">
        <v>-154913298.56327307</v>
      </c>
      <c r="F48" s="160">
        <v>-132217008.69307549</v>
      </c>
    </row>
    <row r="49" spans="1:6" x14ac:dyDescent="0.45">
      <c r="A49" s="155">
        <v>56</v>
      </c>
      <c r="B49" s="156" t="s">
        <v>60</v>
      </c>
      <c r="C49" s="155">
        <v>710269.56</v>
      </c>
      <c r="D49" s="159">
        <v>845</v>
      </c>
      <c r="E49" s="160">
        <v>-169165322.03109428</v>
      </c>
      <c r="F49" s="160">
        <v>-144380973.49281827</v>
      </c>
    </row>
    <row r="50" spans="1:6" x14ac:dyDescent="0.45">
      <c r="A50" s="155">
        <v>57</v>
      </c>
      <c r="B50" s="156" t="s">
        <v>60</v>
      </c>
      <c r="C50" s="155">
        <v>710269.56</v>
      </c>
      <c r="D50" s="159">
        <v>845</v>
      </c>
      <c r="E50" s="160">
        <v>-169165322.03109428</v>
      </c>
      <c r="F50" s="160">
        <v>-144380973.49281827</v>
      </c>
    </row>
    <row r="51" spans="1:6" x14ac:dyDescent="0.45">
      <c r="A51" s="155">
        <v>58</v>
      </c>
      <c r="B51" s="156" t="s">
        <v>60</v>
      </c>
      <c r="C51" s="155">
        <v>1769820.03</v>
      </c>
      <c r="D51" s="159">
        <v>443.52543510871124</v>
      </c>
      <c r="E51" s="160">
        <v>-64142828.878905877</v>
      </c>
      <c r="F51" s="160">
        <v>-54745286.829036161</v>
      </c>
    </row>
    <row r="52" spans="1:6" x14ac:dyDescent="0.45">
      <c r="A52" s="155">
        <v>59</v>
      </c>
      <c r="B52" s="156" t="s">
        <v>60</v>
      </c>
      <c r="C52" s="155">
        <v>1769820.03</v>
      </c>
      <c r="D52" s="159">
        <v>403.93296721004936</v>
      </c>
      <c r="E52" s="160">
        <v>-30868541.625430152</v>
      </c>
      <c r="F52" s="160">
        <v>-26346003.049960051</v>
      </c>
    </row>
    <row r="53" spans="1:6" x14ac:dyDescent="0.45">
      <c r="A53" s="155">
        <v>60</v>
      </c>
      <c r="B53" s="156" t="s">
        <v>60</v>
      </c>
      <c r="C53" s="155">
        <v>2818530</v>
      </c>
      <c r="D53" s="159">
        <v>371.30349286714772</v>
      </c>
      <c r="E53" s="160">
        <v>-5488078.0336489752</v>
      </c>
      <c r="F53" s="160">
        <v>-4684021.7580175605</v>
      </c>
    </row>
    <row r="54" spans="1:6" x14ac:dyDescent="0.45">
      <c r="A54" s="155">
        <v>61</v>
      </c>
      <c r="B54" s="156" t="s">
        <v>60</v>
      </c>
      <c r="C54" s="155">
        <v>1248825.6000000001</v>
      </c>
      <c r="D54" s="159">
        <v>659.99999999999977</v>
      </c>
      <c r="E54" s="160">
        <v>-184765745.88993829</v>
      </c>
      <c r="F54" s="160">
        <v>-157695785.04278857</v>
      </c>
    </row>
    <row r="55" spans="1:6" x14ac:dyDescent="0.45">
      <c r="A55" s="155">
        <v>62</v>
      </c>
      <c r="B55" s="156" t="s">
        <v>60</v>
      </c>
      <c r="C55" s="155">
        <v>1248825.6000000001</v>
      </c>
      <c r="D55" s="159">
        <v>560.48107467783234</v>
      </c>
      <c r="E55" s="160">
        <v>-125749096.02821064</v>
      </c>
      <c r="F55" s="160">
        <v>-107325642.64592938</v>
      </c>
    </row>
    <row r="56" spans="1:6" x14ac:dyDescent="0.45">
      <c r="A56" s="155">
        <v>63</v>
      </c>
      <c r="B56" s="156" t="s">
        <v>60</v>
      </c>
      <c r="C56" s="155">
        <v>1482980.4</v>
      </c>
      <c r="D56" s="159">
        <v>403.93296721004936</v>
      </c>
      <c r="E56" s="160">
        <v>-42633115.368432328</v>
      </c>
      <c r="F56" s="160">
        <v>-36386953.460766561</v>
      </c>
    </row>
    <row r="57" spans="1:6" x14ac:dyDescent="0.45">
      <c r="A57" s="155">
        <v>64</v>
      </c>
      <c r="B57" s="156" t="s">
        <v>60</v>
      </c>
      <c r="C57" s="155">
        <v>1482980.4</v>
      </c>
      <c r="D57" s="159">
        <v>371.30349286714772</v>
      </c>
      <c r="E57" s="160">
        <v>-19655097.074152157</v>
      </c>
      <c r="F57" s="160">
        <v>-16775436.097636633</v>
      </c>
    </row>
    <row r="58" spans="1:6" x14ac:dyDescent="0.45">
      <c r="A58" s="155">
        <v>65</v>
      </c>
      <c r="B58" s="156" t="s">
        <v>60</v>
      </c>
      <c r="C58" s="155">
        <v>1482980.4</v>
      </c>
      <c r="D58" s="159">
        <v>343.65000000000009</v>
      </c>
      <c r="E58" s="160">
        <v>-181217.16041412391</v>
      </c>
      <c r="F58" s="160">
        <v>-154667.10149581396</v>
      </c>
    </row>
    <row r="59" spans="1:6" x14ac:dyDescent="0.45">
      <c r="A59" s="155">
        <v>66</v>
      </c>
      <c r="B59" s="156" t="s">
        <v>60</v>
      </c>
      <c r="C59" s="155">
        <v>1769820.03</v>
      </c>
      <c r="D59" s="159">
        <v>443.52543510871124</v>
      </c>
      <c r="E59" s="160">
        <v>-62577446.544723995</v>
      </c>
      <c r="F59" s="160">
        <v>-53409248.079565354</v>
      </c>
    </row>
    <row r="60" spans="1:6" x14ac:dyDescent="0.45">
      <c r="A60" s="155">
        <v>67</v>
      </c>
      <c r="B60" s="156" t="s">
        <v>60</v>
      </c>
      <c r="C60" s="155">
        <v>1769820.03</v>
      </c>
      <c r="D60" s="159">
        <v>443.52543510871124</v>
      </c>
      <c r="E60" s="160">
        <v>-62577446.544723995</v>
      </c>
      <c r="F60" s="160">
        <v>-53409248.079565354</v>
      </c>
    </row>
    <row r="61" spans="1:6" x14ac:dyDescent="0.45">
      <c r="A61" s="155">
        <v>68</v>
      </c>
      <c r="B61" s="156" t="s">
        <v>60</v>
      </c>
      <c r="C61" s="155">
        <v>1236250.6200000001</v>
      </c>
      <c r="D61" s="159">
        <v>845</v>
      </c>
      <c r="E61" s="160">
        <v>-306197309.37980944</v>
      </c>
      <c r="F61" s="160">
        <v>-261336455.23997891</v>
      </c>
    </row>
    <row r="62" spans="1:6" x14ac:dyDescent="0.45">
      <c r="A62" s="155">
        <v>69</v>
      </c>
      <c r="B62" s="156" t="s">
        <v>60</v>
      </c>
      <c r="C62" s="155">
        <v>1236250.6200000001</v>
      </c>
      <c r="D62" s="159">
        <v>845</v>
      </c>
      <c r="E62" s="160">
        <v>-306197309.37980944</v>
      </c>
      <c r="F62" s="160">
        <v>-261336455.23997891</v>
      </c>
    </row>
    <row r="63" spans="1:6" x14ac:dyDescent="0.45">
      <c r="A63" s="155">
        <v>70</v>
      </c>
      <c r="B63" s="156" t="s">
        <v>60</v>
      </c>
      <c r="C63" s="155">
        <v>1131748.2</v>
      </c>
      <c r="D63" s="159">
        <v>371.30349286714772</v>
      </c>
      <c r="E63" s="160">
        <v>-25738140.51731275</v>
      </c>
      <c r="F63" s="160">
        <v>-21967255.103853624</v>
      </c>
    </row>
    <row r="64" spans="1:6" x14ac:dyDescent="0.45">
      <c r="A64" s="155">
        <v>71</v>
      </c>
      <c r="B64" s="156" t="s">
        <v>60</v>
      </c>
      <c r="C64" s="155">
        <v>1482980.4</v>
      </c>
      <c r="D64" s="159">
        <v>298.67289159784013</v>
      </c>
      <c r="E64" s="160">
        <v>32555048.766016595</v>
      </c>
      <c r="F64" s="160">
        <v>27785420.655405518</v>
      </c>
    </row>
    <row r="65" spans="1:6" x14ac:dyDescent="0.45">
      <c r="A65" s="155">
        <v>73</v>
      </c>
      <c r="B65" s="156" t="s">
        <v>60</v>
      </c>
      <c r="C65" s="155">
        <v>1338584.94</v>
      </c>
      <c r="D65" s="159">
        <v>319.71945685105993</v>
      </c>
      <c r="E65" s="160">
        <v>49336193.688537516</v>
      </c>
      <c r="F65" s="160">
        <v>42107966.2643051</v>
      </c>
    </row>
    <row r="66" spans="1:6" x14ac:dyDescent="0.45">
      <c r="A66" s="155">
        <v>76</v>
      </c>
      <c r="B66" s="156" t="s">
        <v>60</v>
      </c>
      <c r="C66" s="155">
        <v>775312.56</v>
      </c>
      <c r="D66" s="159">
        <v>298.67289159784013</v>
      </c>
      <c r="E66" s="160">
        <v>12873774.065674268</v>
      </c>
      <c r="F66" s="160">
        <v>10987642.205951924</v>
      </c>
    </row>
    <row r="67" spans="1:6" x14ac:dyDescent="0.45">
      <c r="A67" s="155">
        <v>82</v>
      </c>
      <c r="B67" s="156" t="s">
        <v>60</v>
      </c>
      <c r="C67" s="155">
        <v>1448073.99</v>
      </c>
      <c r="D67" s="159">
        <v>319.71945685105993</v>
      </c>
      <c r="E67" s="160">
        <v>69847003.01998724</v>
      </c>
      <c r="F67" s="160">
        <v>59613744.534056634</v>
      </c>
    </row>
    <row r="68" spans="1:6" x14ac:dyDescent="0.45">
      <c r="A68" s="155">
        <v>83</v>
      </c>
      <c r="B68" s="156" t="s">
        <v>60</v>
      </c>
      <c r="C68" s="155">
        <v>1448073.99</v>
      </c>
      <c r="D68" s="159">
        <v>343.65000000000009</v>
      </c>
      <c r="E68" s="160">
        <v>53391529.232093155</v>
      </c>
      <c r="F68" s="160">
        <v>45569156.102712721</v>
      </c>
    </row>
    <row r="69" spans="1:6" x14ac:dyDescent="0.45">
      <c r="A69" s="155">
        <v>84</v>
      </c>
      <c r="B69" s="156" t="s">
        <v>60</v>
      </c>
      <c r="C69" s="155">
        <v>1448073.99</v>
      </c>
      <c r="D69" s="159">
        <v>298.67289159784013</v>
      </c>
      <c r="E69" s="160">
        <v>84319353.300298348</v>
      </c>
      <c r="F69" s="160">
        <v>71965756.146783203</v>
      </c>
    </row>
    <row r="70" spans="1:6" x14ac:dyDescent="0.45">
      <c r="A70" s="155">
        <v>85</v>
      </c>
      <c r="B70" s="156" t="s">
        <v>60</v>
      </c>
      <c r="C70" s="155">
        <v>1448073.99</v>
      </c>
      <c r="D70" s="159">
        <v>298.67289159784013</v>
      </c>
      <c r="E70" s="160">
        <v>84319353.300298348</v>
      </c>
      <c r="F70" s="160">
        <v>71965756.146783203</v>
      </c>
    </row>
    <row r="71" spans="1:6" x14ac:dyDescent="0.45">
      <c r="A71" s="155">
        <v>87</v>
      </c>
      <c r="B71" s="156" t="s">
        <v>60</v>
      </c>
      <c r="C71" s="155">
        <v>574980.12</v>
      </c>
      <c r="D71" s="159">
        <v>298.67289159784013</v>
      </c>
      <c r="E71" s="160">
        <v>38750836.787748858</v>
      </c>
      <c r="F71" s="160">
        <v>33073466.073861498</v>
      </c>
    </row>
    <row r="72" spans="1:6" x14ac:dyDescent="0.45">
      <c r="A72" s="155">
        <v>88</v>
      </c>
      <c r="B72" s="156" t="s">
        <v>60</v>
      </c>
      <c r="C72" s="155">
        <v>574980.12</v>
      </c>
      <c r="D72" s="159">
        <v>298.67289159784013</v>
      </c>
      <c r="E72" s="160">
        <v>38750836.787748858</v>
      </c>
      <c r="F72" s="160">
        <v>33073466.073861498</v>
      </c>
    </row>
    <row r="73" spans="1:6" x14ac:dyDescent="0.45">
      <c r="A73" s="155">
        <v>89</v>
      </c>
      <c r="B73" s="156" t="s">
        <v>60</v>
      </c>
      <c r="C73" s="155">
        <v>1346390.1</v>
      </c>
      <c r="D73" s="159">
        <v>319.71945685105993</v>
      </c>
      <c r="E73" s="160">
        <v>55687304.789349891</v>
      </c>
      <c r="F73" s="160">
        <v>47528578.435196526</v>
      </c>
    </row>
    <row r="74" spans="1:6" x14ac:dyDescent="0.45">
      <c r="A74" s="155">
        <v>90</v>
      </c>
      <c r="B74" s="156" t="s">
        <v>60</v>
      </c>
      <c r="C74" s="155">
        <v>1346390.1</v>
      </c>
      <c r="D74" s="159">
        <v>298.67289159784013</v>
      </c>
      <c r="E74" s="160">
        <v>69143405.289534345</v>
      </c>
      <c r="F74" s="160">
        <v>59013230.645883672</v>
      </c>
    </row>
    <row r="75" spans="1:6" x14ac:dyDescent="0.45">
      <c r="A75" s="155">
        <v>91</v>
      </c>
      <c r="B75" s="156" t="s">
        <v>60</v>
      </c>
      <c r="C75" s="155">
        <v>2818530</v>
      </c>
      <c r="D75" s="159">
        <v>298.67289159784013</v>
      </c>
      <c r="E75" s="160">
        <v>166536025.02340451</v>
      </c>
      <c r="F75" s="160">
        <v>142136893.81374738</v>
      </c>
    </row>
    <row r="76" spans="1:6" x14ac:dyDescent="0.45">
      <c r="A76" s="155">
        <v>93</v>
      </c>
      <c r="B76" s="156" t="s">
        <v>60</v>
      </c>
      <c r="C76" s="155">
        <v>1170774</v>
      </c>
      <c r="D76" s="159">
        <v>298.67289159784013</v>
      </c>
      <c r="E76" s="160">
        <v>49999816.615869574</v>
      </c>
      <c r="F76" s="160">
        <v>42674362.042941995</v>
      </c>
    </row>
    <row r="77" spans="1:6" x14ac:dyDescent="0.45">
      <c r="A77" s="155">
        <v>94</v>
      </c>
      <c r="B77" s="156" t="s">
        <v>60</v>
      </c>
      <c r="C77" s="155">
        <v>1170774</v>
      </c>
      <c r="D77" s="159">
        <v>298.67289159784013</v>
      </c>
      <c r="E77" s="160">
        <v>49999816.615869574</v>
      </c>
      <c r="F77" s="160">
        <v>42674362.042941995</v>
      </c>
    </row>
    <row r="78" spans="1:6" x14ac:dyDescent="0.45">
      <c r="A78" s="155">
        <v>96</v>
      </c>
      <c r="B78" s="156" t="s">
        <v>60</v>
      </c>
      <c r="C78" s="155">
        <v>635253.30000000005</v>
      </c>
      <c r="D78" s="159">
        <v>298.67289159784013</v>
      </c>
      <c r="E78" s="160">
        <v>31416007.175044518</v>
      </c>
      <c r="F78" s="160">
        <v>26813259.625101954</v>
      </c>
    </row>
    <row r="79" spans="1:6" x14ac:dyDescent="0.45">
      <c r="A79" s="155">
        <v>98</v>
      </c>
      <c r="B79" s="156" t="s">
        <v>60</v>
      </c>
      <c r="C79" s="155">
        <v>700296.3</v>
      </c>
      <c r="D79" s="159">
        <v>493.5</v>
      </c>
      <c r="E79" s="160">
        <v>-26829160.789712317</v>
      </c>
      <c r="F79" s="160">
        <v>-22898430.401120238</v>
      </c>
    </row>
    <row r="80" spans="1:6" x14ac:dyDescent="0.45">
      <c r="A80" s="155">
        <v>100</v>
      </c>
      <c r="B80" s="156" t="s">
        <v>60</v>
      </c>
      <c r="C80" s="155">
        <v>2818530</v>
      </c>
      <c r="D80" s="159">
        <v>343.65000000000009</v>
      </c>
      <c r="E80" s="160">
        <v>55781487.358865552</v>
      </c>
      <c r="F80" s="160">
        <v>47608962.351484075</v>
      </c>
    </row>
    <row r="81" spans="1:6" x14ac:dyDescent="0.45">
      <c r="A81" s="155">
        <v>101</v>
      </c>
      <c r="B81" s="156" t="s">
        <v>60</v>
      </c>
      <c r="C81" s="155">
        <v>2818530</v>
      </c>
      <c r="D81" s="159">
        <v>319.71945685105993</v>
      </c>
      <c r="E81" s="160">
        <v>87810407.742549345</v>
      </c>
      <c r="F81" s="160">
        <v>74945337.49850136</v>
      </c>
    </row>
    <row r="82" spans="1:6" x14ac:dyDescent="0.45">
      <c r="A82" s="155">
        <v>102</v>
      </c>
      <c r="B82" s="156" t="s">
        <v>60</v>
      </c>
      <c r="C82" s="155">
        <v>1381079.7</v>
      </c>
      <c r="D82" s="159">
        <v>493.5</v>
      </c>
      <c r="E82" s="160">
        <v>-110131823.90392685</v>
      </c>
      <c r="F82" s="160">
        <v>-93996451.263583601</v>
      </c>
    </row>
    <row r="83" spans="1:6" x14ac:dyDescent="0.45">
      <c r="A83" s="155">
        <v>6</v>
      </c>
      <c r="B83" s="156" t="s">
        <v>70</v>
      </c>
      <c r="C83" s="155">
        <v>1454578.29</v>
      </c>
      <c r="D83" s="159">
        <v>298.67289159784013</v>
      </c>
      <c r="E83" s="160">
        <v>-9820667.6766171455</v>
      </c>
      <c r="F83" s="160">
        <v>-6876032.5421933532</v>
      </c>
    </row>
    <row r="84" spans="1:6" x14ac:dyDescent="0.45">
      <c r="A84" s="155">
        <v>19</v>
      </c>
      <c r="B84" s="156" t="s">
        <v>70</v>
      </c>
      <c r="C84" s="155">
        <v>1206547.6499999999</v>
      </c>
      <c r="D84" s="159">
        <v>298.67289159784013</v>
      </c>
      <c r="E84" s="160">
        <v>-35525210.880230516</v>
      </c>
      <c r="F84" s="160">
        <v>-24873309.445402779</v>
      </c>
    </row>
    <row r="85" spans="1:6" x14ac:dyDescent="0.45">
      <c r="A85" s="155">
        <v>20</v>
      </c>
      <c r="B85" s="156" t="s">
        <v>70</v>
      </c>
      <c r="C85" s="155">
        <v>1205897.22</v>
      </c>
      <c r="D85" s="159">
        <v>298.67289159784013</v>
      </c>
      <c r="E85" s="160">
        <v>-35506059.82315217</v>
      </c>
      <c r="F85" s="160">
        <v>-24859900.653303731</v>
      </c>
    </row>
    <row r="86" spans="1:6" x14ac:dyDescent="0.45">
      <c r="A86" s="155">
        <v>24</v>
      </c>
      <c r="B86" s="156" t="s">
        <v>70</v>
      </c>
      <c r="C86" s="155">
        <v>1178579.1599999999</v>
      </c>
      <c r="D86" s="159">
        <v>298.67289159784013</v>
      </c>
      <c r="E86" s="160">
        <v>-24863618.253196176</v>
      </c>
      <c r="F86" s="160">
        <v>-17408495.415544365</v>
      </c>
    </row>
    <row r="87" spans="1:6" x14ac:dyDescent="0.45">
      <c r="A87" s="155">
        <v>72</v>
      </c>
      <c r="B87" s="156" t="s">
        <v>70</v>
      </c>
      <c r="C87" s="155">
        <v>1482980.4</v>
      </c>
      <c r="D87" s="159">
        <v>298.67289159784013</v>
      </c>
      <c r="E87" s="160">
        <v>-605697023.80836856</v>
      </c>
      <c r="F87" s="160">
        <v>-424084449.60822743</v>
      </c>
    </row>
    <row r="88" spans="1:6" x14ac:dyDescent="0.45">
      <c r="A88" s="155">
        <v>74</v>
      </c>
      <c r="B88" s="156" t="s">
        <v>70</v>
      </c>
      <c r="C88" s="155">
        <v>1673773.2</v>
      </c>
      <c r="D88" s="159">
        <v>298.67289159784013</v>
      </c>
      <c r="E88" s="160">
        <v>-100828128.98395546</v>
      </c>
      <c r="F88" s="160">
        <v>-70595759.768390656</v>
      </c>
    </row>
    <row r="89" spans="1:6" x14ac:dyDescent="0.45">
      <c r="A89" s="155">
        <v>77</v>
      </c>
      <c r="B89" s="156" t="s">
        <v>70</v>
      </c>
      <c r="C89" s="155">
        <v>1283732.01</v>
      </c>
      <c r="D89" s="159">
        <v>298.67289159784013</v>
      </c>
      <c r="E89" s="160">
        <v>-134119174.54095912</v>
      </c>
      <c r="F89" s="160">
        <v>-93904797.417531848</v>
      </c>
    </row>
    <row r="90" spans="1:6" x14ac:dyDescent="0.45">
      <c r="A90" s="155">
        <v>86</v>
      </c>
      <c r="B90" s="156" t="s">
        <v>70</v>
      </c>
      <c r="C90" s="155">
        <v>1448073.99</v>
      </c>
      <c r="D90" s="159">
        <v>298.67289159784013</v>
      </c>
      <c r="E90" s="160">
        <v>14969494.927745581</v>
      </c>
      <c r="F90" s="160">
        <v>10481032.212129496</v>
      </c>
    </row>
    <row r="91" spans="1:6" x14ac:dyDescent="0.45">
      <c r="A91" s="155">
        <v>92</v>
      </c>
      <c r="B91" s="156" t="s">
        <v>70</v>
      </c>
      <c r="C91" s="155">
        <v>2818530</v>
      </c>
      <c r="D91" s="159">
        <v>298.67289159784013</v>
      </c>
      <c r="E91" s="160">
        <v>37049712.182680428</v>
      </c>
      <c r="F91" s="160">
        <v>25940703.324495461</v>
      </c>
    </row>
    <row r="92" spans="1:6" x14ac:dyDescent="0.45">
      <c r="A92" s="155">
        <v>95</v>
      </c>
      <c r="B92" s="156" t="s">
        <v>70</v>
      </c>
      <c r="C92" s="155">
        <v>2818530</v>
      </c>
      <c r="D92" s="159">
        <v>298.67289159784013</v>
      </c>
      <c r="E92" s="160">
        <v>-427381678.20735306</v>
      </c>
      <c r="F92" s="160">
        <v>-299235288.68545222</v>
      </c>
    </row>
    <row r="93" spans="1:6" x14ac:dyDescent="0.45">
      <c r="A93" s="155">
        <v>97</v>
      </c>
      <c r="B93" s="156" t="s">
        <v>70</v>
      </c>
      <c r="C93" s="155">
        <v>635253.30000000005</v>
      </c>
      <c r="D93" s="159">
        <v>298.67289159784013</v>
      </c>
      <c r="E93" s="160">
        <v>7964021.1572299153</v>
      </c>
      <c r="F93" s="160">
        <v>5576084.0756381499</v>
      </c>
    </row>
    <row r="94" spans="1:6" x14ac:dyDescent="0.45">
      <c r="A94" s="155">
        <v>99</v>
      </c>
      <c r="B94" s="156" t="s">
        <v>70</v>
      </c>
      <c r="C94" s="155">
        <v>1104430.1399999999</v>
      </c>
      <c r="D94" s="159">
        <v>298.67289159784013</v>
      </c>
      <c r="E94" s="160">
        <v>-26007052.732757226</v>
      </c>
      <c r="F94" s="160">
        <v>-18209081.786095247</v>
      </c>
    </row>
    <row r="95" spans="1:6" x14ac:dyDescent="0.45">
      <c r="A95" s="155">
        <v>75</v>
      </c>
      <c r="B95" s="156" t="s">
        <v>78</v>
      </c>
      <c r="C95" s="155">
        <v>3090843.36</v>
      </c>
      <c r="D95" s="159">
        <v>298.67289159784013</v>
      </c>
      <c r="E95" s="160">
        <v>-1058132369.5641237</v>
      </c>
      <c r="F95" s="160">
        <v>-607764306.67178953</v>
      </c>
    </row>
    <row r="96" spans="1:6" x14ac:dyDescent="0.45">
      <c r="A96" s="155">
        <v>80</v>
      </c>
      <c r="B96" s="156" t="s">
        <v>78</v>
      </c>
      <c r="C96" s="155">
        <v>1227361.4099999999</v>
      </c>
      <c r="D96" s="159">
        <v>298.67289159784013</v>
      </c>
      <c r="E96" s="160">
        <v>-305574517.63544983</v>
      </c>
      <c r="F96" s="160">
        <v>-175514226.94284651</v>
      </c>
    </row>
    <row r="97" spans="1:6" x14ac:dyDescent="0.45">
      <c r="A97" s="155">
        <v>12</v>
      </c>
      <c r="B97" s="156" t="s">
        <v>79</v>
      </c>
      <c r="C97" s="155">
        <v>512755.65</v>
      </c>
      <c r="D97" s="159">
        <v>298.67289159784013</v>
      </c>
      <c r="E97" s="160">
        <v>13472760.517275212</v>
      </c>
      <c r="F97" s="160">
        <v>6348192.1421878515</v>
      </c>
    </row>
    <row r="98" spans="1:6" x14ac:dyDescent="0.45">
      <c r="A98" s="155">
        <v>13</v>
      </c>
      <c r="B98" s="156" t="s">
        <v>79</v>
      </c>
      <c r="C98" s="155">
        <v>512755.65</v>
      </c>
      <c r="D98" s="159">
        <v>298.67289159784013</v>
      </c>
      <c r="E98" s="160">
        <v>13472760.517275212</v>
      </c>
      <c r="F98" s="160">
        <v>6348192.1421878515</v>
      </c>
    </row>
    <row r="99" spans="1:6" x14ac:dyDescent="0.45">
      <c r="A99" s="155">
        <v>14</v>
      </c>
      <c r="B99" s="156" t="s">
        <v>79</v>
      </c>
      <c r="C99" s="155">
        <v>718725.15</v>
      </c>
      <c r="D99" s="159">
        <v>298.67289159784013</v>
      </c>
      <c r="E99" s="160">
        <v>18884651.634151109</v>
      </c>
      <c r="F99" s="160">
        <v>8898205.8990987372</v>
      </c>
    </row>
    <row r="100" spans="1:6" x14ac:dyDescent="0.45">
      <c r="A100" s="155">
        <v>49</v>
      </c>
      <c r="B100" s="156" t="s">
        <v>79</v>
      </c>
      <c r="C100" s="155">
        <v>1268338.5</v>
      </c>
      <c r="D100" s="159">
        <v>298.67289159784013</v>
      </c>
      <c r="E100" s="160">
        <v>62141036.179306142</v>
      </c>
      <c r="F100" s="160">
        <v>29280060.094165426</v>
      </c>
    </row>
    <row r="101" spans="1:6" x14ac:dyDescent="0.45">
      <c r="A101" s="155">
        <v>78</v>
      </c>
      <c r="B101" s="156" t="s">
        <v>79</v>
      </c>
      <c r="C101" s="155">
        <v>714172.14</v>
      </c>
      <c r="D101" s="159">
        <v>298.67289159784013</v>
      </c>
      <c r="E101" s="160">
        <v>25591899.916456662</v>
      </c>
      <c r="F101" s="160">
        <v>12058575.356176626</v>
      </c>
    </row>
    <row r="102" spans="1:6" x14ac:dyDescent="0.45">
      <c r="A102" s="155">
        <v>79</v>
      </c>
      <c r="B102" s="156" t="s">
        <v>79</v>
      </c>
      <c r="C102" s="155">
        <v>714172.14</v>
      </c>
      <c r="D102" s="159">
        <v>298.67289159784013</v>
      </c>
      <c r="E102" s="160">
        <v>25591899.916456662</v>
      </c>
      <c r="F102" s="160">
        <v>12058575.356176626</v>
      </c>
    </row>
    <row r="103" spans="1:6" x14ac:dyDescent="0.45">
      <c r="A103" s="155">
        <v>81</v>
      </c>
      <c r="B103" s="156" t="s">
        <v>79</v>
      </c>
      <c r="C103" s="155">
        <v>1808195.4</v>
      </c>
      <c r="D103" s="159">
        <v>298.67289159784013</v>
      </c>
      <c r="E103" s="160">
        <v>105558067.11683585</v>
      </c>
      <c r="F103" s="160">
        <v>49737608.811122783</v>
      </c>
    </row>
    <row r="104" spans="1:6" x14ac:dyDescent="0.45">
      <c r="A104" s="155">
        <v>103</v>
      </c>
      <c r="B104" s="156" t="s">
        <v>79</v>
      </c>
      <c r="C104" s="155">
        <v>1914432.3</v>
      </c>
      <c r="D104" s="159">
        <v>298.67289159784013</v>
      </c>
      <c r="E104" s="160">
        <v>65900960.001486987</v>
      </c>
      <c r="F104" s="160">
        <v>31051688.026886847</v>
      </c>
    </row>
    <row r="105" spans="1:6" x14ac:dyDescent="0.45">
      <c r="A105" s="155">
        <v>104</v>
      </c>
      <c r="B105" s="156" t="s">
        <v>79</v>
      </c>
      <c r="C105" s="155">
        <v>1914432.3</v>
      </c>
      <c r="D105" s="159">
        <v>298.67289159784013</v>
      </c>
      <c r="E105" s="160">
        <v>65900960.001486987</v>
      </c>
      <c r="F105" s="160">
        <v>31051688.026886847</v>
      </c>
    </row>
    <row r="106" spans="1:6" x14ac:dyDescent="0.45">
      <c r="A106" s="155">
        <v>105</v>
      </c>
      <c r="B106" s="156" t="s">
        <v>79</v>
      </c>
      <c r="C106" s="155">
        <v>1750740.75</v>
      </c>
      <c r="D106" s="159">
        <v>298.67289159784013</v>
      </c>
      <c r="E106" s="160">
        <v>50797691.921631537</v>
      </c>
      <c r="F106" s="160">
        <v>23935221.61133207</v>
      </c>
    </row>
    <row r="107" spans="1:6" x14ac:dyDescent="0.45">
      <c r="E107" s="112"/>
    </row>
    <row r="108" spans="1:6" x14ac:dyDescent="0.45">
      <c r="E108" s="112"/>
    </row>
    <row r="109" spans="1:6" x14ac:dyDescent="0.45">
      <c r="E109" s="112"/>
    </row>
    <row r="110" spans="1:6" x14ac:dyDescent="0.45">
      <c r="E110" s="112"/>
    </row>
    <row r="111" spans="1:6" x14ac:dyDescent="0.45">
      <c r="E111" s="112"/>
    </row>
    <row r="112" spans="1:6" x14ac:dyDescent="0.45">
      <c r="E112" s="112"/>
    </row>
    <row r="113" spans="5:5" x14ac:dyDescent="0.45">
      <c r="E113" s="112"/>
    </row>
    <row r="114" spans="5:5" x14ac:dyDescent="0.45">
      <c r="E114" s="112"/>
    </row>
    <row r="115" spans="5:5" x14ac:dyDescent="0.45">
      <c r="E115" s="112"/>
    </row>
    <row r="116" spans="5:5" x14ac:dyDescent="0.45">
      <c r="E116" s="112"/>
    </row>
    <row r="117" spans="5:5" x14ac:dyDescent="0.45">
      <c r="E117" s="112"/>
    </row>
    <row r="118" spans="5:5" x14ac:dyDescent="0.45">
      <c r="E118" s="112"/>
    </row>
    <row r="119" spans="5:5" x14ac:dyDescent="0.45">
      <c r="E119" s="112"/>
    </row>
    <row r="120" spans="5:5" x14ac:dyDescent="0.45">
      <c r="E120" s="112"/>
    </row>
    <row r="121" spans="5:5" x14ac:dyDescent="0.45">
      <c r="E121" s="112"/>
    </row>
    <row r="122" spans="5:5" x14ac:dyDescent="0.45">
      <c r="E122" s="112"/>
    </row>
    <row r="123" spans="5:5" x14ac:dyDescent="0.45">
      <c r="E123" s="112"/>
    </row>
    <row r="124" spans="5:5" x14ac:dyDescent="0.45">
      <c r="E124" s="112"/>
    </row>
    <row r="125" spans="5:5" x14ac:dyDescent="0.45">
      <c r="E125" s="112"/>
    </row>
    <row r="126" spans="5:5" x14ac:dyDescent="0.45">
      <c r="E126" s="112"/>
    </row>
    <row r="127" spans="5:5" x14ac:dyDescent="0.45">
      <c r="E127" s="112"/>
    </row>
    <row r="128" spans="5:5" x14ac:dyDescent="0.45">
      <c r="E128" s="112"/>
    </row>
    <row r="129" spans="3:5" x14ac:dyDescent="0.45">
      <c r="E129" s="112"/>
    </row>
    <row r="130" spans="3:5" x14ac:dyDescent="0.45">
      <c r="E130" s="112"/>
    </row>
    <row r="131" spans="3:5" x14ac:dyDescent="0.45">
      <c r="E131" s="112"/>
    </row>
    <row r="132" spans="3:5" x14ac:dyDescent="0.45">
      <c r="E132" s="112"/>
    </row>
    <row r="133" spans="3:5" x14ac:dyDescent="0.45">
      <c r="C133" s="103"/>
      <c r="E133" s="112"/>
    </row>
    <row r="134" spans="3:5" x14ac:dyDescent="0.45">
      <c r="C134" s="103"/>
      <c r="E134" s="112"/>
    </row>
    <row r="135" spans="3:5" x14ac:dyDescent="0.45">
      <c r="C135" s="103"/>
      <c r="E135" s="11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6"/>
  <sheetViews>
    <sheetView zoomScale="80" zoomScaleNormal="80" workbookViewId="0">
      <pane ySplit="2" topLeftCell="A3" activePane="bottomLeft" state="frozen"/>
      <selection pane="bottomLeft"/>
    </sheetView>
  </sheetViews>
  <sheetFormatPr defaultColWidth="10.85546875" defaultRowHeight="15.9" x14ac:dyDescent="0.45"/>
  <cols>
    <col min="1" max="1" width="12.0703125" customWidth="1"/>
    <col min="2" max="2" width="13.0703125" customWidth="1"/>
    <col min="3" max="10" width="14.640625" customWidth="1"/>
  </cols>
  <sheetData>
    <row r="1" spans="1:11" ht="31.85" customHeight="1" x14ac:dyDescent="0.45">
      <c r="A1" s="80"/>
      <c r="C1" s="11" t="s">
        <v>108</v>
      </c>
    </row>
    <row r="2" spans="1:11" x14ac:dyDescent="0.45">
      <c r="A2" s="139" t="s">
        <v>91</v>
      </c>
      <c r="B2" s="139" t="s">
        <v>48</v>
      </c>
      <c r="C2" s="140">
        <v>2030</v>
      </c>
      <c r="D2" s="140">
        <v>2040</v>
      </c>
      <c r="E2" s="140">
        <v>2042</v>
      </c>
      <c r="F2" s="140">
        <v>2050</v>
      </c>
      <c r="G2" s="140">
        <v>2052</v>
      </c>
      <c r="H2" s="140">
        <v>2060</v>
      </c>
      <c r="I2" s="141">
        <v>2062</v>
      </c>
      <c r="J2" s="141"/>
      <c r="K2" s="141"/>
    </row>
    <row r="3" spans="1:11" x14ac:dyDescent="0.45">
      <c r="A3" s="155">
        <v>1</v>
      </c>
      <c r="B3" s="156" t="s">
        <v>60</v>
      </c>
      <c r="C3" s="157">
        <v>24.402100000000001</v>
      </c>
      <c r="D3" s="157">
        <v>27.242800000000003</v>
      </c>
      <c r="E3" s="138"/>
      <c r="F3" s="138"/>
      <c r="G3" s="138"/>
      <c r="I3" s="131"/>
    </row>
    <row r="4" spans="1:11" x14ac:dyDescent="0.45">
      <c r="A4" s="155">
        <v>2</v>
      </c>
      <c r="B4" s="156" t="s">
        <v>60</v>
      </c>
      <c r="C4" s="157">
        <v>24.402100000000001</v>
      </c>
      <c r="D4" s="157">
        <v>27.242800000000003</v>
      </c>
      <c r="E4" s="138"/>
      <c r="F4" s="138"/>
      <c r="G4" s="138"/>
      <c r="I4" s="131"/>
    </row>
    <row r="5" spans="1:11" x14ac:dyDescent="0.45">
      <c r="A5" s="155">
        <v>3</v>
      </c>
      <c r="B5" s="156" t="s">
        <v>60</v>
      </c>
      <c r="C5" s="157">
        <v>16.9208</v>
      </c>
      <c r="D5" s="157">
        <v>18.261800000000001</v>
      </c>
      <c r="E5" s="138"/>
      <c r="F5" s="138"/>
      <c r="G5" s="138"/>
      <c r="I5" s="131"/>
    </row>
    <row r="6" spans="1:11" x14ac:dyDescent="0.45">
      <c r="A6" s="155">
        <v>4</v>
      </c>
      <c r="B6" s="156" t="s">
        <v>60</v>
      </c>
      <c r="C6" s="157">
        <v>16.9208</v>
      </c>
      <c r="D6" s="157">
        <v>18.261800000000001</v>
      </c>
      <c r="E6" s="138"/>
      <c r="F6" s="138"/>
      <c r="G6" s="138"/>
      <c r="I6" s="131"/>
    </row>
    <row r="7" spans="1:11" x14ac:dyDescent="0.45">
      <c r="A7" s="155">
        <v>5</v>
      </c>
      <c r="B7" s="156" t="s">
        <v>60</v>
      </c>
      <c r="C7" s="157">
        <v>16.9208</v>
      </c>
      <c r="D7" s="157">
        <v>18.261800000000001</v>
      </c>
      <c r="E7" s="138"/>
      <c r="F7" s="138"/>
      <c r="G7" s="138"/>
      <c r="I7" s="131"/>
    </row>
    <row r="8" spans="1:11" x14ac:dyDescent="0.45">
      <c r="A8" s="155">
        <v>7</v>
      </c>
      <c r="B8" s="156" t="s">
        <v>60</v>
      </c>
      <c r="C8" s="157">
        <v>18.140599999999999</v>
      </c>
      <c r="D8" s="157">
        <v>19.168500000000002</v>
      </c>
      <c r="E8" s="138"/>
      <c r="F8" s="138"/>
      <c r="G8" s="138"/>
      <c r="I8" s="131"/>
    </row>
    <row r="9" spans="1:11" x14ac:dyDescent="0.45">
      <c r="A9" s="155">
        <v>8</v>
      </c>
      <c r="B9" s="156" t="s">
        <v>60</v>
      </c>
      <c r="C9" s="157">
        <v>18.140599999999999</v>
      </c>
      <c r="D9" s="157">
        <v>19.168500000000002</v>
      </c>
      <c r="E9" s="138"/>
      <c r="F9" s="138"/>
      <c r="G9" s="138"/>
      <c r="I9" s="131"/>
    </row>
    <row r="10" spans="1:11" x14ac:dyDescent="0.45">
      <c r="A10" s="155">
        <v>9</v>
      </c>
      <c r="B10" s="156" t="s">
        <v>60</v>
      </c>
      <c r="C10" s="157">
        <v>18.140599999999999</v>
      </c>
      <c r="D10" s="157">
        <v>19.168500000000002</v>
      </c>
      <c r="E10" s="138"/>
      <c r="F10" s="138"/>
      <c r="G10" s="138"/>
    </row>
    <row r="11" spans="1:11" x14ac:dyDescent="0.45">
      <c r="A11" s="155">
        <v>10</v>
      </c>
      <c r="B11" s="156" t="s">
        <v>60</v>
      </c>
      <c r="C11" s="157">
        <v>26.237200000000001</v>
      </c>
      <c r="D11" s="157">
        <v>29.038200000000003</v>
      </c>
      <c r="E11" s="138"/>
      <c r="F11" s="138"/>
      <c r="G11" s="138"/>
    </row>
    <row r="12" spans="1:11" x14ac:dyDescent="0.45">
      <c r="A12" s="155">
        <v>11</v>
      </c>
      <c r="B12" s="156" t="s">
        <v>60</v>
      </c>
      <c r="C12" s="157">
        <v>26.237200000000001</v>
      </c>
      <c r="D12" s="157">
        <v>29.038200000000003</v>
      </c>
      <c r="E12" s="138"/>
      <c r="F12" s="138"/>
      <c r="G12" s="138"/>
    </row>
    <row r="13" spans="1:11" x14ac:dyDescent="0.45">
      <c r="A13" s="155">
        <v>15</v>
      </c>
      <c r="B13" s="156" t="s">
        <v>60</v>
      </c>
      <c r="C13" s="157">
        <v>17.810700000000001</v>
      </c>
      <c r="D13" s="157">
        <v>18.8614</v>
      </c>
      <c r="E13" s="138"/>
      <c r="F13" s="138"/>
      <c r="G13" s="138"/>
    </row>
    <row r="14" spans="1:11" x14ac:dyDescent="0.45">
      <c r="A14" s="155">
        <v>16</v>
      </c>
      <c r="B14" s="156" t="s">
        <v>60</v>
      </c>
      <c r="C14" s="157">
        <v>30.875700000000002</v>
      </c>
      <c r="D14" s="157">
        <v>34.317599999999999</v>
      </c>
      <c r="E14" s="138"/>
      <c r="F14" s="138"/>
      <c r="G14" s="138"/>
    </row>
    <row r="15" spans="1:11" x14ac:dyDescent="0.45">
      <c r="A15" s="155">
        <v>17</v>
      </c>
      <c r="B15" s="156" t="s">
        <v>60</v>
      </c>
      <c r="C15" s="157">
        <v>19.261200000000002</v>
      </c>
      <c r="D15" s="157">
        <v>20.159600000000001</v>
      </c>
      <c r="E15" s="138"/>
      <c r="F15" s="138"/>
      <c r="G15" s="138"/>
    </row>
    <row r="16" spans="1:11" x14ac:dyDescent="0.45">
      <c r="A16" s="155">
        <v>18</v>
      </c>
      <c r="B16" s="156" t="s">
        <v>60</v>
      </c>
      <c r="C16" s="157">
        <v>19.261200000000002</v>
      </c>
      <c r="D16" s="157">
        <v>20.159600000000001</v>
      </c>
      <c r="E16" s="138"/>
      <c r="F16" s="138"/>
      <c r="G16" s="138"/>
    </row>
    <row r="17" spans="1:7" x14ac:dyDescent="0.45">
      <c r="A17" s="155">
        <v>21</v>
      </c>
      <c r="B17" s="156" t="s">
        <v>60</v>
      </c>
      <c r="C17" s="157">
        <v>19.345700000000001</v>
      </c>
      <c r="D17" s="157">
        <v>20.4237</v>
      </c>
      <c r="E17" s="138"/>
      <c r="F17" s="138"/>
      <c r="G17" s="138"/>
    </row>
    <row r="18" spans="1:7" x14ac:dyDescent="0.45">
      <c r="A18" s="155">
        <v>22</v>
      </c>
      <c r="B18" s="156" t="s">
        <v>60</v>
      </c>
      <c r="C18" s="157">
        <v>19.345700000000001</v>
      </c>
      <c r="D18" s="157">
        <v>20.4237</v>
      </c>
      <c r="E18" s="138"/>
      <c r="F18" s="138"/>
      <c r="G18" s="138"/>
    </row>
    <row r="19" spans="1:7" x14ac:dyDescent="0.45">
      <c r="A19" s="155">
        <v>23</v>
      </c>
      <c r="B19" s="156" t="s">
        <v>60</v>
      </c>
      <c r="C19" s="157">
        <v>19.345700000000001</v>
      </c>
      <c r="D19" s="157">
        <v>20.4237</v>
      </c>
      <c r="E19" s="138"/>
      <c r="F19" s="138"/>
      <c r="G19" s="138"/>
    </row>
    <row r="20" spans="1:7" x14ac:dyDescent="0.45">
      <c r="A20" s="155">
        <v>25</v>
      </c>
      <c r="B20" s="156" t="s">
        <v>60</v>
      </c>
      <c r="C20" s="157">
        <v>20.6479</v>
      </c>
      <c r="D20" s="157">
        <v>22.259900000000002</v>
      </c>
      <c r="E20" s="138"/>
      <c r="F20" s="138"/>
      <c r="G20" s="138"/>
    </row>
    <row r="21" spans="1:7" x14ac:dyDescent="0.45">
      <c r="A21" s="155">
        <v>26</v>
      </c>
      <c r="B21" s="156" t="s">
        <v>60</v>
      </c>
      <c r="C21" s="157">
        <v>22.931899999999999</v>
      </c>
      <c r="D21" s="157">
        <v>25.0441</v>
      </c>
      <c r="E21" s="138"/>
      <c r="F21" s="138"/>
      <c r="G21" s="138"/>
    </row>
    <row r="22" spans="1:7" x14ac:dyDescent="0.45">
      <c r="A22" s="155">
        <v>27</v>
      </c>
      <c r="B22" s="156" t="s">
        <v>60</v>
      </c>
      <c r="C22" s="157">
        <v>20.287100000000002</v>
      </c>
      <c r="D22" s="157">
        <v>22.365500000000001</v>
      </c>
      <c r="E22" s="138"/>
      <c r="F22" s="138"/>
      <c r="G22" s="138"/>
    </row>
    <row r="23" spans="1:7" x14ac:dyDescent="0.45">
      <c r="A23" s="155">
        <v>28</v>
      </c>
      <c r="B23" s="156" t="s">
        <v>60</v>
      </c>
      <c r="C23" s="157">
        <v>20.287100000000002</v>
      </c>
      <c r="D23" s="157">
        <v>22.365500000000001</v>
      </c>
      <c r="E23" s="138"/>
      <c r="F23" s="138"/>
      <c r="G23" s="138"/>
    </row>
    <row r="24" spans="1:7" x14ac:dyDescent="0.45">
      <c r="A24" s="155">
        <v>29</v>
      </c>
      <c r="B24" s="156" t="s">
        <v>60</v>
      </c>
      <c r="C24" s="157">
        <v>20.287100000000002</v>
      </c>
      <c r="D24" s="157">
        <v>22.365500000000001</v>
      </c>
      <c r="E24" s="138"/>
      <c r="F24" s="138"/>
      <c r="G24" s="138"/>
    </row>
    <row r="25" spans="1:7" x14ac:dyDescent="0.45">
      <c r="A25" s="155">
        <v>30</v>
      </c>
      <c r="B25" s="156" t="s">
        <v>60</v>
      </c>
      <c r="C25" s="157">
        <v>20.287100000000002</v>
      </c>
      <c r="D25" s="157">
        <v>22.365500000000001</v>
      </c>
      <c r="E25" s="138"/>
      <c r="F25" s="138"/>
      <c r="G25" s="138"/>
    </row>
    <row r="26" spans="1:7" x14ac:dyDescent="0.45">
      <c r="A26" s="155">
        <v>31</v>
      </c>
      <c r="B26" s="156" t="s">
        <v>60</v>
      </c>
      <c r="C26" s="157">
        <v>19.367000000000001</v>
      </c>
      <c r="D26" s="157">
        <v>21.2439</v>
      </c>
      <c r="E26" s="138"/>
      <c r="F26" s="138"/>
      <c r="G26" s="138"/>
    </row>
    <row r="27" spans="1:7" x14ac:dyDescent="0.45">
      <c r="A27" s="155">
        <v>32</v>
      </c>
      <c r="B27" s="156" t="s">
        <v>60</v>
      </c>
      <c r="C27" s="157">
        <v>19.367000000000001</v>
      </c>
      <c r="D27" s="157">
        <v>21.2439</v>
      </c>
      <c r="E27" s="138"/>
      <c r="F27" s="138"/>
      <c r="G27" s="138"/>
    </row>
    <row r="28" spans="1:7" x14ac:dyDescent="0.45">
      <c r="A28" s="155">
        <v>33</v>
      </c>
      <c r="B28" s="156" t="s">
        <v>60</v>
      </c>
      <c r="C28" s="157">
        <v>20.806699999999999</v>
      </c>
      <c r="D28" s="157">
        <v>22.998800000000003</v>
      </c>
      <c r="E28" s="138"/>
      <c r="F28" s="138"/>
      <c r="G28" s="138"/>
    </row>
    <row r="29" spans="1:7" x14ac:dyDescent="0.45">
      <c r="A29" s="155">
        <v>34</v>
      </c>
      <c r="B29" s="156" t="s">
        <v>60</v>
      </c>
      <c r="C29" s="157">
        <v>20.806699999999999</v>
      </c>
      <c r="D29" s="157">
        <v>22.998800000000003</v>
      </c>
      <c r="E29" s="138"/>
      <c r="F29" s="138"/>
      <c r="G29" s="138"/>
    </row>
    <row r="30" spans="1:7" x14ac:dyDescent="0.45">
      <c r="A30" s="155">
        <v>35</v>
      </c>
      <c r="B30" s="156" t="s">
        <v>60</v>
      </c>
      <c r="C30" s="157">
        <v>26.740500000000001</v>
      </c>
      <c r="D30" s="157">
        <v>28.856999999999999</v>
      </c>
      <c r="E30" s="138"/>
      <c r="F30" s="138"/>
      <c r="G30" s="138"/>
    </row>
    <row r="31" spans="1:7" x14ac:dyDescent="0.45">
      <c r="A31" s="155">
        <v>36</v>
      </c>
      <c r="B31" s="156" t="s">
        <v>60</v>
      </c>
      <c r="C31" s="157">
        <v>26.740500000000001</v>
      </c>
      <c r="D31" s="157">
        <v>28.856999999999999</v>
      </c>
      <c r="E31" s="138"/>
      <c r="F31" s="138"/>
      <c r="G31" s="138"/>
    </row>
    <row r="32" spans="1:7" x14ac:dyDescent="0.45">
      <c r="A32" s="155">
        <v>37</v>
      </c>
      <c r="B32" s="156" t="s">
        <v>60</v>
      </c>
      <c r="C32" s="157">
        <v>26.740500000000001</v>
      </c>
      <c r="D32" s="157">
        <v>28.856999999999999</v>
      </c>
      <c r="E32" s="138"/>
      <c r="F32" s="138"/>
      <c r="G32" s="138"/>
    </row>
    <row r="33" spans="1:7" x14ac:dyDescent="0.45">
      <c r="A33" s="155">
        <v>38</v>
      </c>
      <c r="B33" s="156" t="s">
        <v>60</v>
      </c>
      <c r="C33" s="157">
        <v>21.9389</v>
      </c>
      <c r="D33" s="157">
        <v>23.343699999999998</v>
      </c>
      <c r="E33" s="138"/>
      <c r="F33" s="138"/>
      <c r="G33" s="138"/>
    </row>
    <row r="34" spans="1:7" x14ac:dyDescent="0.45">
      <c r="A34" s="155">
        <v>39</v>
      </c>
      <c r="B34" s="156" t="s">
        <v>60</v>
      </c>
      <c r="C34" s="157">
        <v>21.9389</v>
      </c>
      <c r="D34" s="157">
        <v>23.343699999999998</v>
      </c>
      <c r="E34" s="138"/>
      <c r="F34" s="138"/>
      <c r="G34" s="138"/>
    </row>
    <row r="35" spans="1:7" x14ac:dyDescent="0.45">
      <c r="A35" s="155">
        <v>40</v>
      </c>
      <c r="B35" s="156" t="s">
        <v>60</v>
      </c>
      <c r="C35" s="157">
        <v>31.216299999999997</v>
      </c>
      <c r="D35" s="157">
        <v>34.312899999999999</v>
      </c>
      <c r="E35" s="138"/>
      <c r="F35" s="138"/>
      <c r="G35" s="138"/>
    </row>
    <row r="36" spans="1:7" x14ac:dyDescent="0.45">
      <c r="A36" s="155">
        <v>41</v>
      </c>
      <c r="B36" s="156" t="s">
        <v>60</v>
      </c>
      <c r="C36" s="157">
        <v>27.530700000000003</v>
      </c>
      <c r="D36" s="157">
        <v>29.8202</v>
      </c>
      <c r="E36" s="138"/>
      <c r="F36" s="138"/>
      <c r="G36" s="138"/>
    </row>
    <row r="37" spans="1:7" x14ac:dyDescent="0.45">
      <c r="A37" s="155">
        <v>42</v>
      </c>
      <c r="B37" s="156" t="s">
        <v>60</v>
      </c>
      <c r="C37" s="157">
        <v>27.530700000000003</v>
      </c>
      <c r="D37" s="157">
        <v>29.8202</v>
      </c>
      <c r="E37" s="138"/>
      <c r="F37" s="138"/>
      <c r="G37" s="138"/>
    </row>
    <row r="38" spans="1:7" x14ac:dyDescent="0.45">
      <c r="A38" s="155">
        <v>43</v>
      </c>
      <c r="B38" s="156" t="s">
        <v>60</v>
      </c>
      <c r="C38" s="157">
        <v>27.530700000000003</v>
      </c>
      <c r="D38" s="157">
        <v>29.8202</v>
      </c>
      <c r="E38" s="138"/>
      <c r="F38" s="138"/>
      <c r="G38" s="138"/>
    </row>
    <row r="39" spans="1:7" x14ac:dyDescent="0.45">
      <c r="A39" s="155">
        <v>44</v>
      </c>
      <c r="B39" s="156" t="s">
        <v>60</v>
      </c>
      <c r="C39" s="157">
        <v>30.434600000000003</v>
      </c>
      <c r="D39" s="157">
        <v>33.36</v>
      </c>
      <c r="E39" s="138"/>
      <c r="F39" s="138"/>
      <c r="G39" s="138"/>
    </row>
    <row r="40" spans="1:7" x14ac:dyDescent="0.45">
      <c r="A40" s="155">
        <v>45</v>
      </c>
      <c r="B40" s="156" t="s">
        <v>60</v>
      </c>
      <c r="C40" s="157">
        <v>30.434600000000003</v>
      </c>
      <c r="D40" s="157">
        <v>33.36</v>
      </c>
      <c r="E40" s="138"/>
      <c r="F40" s="138"/>
      <c r="G40" s="138"/>
    </row>
    <row r="41" spans="1:7" x14ac:dyDescent="0.45">
      <c r="A41" s="155">
        <v>46</v>
      </c>
      <c r="B41" s="156" t="s">
        <v>60</v>
      </c>
      <c r="C41" s="157">
        <v>28.602600000000002</v>
      </c>
      <c r="D41" s="157">
        <v>31.126799999999996</v>
      </c>
      <c r="E41" s="138"/>
      <c r="F41" s="138"/>
      <c r="G41" s="138"/>
    </row>
    <row r="42" spans="1:7" x14ac:dyDescent="0.45">
      <c r="A42" s="155">
        <v>47</v>
      </c>
      <c r="B42" s="156" t="s">
        <v>60</v>
      </c>
      <c r="C42" s="157">
        <v>28.602600000000002</v>
      </c>
      <c r="D42" s="157">
        <v>31.126799999999996</v>
      </c>
      <c r="E42" s="138"/>
      <c r="F42" s="138"/>
      <c r="G42" s="138"/>
    </row>
    <row r="43" spans="1:7" x14ac:dyDescent="0.45">
      <c r="A43" s="155">
        <v>48</v>
      </c>
      <c r="B43" s="156" t="s">
        <v>60</v>
      </c>
      <c r="C43" s="157">
        <v>28.602600000000002</v>
      </c>
      <c r="D43" s="157">
        <v>31.126799999999996</v>
      </c>
      <c r="E43" s="138"/>
      <c r="F43" s="138"/>
      <c r="G43" s="138"/>
    </row>
    <row r="44" spans="1:7" x14ac:dyDescent="0.45">
      <c r="A44" s="155">
        <v>50</v>
      </c>
      <c r="B44" s="156" t="s">
        <v>60</v>
      </c>
      <c r="C44" s="157">
        <v>28.782600000000002</v>
      </c>
      <c r="D44" s="157">
        <v>31.346299999999999</v>
      </c>
      <c r="E44" s="138"/>
      <c r="F44" s="138"/>
      <c r="G44" s="138"/>
    </row>
    <row r="45" spans="1:7" x14ac:dyDescent="0.45">
      <c r="A45" s="155">
        <v>51</v>
      </c>
      <c r="B45" s="156" t="s">
        <v>60</v>
      </c>
      <c r="C45" s="157">
        <v>28.782600000000002</v>
      </c>
      <c r="D45" s="157">
        <v>31.346299999999999</v>
      </c>
      <c r="E45" s="138"/>
      <c r="F45" s="138"/>
      <c r="G45" s="138"/>
    </row>
    <row r="46" spans="1:7" x14ac:dyDescent="0.45">
      <c r="A46" s="155">
        <v>52</v>
      </c>
      <c r="B46" s="156" t="s">
        <v>60</v>
      </c>
      <c r="C46" s="157">
        <v>20.925800000000002</v>
      </c>
      <c r="D46" s="157">
        <v>23.143900000000002</v>
      </c>
      <c r="E46" s="138"/>
      <c r="F46" s="138"/>
      <c r="G46" s="138"/>
    </row>
    <row r="47" spans="1:7" x14ac:dyDescent="0.45">
      <c r="A47" s="155">
        <v>53</v>
      </c>
      <c r="B47" s="156" t="s">
        <v>60</v>
      </c>
      <c r="C47" s="157">
        <v>20.925800000000002</v>
      </c>
      <c r="D47" s="157">
        <v>23.143900000000002</v>
      </c>
      <c r="E47" s="138"/>
      <c r="F47" s="138"/>
      <c r="G47" s="138"/>
    </row>
    <row r="48" spans="1:7" x14ac:dyDescent="0.45">
      <c r="A48" s="155">
        <v>54</v>
      </c>
      <c r="B48" s="156" t="s">
        <v>60</v>
      </c>
      <c r="C48" s="157">
        <v>27.153399999999998</v>
      </c>
      <c r="D48" s="157">
        <v>30.189999999999998</v>
      </c>
      <c r="E48" s="138"/>
      <c r="F48" s="138"/>
      <c r="G48" s="138"/>
    </row>
    <row r="49" spans="1:7" x14ac:dyDescent="0.45">
      <c r="A49" s="155">
        <v>55</v>
      </c>
      <c r="B49" s="156" t="s">
        <v>60</v>
      </c>
      <c r="C49" s="157">
        <v>27.153399999999998</v>
      </c>
      <c r="D49" s="157">
        <v>30.189999999999998</v>
      </c>
      <c r="E49" s="138"/>
      <c r="F49" s="138"/>
      <c r="G49" s="138"/>
    </row>
    <row r="50" spans="1:7" x14ac:dyDescent="0.45">
      <c r="A50" s="155">
        <v>56</v>
      </c>
      <c r="B50" s="156" t="s">
        <v>60</v>
      </c>
      <c r="C50" s="157">
        <v>27.153399999999998</v>
      </c>
      <c r="D50" s="157">
        <v>30.189999999999998</v>
      </c>
      <c r="E50" s="138"/>
      <c r="F50" s="138"/>
      <c r="G50" s="138"/>
    </row>
    <row r="51" spans="1:7" x14ac:dyDescent="0.45">
      <c r="A51" s="155">
        <v>57</v>
      </c>
      <c r="B51" s="156" t="s">
        <v>60</v>
      </c>
      <c r="C51" s="157">
        <v>27.153399999999998</v>
      </c>
      <c r="D51" s="157">
        <v>30.189999999999998</v>
      </c>
      <c r="E51" s="138"/>
      <c r="F51" s="138"/>
      <c r="G51" s="138"/>
    </row>
    <row r="52" spans="1:7" x14ac:dyDescent="0.45">
      <c r="A52" s="155">
        <v>58</v>
      </c>
      <c r="B52" s="156" t="s">
        <v>60</v>
      </c>
      <c r="C52" s="157">
        <v>24.297900000000002</v>
      </c>
      <c r="D52" s="157">
        <v>25.933599999999998</v>
      </c>
      <c r="E52" s="138"/>
      <c r="F52" s="138"/>
      <c r="G52" s="138"/>
    </row>
    <row r="53" spans="1:7" x14ac:dyDescent="0.45">
      <c r="A53" s="155">
        <v>59</v>
      </c>
      <c r="B53" s="156" t="s">
        <v>60</v>
      </c>
      <c r="C53" s="157">
        <v>24.297900000000002</v>
      </c>
      <c r="D53" s="157">
        <v>25.933599999999998</v>
      </c>
      <c r="E53" s="138"/>
      <c r="F53" s="138"/>
      <c r="G53" s="138"/>
    </row>
    <row r="54" spans="1:7" x14ac:dyDescent="0.45">
      <c r="A54" s="155">
        <v>60</v>
      </c>
      <c r="B54" s="156" t="s">
        <v>60</v>
      </c>
      <c r="C54" s="157">
        <v>24.297900000000002</v>
      </c>
      <c r="D54" s="157">
        <v>25.933599999999998</v>
      </c>
      <c r="E54" s="138"/>
      <c r="F54" s="138"/>
      <c r="G54" s="138"/>
    </row>
    <row r="55" spans="1:7" x14ac:dyDescent="0.45">
      <c r="A55" s="155">
        <v>61</v>
      </c>
      <c r="B55" s="156" t="s">
        <v>60</v>
      </c>
      <c r="C55" s="157">
        <v>26.599800000000002</v>
      </c>
      <c r="D55" s="157">
        <v>28.685399999999998</v>
      </c>
      <c r="E55" s="138"/>
      <c r="F55" s="138"/>
      <c r="G55" s="138"/>
    </row>
    <row r="56" spans="1:7" x14ac:dyDescent="0.45">
      <c r="A56" s="155">
        <v>62</v>
      </c>
      <c r="B56" s="156" t="s">
        <v>60</v>
      </c>
      <c r="C56" s="157">
        <v>26.599800000000002</v>
      </c>
      <c r="D56" s="157">
        <v>28.685399999999998</v>
      </c>
      <c r="E56" s="138"/>
      <c r="F56" s="138"/>
      <c r="G56" s="138"/>
    </row>
    <row r="57" spans="1:7" x14ac:dyDescent="0.45">
      <c r="A57" s="155">
        <v>63</v>
      </c>
      <c r="B57" s="156" t="s">
        <v>60</v>
      </c>
      <c r="C57" s="157">
        <v>27.216799999999999</v>
      </c>
      <c r="D57" s="157">
        <v>29.4375</v>
      </c>
      <c r="E57" s="138"/>
      <c r="F57" s="138"/>
      <c r="G57" s="138"/>
    </row>
    <row r="58" spans="1:7" x14ac:dyDescent="0.45">
      <c r="A58" s="155">
        <v>64</v>
      </c>
      <c r="B58" s="156" t="s">
        <v>60</v>
      </c>
      <c r="C58" s="157">
        <v>27.216799999999999</v>
      </c>
      <c r="D58" s="157">
        <v>29.4375</v>
      </c>
      <c r="E58" s="138"/>
      <c r="F58" s="138"/>
      <c r="G58" s="138"/>
    </row>
    <row r="59" spans="1:7" x14ac:dyDescent="0.45">
      <c r="A59" s="155">
        <v>65</v>
      </c>
      <c r="B59" s="156" t="s">
        <v>60</v>
      </c>
      <c r="C59" s="157">
        <v>27.216799999999999</v>
      </c>
      <c r="D59" s="157">
        <v>29.4375</v>
      </c>
      <c r="E59" s="138"/>
      <c r="F59" s="138"/>
      <c r="G59" s="138"/>
    </row>
    <row r="60" spans="1:7" x14ac:dyDescent="0.45">
      <c r="A60" s="155">
        <v>66</v>
      </c>
      <c r="B60" s="156" t="s">
        <v>60</v>
      </c>
      <c r="C60" s="157">
        <v>24.073600000000003</v>
      </c>
      <c r="D60" s="157">
        <v>25.606000000000002</v>
      </c>
      <c r="E60" s="138"/>
      <c r="F60" s="138"/>
      <c r="G60" s="138"/>
    </row>
    <row r="61" spans="1:7" x14ac:dyDescent="0.45">
      <c r="A61" s="155">
        <v>67</v>
      </c>
      <c r="B61" s="156" t="s">
        <v>60</v>
      </c>
      <c r="C61" s="157">
        <v>24.073600000000003</v>
      </c>
      <c r="D61" s="157">
        <v>25.606000000000002</v>
      </c>
      <c r="E61" s="138"/>
      <c r="F61" s="138"/>
      <c r="G61" s="138"/>
    </row>
    <row r="62" spans="1:7" x14ac:dyDescent="0.45">
      <c r="A62" s="155">
        <v>68</v>
      </c>
      <c r="B62" s="156" t="s">
        <v>60</v>
      </c>
      <c r="C62" s="157">
        <v>29.6631</v>
      </c>
      <c r="D62" s="157">
        <v>32.419499999999999</v>
      </c>
      <c r="E62" s="138"/>
      <c r="F62" s="138"/>
      <c r="G62" s="138"/>
    </row>
    <row r="63" spans="1:7" x14ac:dyDescent="0.45">
      <c r="A63" s="155">
        <v>69</v>
      </c>
      <c r="B63" s="156" t="s">
        <v>60</v>
      </c>
      <c r="C63" s="157">
        <v>29.6631</v>
      </c>
      <c r="D63" s="157">
        <v>32.419499999999999</v>
      </c>
      <c r="E63" s="138"/>
      <c r="F63" s="138"/>
      <c r="G63" s="138"/>
    </row>
    <row r="64" spans="1:7" x14ac:dyDescent="0.45">
      <c r="A64" s="155">
        <v>70</v>
      </c>
      <c r="B64" s="156" t="s">
        <v>60</v>
      </c>
      <c r="C64" s="157">
        <v>29.6631</v>
      </c>
      <c r="D64" s="157">
        <v>32.419499999999999</v>
      </c>
      <c r="E64" s="138"/>
      <c r="F64" s="138"/>
      <c r="G64" s="138"/>
    </row>
    <row r="65" spans="1:9" x14ac:dyDescent="0.45">
      <c r="A65" s="155">
        <v>71</v>
      </c>
      <c r="B65" s="156" t="s">
        <v>60</v>
      </c>
      <c r="C65" s="157">
        <v>27.032</v>
      </c>
      <c r="D65" s="157">
        <v>29.212299999999999</v>
      </c>
      <c r="E65" s="138"/>
      <c r="F65" s="138"/>
      <c r="G65" s="138"/>
    </row>
    <row r="66" spans="1:9" x14ac:dyDescent="0.45">
      <c r="A66" s="155">
        <v>73</v>
      </c>
      <c r="B66" s="156" t="s">
        <v>60</v>
      </c>
      <c r="C66" s="157">
        <v>20.527000000000001</v>
      </c>
      <c r="D66" s="157">
        <v>22.519100000000002</v>
      </c>
      <c r="E66" s="138"/>
      <c r="F66" s="138"/>
      <c r="G66" s="138"/>
    </row>
    <row r="67" spans="1:9" x14ac:dyDescent="0.45">
      <c r="A67" s="155">
        <v>76</v>
      </c>
      <c r="B67" s="156" t="s">
        <v>60</v>
      </c>
      <c r="C67" s="157">
        <v>28.397300000000001</v>
      </c>
      <c r="D67" s="157">
        <v>31.072099999999999</v>
      </c>
      <c r="E67" s="138"/>
      <c r="F67" s="138"/>
      <c r="G67" s="138"/>
    </row>
    <row r="68" spans="1:9" x14ac:dyDescent="0.45">
      <c r="A68" s="155">
        <v>82</v>
      </c>
      <c r="B68" s="156" t="s">
        <v>60</v>
      </c>
      <c r="C68" s="157">
        <v>17.593600000000002</v>
      </c>
      <c r="D68" s="157">
        <v>18.943200000000001</v>
      </c>
      <c r="E68" s="138"/>
      <c r="F68" s="138"/>
      <c r="G68" s="138"/>
    </row>
    <row r="69" spans="1:9" x14ac:dyDescent="0.45">
      <c r="A69" s="155">
        <v>83</v>
      </c>
      <c r="B69" s="156" t="s">
        <v>60</v>
      </c>
      <c r="C69" s="157">
        <v>17.593600000000002</v>
      </c>
      <c r="D69" s="157">
        <v>18.943200000000001</v>
      </c>
      <c r="E69" s="138"/>
      <c r="F69" s="138"/>
      <c r="G69" s="138"/>
      <c r="H69" s="138"/>
      <c r="I69" s="138"/>
    </row>
    <row r="70" spans="1:9" x14ac:dyDescent="0.45">
      <c r="A70" s="155">
        <v>84</v>
      </c>
      <c r="B70" s="156" t="s">
        <v>60</v>
      </c>
      <c r="C70" s="157">
        <v>17.593600000000002</v>
      </c>
      <c r="D70" s="157">
        <v>18.943200000000001</v>
      </c>
      <c r="E70" s="138"/>
      <c r="F70" s="138"/>
      <c r="G70" s="138"/>
      <c r="H70" s="138"/>
      <c r="I70" s="138"/>
    </row>
    <row r="71" spans="1:9" x14ac:dyDescent="0.45">
      <c r="A71" s="155">
        <v>85</v>
      </c>
      <c r="B71" s="156" t="s">
        <v>60</v>
      </c>
      <c r="C71" s="157">
        <v>17.593600000000002</v>
      </c>
      <c r="D71" s="157">
        <v>18.943200000000001</v>
      </c>
      <c r="E71" s="138"/>
      <c r="F71" s="138"/>
      <c r="G71" s="138"/>
      <c r="H71" s="138"/>
      <c r="I71" s="138"/>
    </row>
    <row r="72" spans="1:9" x14ac:dyDescent="0.45">
      <c r="A72" s="155">
        <v>87</v>
      </c>
      <c r="B72" s="156" t="s">
        <v>60</v>
      </c>
      <c r="C72" s="157">
        <v>15.242600000000001</v>
      </c>
      <c r="D72" s="157">
        <v>15.8985</v>
      </c>
      <c r="E72" s="138"/>
      <c r="F72" s="138"/>
      <c r="G72" s="138"/>
      <c r="H72" s="138"/>
      <c r="I72" s="138"/>
    </row>
    <row r="73" spans="1:9" x14ac:dyDescent="0.45">
      <c r="A73" s="155">
        <v>88</v>
      </c>
      <c r="B73" s="156" t="s">
        <v>60</v>
      </c>
      <c r="C73" s="157">
        <v>15.242600000000001</v>
      </c>
      <c r="D73" s="157">
        <v>15.8985</v>
      </c>
      <c r="E73" s="138"/>
      <c r="F73" s="138"/>
      <c r="G73" s="138"/>
      <c r="H73" s="138"/>
      <c r="I73" s="138"/>
    </row>
    <row r="74" spans="1:9" x14ac:dyDescent="0.45">
      <c r="A74" s="155">
        <v>89</v>
      </c>
      <c r="B74" s="156" t="s">
        <v>60</v>
      </c>
      <c r="C74" s="157">
        <v>19.356300000000001</v>
      </c>
      <c r="D74" s="157">
        <v>21.230699999999999</v>
      </c>
      <c r="E74" s="138"/>
      <c r="F74" s="138"/>
      <c r="G74" s="138"/>
      <c r="H74" s="138"/>
      <c r="I74" s="138"/>
    </row>
    <row r="75" spans="1:9" x14ac:dyDescent="0.45">
      <c r="A75" s="155">
        <v>90</v>
      </c>
      <c r="B75" s="156" t="s">
        <v>60</v>
      </c>
      <c r="C75" s="157">
        <v>19.356300000000001</v>
      </c>
      <c r="D75" s="157">
        <v>21.230699999999999</v>
      </c>
      <c r="E75" s="138"/>
      <c r="F75" s="138"/>
      <c r="G75" s="138"/>
      <c r="H75" s="138"/>
      <c r="I75" s="138"/>
    </row>
    <row r="76" spans="1:9" x14ac:dyDescent="0.45">
      <c r="A76" s="155">
        <v>91</v>
      </c>
      <c r="B76" s="156" t="s">
        <v>60</v>
      </c>
      <c r="C76" s="157">
        <v>17.400600000000001</v>
      </c>
      <c r="D76" s="157">
        <v>18.301500000000001</v>
      </c>
      <c r="E76" s="138"/>
      <c r="F76" s="138"/>
      <c r="G76" s="138"/>
      <c r="H76" s="138"/>
      <c r="I76" s="138"/>
    </row>
    <row r="77" spans="1:9" x14ac:dyDescent="0.45">
      <c r="A77" s="155">
        <v>93</v>
      </c>
      <c r="B77" s="156" t="s">
        <v>60</v>
      </c>
      <c r="C77" s="157">
        <v>21.626100000000001</v>
      </c>
      <c r="D77" s="157">
        <v>23.417200000000001</v>
      </c>
      <c r="E77" s="138"/>
      <c r="F77" s="138"/>
      <c r="G77" s="138"/>
      <c r="H77" s="138"/>
      <c r="I77" s="138"/>
    </row>
    <row r="78" spans="1:9" x14ac:dyDescent="0.45">
      <c r="A78" s="155">
        <v>94</v>
      </c>
      <c r="B78" s="156" t="s">
        <v>60</v>
      </c>
      <c r="C78" s="157">
        <v>21.626100000000001</v>
      </c>
      <c r="D78" s="157">
        <v>23.417200000000001</v>
      </c>
      <c r="E78" s="138"/>
      <c r="F78" s="138"/>
      <c r="G78" s="138"/>
      <c r="H78" s="138"/>
      <c r="I78" s="138"/>
    </row>
    <row r="79" spans="1:9" x14ac:dyDescent="0.45">
      <c r="A79" s="155">
        <v>96</v>
      </c>
      <c r="B79" s="156" t="s">
        <v>60</v>
      </c>
      <c r="C79" s="157">
        <v>19.871700000000001</v>
      </c>
      <c r="D79" s="157">
        <v>21.4909</v>
      </c>
      <c r="E79" s="138"/>
      <c r="F79" s="138"/>
      <c r="G79" s="138"/>
      <c r="H79" s="138"/>
      <c r="I79" s="138"/>
    </row>
    <row r="80" spans="1:9" x14ac:dyDescent="0.45">
      <c r="A80" s="155">
        <v>98</v>
      </c>
      <c r="B80" s="156" t="s">
        <v>60</v>
      </c>
      <c r="C80" s="157">
        <v>18.655000000000001</v>
      </c>
      <c r="D80" s="157">
        <v>19.890599999999999</v>
      </c>
      <c r="E80" s="138"/>
      <c r="F80" s="138"/>
      <c r="G80" s="138"/>
      <c r="H80" s="138"/>
      <c r="I80" s="138"/>
    </row>
    <row r="81" spans="1:9" x14ac:dyDescent="0.45">
      <c r="A81" s="155">
        <v>100</v>
      </c>
      <c r="B81" s="156" t="s">
        <v>60</v>
      </c>
      <c r="C81" s="157">
        <v>22.078900000000001</v>
      </c>
      <c r="D81" s="157">
        <v>23.2287</v>
      </c>
      <c r="E81" s="138"/>
      <c r="F81" s="138"/>
      <c r="G81" s="138"/>
      <c r="H81" s="138"/>
      <c r="I81" s="138"/>
    </row>
    <row r="82" spans="1:9" x14ac:dyDescent="0.45">
      <c r="A82" s="155">
        <v>101</v>
      </c>
      <c r="B82" s="156" t="s">
        <v>60</v>
      </c>
      <c r="C82" s="157">
        <v>22.078900000000001</v>
      </c>
      <c r="D82" s="157">
        <v>23.2287</v>
      </c>
      <c r="E82" s="138"/>
      <c r="F82" s="138"/>
      <c r="G82" s="138"/>
      <c r="H82" s="138"/>
      <c r="I82" s="138"/>
    </row>
    <row r="83" spans="1:9" x14ac:dyDescent="0.45">
      <c r="A83" s="155">
        <v>102</v>
      </c>
      <c r="B83" s="156" t="s">
        <v>60</v>
      </c>
      <c r="C83" s="157">
        <v>29.398800000000001</v>
      </c>
      <c r="D83" s="158">
        <v>32.0974</v>
      </c>
      <c r="E83" s="138"/>
      <c r="F83" s="138"/>
      <c r="G83" s="138"/>
      <c r="H83" s="138"/>
      <c r="I83" s="138"/>
    </row>
    <row r="84" spans="1:9" x14ac:dyDescent="0.45">
      <c r="A84" s="155">
        <v>6</v>
      </c>
      <c r="B84" s="156" t="s">
        <v>70</v>
      </c>
      <c r="C84" s="138"/>
      <c r="D84" s="157">
        <v>22.880600000000001</v>
      </c>
      <c r="E84" s="157">
        <v>22.997199999999999</v>
      </c>
      <c r="F84" s="157">
        <v>22.8093</v>
      </c>
      <c r="G84" s="138"/>
      <c r="H84" s="138"/>
      <c r="I84" s="138"/>
    </row>
    <row r="85" spans="1:9" x14ac:dyDescent="0.45">
      <c r="A85" s="155">
        <v>19</v>
      </c>
      <c r="B85" s="156" t="s">
        <v>70</v>
      </c>
      <c r="C85" s="138"/>
      <c r="D85" s="157">
        <v>20.161799999999999</v>
      </c>
      <c r="E85" s="157">
        <v>33.034799999999997</v>
      </c>
      <c r="F85" s="157">
        <v>29.654199999999999</v>
      </c>
      <c r="G85" s="138"/>
      <c r="H85" s="138"/>
      <c r="I85" s="138"/>
    </row>
    <row r="86" spans="1:9" x14ac:dyDescent="0.45">
      <c r="A86" s="155">
        <v>20</v>
      </c>
      <c r="B86" s="156" t="s">
        <v>70</v>
      </c>
      <c r="C86" s="138"/>
      <c r="D86" s="157">
        <v>20.161799999999999</v>
      </c>
      <c r="E86" s="157">
        <v>33.034799999999997</v>
      </c>
      <c r="F86" s="157">
        <v>29.654199999999999</v>
      </c>
      <c r="G86" s="138"/>
      <c r="H86" s="138"/>
      <c r="I86" s="138"/>
    </row>
    <row r="87" spans="1:9" x14ac:dyDescent="0.45">
      <c r="A87" s="155">
        <v>24</v>
      </c>
      <c r="B87" s="156" t="s">
        <v>70</v>
      </c>
      <c r="C87" s="138"/>
      <c r="D87" s="157">
        <v>22.002299999999998</v>
      </c>
      <c r="E87" s="157">
        <v>28.963200000000001</v>
      </c>
      <c r="F87" s="157">
        <v>27.091799999999999</v>
      </c>
      <c r="G87" s="138"/>
      <c r="H87" s="138"/>
      <c r="I87" s="138"/>
    </row>
    <row r="88" spans="1:9" x14ac:dyDescent="0.45">
      <c r="A88" s="155">
        <v>72</v>
      </c>
      <c r="B88" s="156" t="s">
        <v>70</v>
      </c>
      <c r="C88" s="138"/>
      <c r="D88" s="157">
        <v>29.210599999999999</v>
      </c>
      <c r="E88" s="157">
        <v>170.82279999999997</v>
      </c>
      <c r="F88" s="157">
        <v>187.80959999999999</v>
      </c>
      <c r="G88" s="138"/>
      <c r="H88" s="138"/>
      <c r="I88" s="138"/>
    </row>
    <row r="89" spans="1:9" x14ac:dyDescent="0.45">
      <c r="A89" s="155">
        <v>74</v>
      </c>
      <c r="B89" s="156" t="s">
        <v>70</v>
      </c>
      <c r="C89" s="138"/>
      <c r="D89" s="157">
        <v>25.002899999999997</v>
      </c>
      <c r="E89" s="157">
        <v>42.731400000000001</v>
      </c>
      <c r="F89" s="157">
        <v>39.167199999999994</v>
      </c>
      <c r="G89" s="138"/>
      <c r="H89" s="138"/>
      <c r="I89" s="138"/>
    </row>
    <row r="90" spans="1:9" x14ac:dyDescent="0.45">
      <c r="A90" s="155">
        <v>77</v>
      </c>
      <c r="B90" s="156" t="s">
        <v>70</v>
      </c>
      <c r="C90" s="138"/>
      <c r="D90" s="157">
        <v>27.513999999999999</v>
      </c>
      <c r="E90" s="157">
        <v>58.331900000000005</v>
      </c>
      <c r="F90" s="157">
        <v>56.008499999999998</v>
      </c>
      <c r="G90" s="138"/>
      <c r="H90" s="138"/>
      <c r="I90" s="138"/>
    </row>
    <row r="91" spans="1:9" x14ac:dyDescent="0.45">
      <c r="A91" s="155">
        <v>86</v>
      </c>
      <c r="B91" s="156" t="s">
        <v>70</v>
      </c>
      <c r="D91" s="157">
        <v>25.637</v>
      </c>
      <c r="E91" s="157">
        <v>15.202</v>
      </c>
      <c r="F91" s="157">
        <v>16.8751</v>
      </c>
      <c r="G91" s="138"/>
    </row>
    <row r="92" spans="1:9" x14ac:dyDescent="0.45">
      <c r="A92" s="155">
        <v>92</v>
      </c>
      <c r="B92" s="156" t="s">
        <v>70</v>
      </c>
      <c r="D92" s="157">
        <v>18.497399999999999</v>
      </c>
      <c r="E92" s="157">
        <v>17.3185</v>
      </c>
      <c r="F92" s="157">
        <v>16.557600000000001</v>
      </c>
      <c r="G92" s="138"/>
    </row>
    <row r="93" spans="1:9" x14ac:dyDescent="0.45">
      <c r="A93" s="155">
        <v>95</v>
      </c>
      <c r="B93" s="156" t="s">
        <v>70</v>
      </c>
      <c r="D93" s="157">
        <v>25.246299999999998</v>
      </c>
      <c r="E93" s="157">
        <v>76.805999999999997</v>
      </c>
      <c r="F93" s="157">
        <v>77.653999999999996</v>
      </c>
      <c r="G93" s="138"/>
    </row>
    <row r="94" spans="1:9" x14ac:dyDescent="0.45">
      <c r="A94" s="155">
        <v>97</v>
      </c>
      <c r="B94" s="156" t="s">
        <v>70</v>
      </c>
      <c r="D94" s="157">
        <v>21.491799999999998</v>
      </c>
      <c r="E94" s="157">
        <v>16.2105</v>
      </c>
      <c r="F94" s="157">
        <v>16.5166</v>
      </c>
      <c r="G94" s="138"/>
    </row>
    <row r="95" spans="1:9" x14ac:dyDescent="0.45">
      <c r="A95" s="155">
        <v>99</v>
      </c>
      <c r="B95" s="156" t="s">
        <v>70</v>
      </c>
      <c r="D95" s="157">
        <v>27.957900000000002</v>
      </c>
      <c r="E95" s="157">
        <v>27.161099999999998</v>
      </c>
      <c r="F95" s="158">
        <v>28.0898</v>
      </c>
      <c r="G95" s="138"/>
    </row>
    <row r="96" spans="1:9" x14ac:dyDescent="0.45">
      <c r="A96" s="155">
        <v>75</v>
      </c>
      <c r="B96" s="156" t="s">
        <v>78</v>
      </c>
      <c r="F96" s="157">
        <v>36.896099999999997</v>
      </c>
      <c r="G96" s="157">
        <v>152.7799</v>
      </c>
      <c r="H96" s="157">
        <v>2.3994</v>
      </c>
      <c r="I96" s="138"/>
    </row>
    <row r="97" spans="1:10" x14ac:dyDescent="0.45">
      <c r="A97" s="155">
        <v>80</v>
      </c>
      <c r="B97" s="156" t="s">
        <v>78</v>
      </c>
      <c r="F97" s="157">
        <v>28.659400000000002</v>
      </c>
      <c r="G97" s="157">
        <v>116.88129999999998</v>
      </c>
      <c r="H97" s="158">
        <v>4.9916</v>
      </c>
      <c r="I97" s="138"/>
    </row>
    <row r="98" spans="1:10" x14ac:dyDescent="0.45">
      <c r="A98" s="155">
        <v>12</v>
      </c>
      <c r="B98" s="156" t="s">
        <v>79</v>
      </c>
      <c r="H98" s="157">
        <v>12.164999999999999</v>
      </c>
      <c r="I98" s="157">
        <v>12.831900000000001</v>
      </c>
      <c r="J98" s="138"/>
    </row>
    <row r="99" spans="1:10" x14ac:dyDescent="0.45">
      <c r="A99" s="155">
        <v>13</v>
      </c>
      <c r="B99" s="156" t="s">
        <v>79</v>
      </c>
      <c r="H99" s="157">
        <v>12.164999999999999</v>
      </c>
      <c r="I99" s="157">
        <v>12.831900000000001</v>
      </c>
      <c r="J99" s="138"/>
    </row>
    <row r="100" spans="1:10" x14ac:dyDescent="0.45">
      <c r="A100" s="155">
        <v>14</v>
      </c>
      <c r="B100" s="156" t="s">
        <v>79</v>
      </c>
      <c r="H100" s="157">
        <v>12.164999999999999</v>
      </c>
      <c r="I100" s="157">
        <v>12.831900000000001</v>
      </c>
      <c r="J100" s="138"/>
    </row>
    <row r="101" spans="1:10" x14ac:dyDescent="0.45">
      <c r="A101" s="155">
        <v>49</v>
      </c>
      <c r="B101" s="156" t="s">
        <v>79</v>
      </c>
      <c r="H101" s="157">
        <v>6.069300000000001</v>
      </c>
      <c r="I101" s="157">
        <v>6.8338999999999999</v>
      </c>
      <c r="J101" s="138"/>
    </row>
    <row r="102" spans="1:10" x14ac:dyDescent="0.45">
      <c r="A102" s="155">
        <v>78</v>
      </c>
      <c r="B102" s="156" t="s">
        <v>79</v>
      </c>
      <c r="H102" s="157">
        <v>9.4622000000000011</v>
      </c>
      <c r="I102" s="157">
        <v>10.363899999999999</v>
      </c>
      <c r="J102" s="138"/>
    </row>
    <row r="103" spans="1:10" x14ac:dyDescent="0.45">
      <c r="A103" s="155">
        <v>79</v>
      </c>
      <c r="B103" s="156" t="s">
        <v>79</v>
      </c>
      <c r="H103" s="157">
        <v>9.4622000000000011</v>
      </c>
      <c r="I103" s="157">
        <v>10.363899999999999</v>
      </c>
      <c r="J103" s="138"/>
    </row>
    <row r="104" spans="1:10" x14ac:dyDescent="0.45">
      <c r="A104" s="155">
        <v>81</v>
      </c>
      <c r="B104" s="156" t="s">
        <v>79</v>
      </c>
      <c r="H104" s="157">
        <v>3.7791000000000006</v>
      </c>
      <c r="I104" s="157">
        <v>4.2646999999999995</v>
      </c>
      <c r="J104" s="138"/>
    </row>
    <row r="105" spans="1:10" x14ac:dyDescent="0.45">
      <c r="A105" s="155">
        <v>103</v>
      </c>
      <c r="B105" s="156" t="s">
        <v>79</v>
      </c>
      <c r="H105" s="157">
        <v>10.185700000000001</v>
      </c>
      <c r="I105" s="157">
        <v>10.597199999999999</v>
      </c>
      <c r="J105" s="138"/>
    </row>
    <row r="106" spans="1:10" x14ac:dyDescent="0.45">
      <c r="A106" s="155">
        <v>104</v>
      </c>
      <c r="B106" s="156" t="s">
        <v>79</v>
      </c>
      <c r="H106" s="157">
        <v>10.185700000000001</v>
      </c>
      <c r="I106" s="157">
        <v>10.597199999999999</v>
      </c>
      <c r="J106" s="138"/>
    </row>
    <row r="107" spans="1:10" x14ac:dyDescent="0.45">
      <c r="A107" s="155">
        <v>105</v>
      </c>
      <c r="B107" s="156" t="s">
        <v>79</v>
      </c>
      <c r="H107" s="157">
        <v>11.2203</v>
      </c>
      <c r="I107" s="157">
        <v>12.193199999999999</v>
      </c>
      <c r="J107" s="138"/>
    </row>
    <row r="108" spans="1:10" x14ac:dyDescent="0.45">
      <c r="B108" s="103"/>
    </row>
    <row r="109" spans="1:10" x14ac:dyDescent="0.45">
      <c r="B109" s="103"/>
    </row>
    <row r="110" spans="1:10" x14ac:dyDescent="0.45">
      <c r="B110" s="103"/>
    </row>
    <row r="111" spans="1:10" x14ac:dyDescent="0.45">
      <c r="B111" s="103"/>
    </row>
    <row r="112" spans="1:10" x14ac:dyDescent="0.45">
      <c r="B112" s="103"/>
    </row>
    <row r="113" spans="2:2" x14ac:dyDescent="0.45">
      <c r="B113" s="103"/>
    </row>
    <row r="114" spans="2:2" x14ac:dyDescent="0.45">
      <c r="B114" s="103"/>
    </row>
    <row r="115" spans="2:2" x14ac:dyDescent="0.45">
      <c r="B115" s="103"/>
    </row>
    <row r="116" spans="2:2" x14ac:dyDescent="0.45">
      <c r="B116" s="103"/>
    </row>
    <row r="117" spans="2:2" x14ac:dyDescent="0.45">
      <c r="B117" s="103"/>
    </row>
    <row r="118" spans="2:2" x14ac:dyDescent="0.45">
      <c r="B118" s="103"/>
    </row>
    <row r="119" spans="2:2" x14ac:dyDescent="0.45">
      <c r="B119" s="103"/>
    </row>
    <row r="120" spans="2:2" x14ac:dyDescent="0.45">
      <c r="B120" s="103"/>
    </row>
    <row r="121" spans="2:2" x14ac:dyDescent="0.45">
      <c r="B121" s="103"/>
    </row>
    <row r="122" spans="2:2" x14ac:dyDescent="0.45">
      <c r="B122" s="103"/>
    </row>
    <row r="123" spans="2:2" x14ac:dyDescent="0.45">
      <c r="B123" s="103"/>
    </row>
    <row r="124" spans="2:2" x14ac:dyDescent="0.45">
      <c r="B124" s="103"/>
    </row>
    <row r="125" spans="2:2" x14ac:dyDescent="0.45">
      <c r="B125" s="103"/>
    </row>
    <row r="126" spans="2:2" x14ac:dyDescent="0.45">
      <c r="B126" s="103"/>
    </row>
    <row r="127" spans="2:2" x14ac:dyDescent="0.45">
      <c r="B127" s="103"/>
    </row>
    <row r="128" spans="2:2" x14ac:dyDescent="0.45">
      <c r="B128" s="103"/>
    </row>
    <row r="129" spans="2:2" x14ac:dyDescent="0.45">
      <c r="B129" s="103"/>
    </row>
    <row r="130" spans="2:2" x14ac:dyDescent="0.45">
      <c r="B130" s="103"/>
    </row>
    <row r="131" spans="2:2" x14ac:dyDescent="0.45">
      <c r="B131" s="103"/>
    </row>
    <row r="132" spans="2:2" x14ac:dyDescent="0.45">
      <c r="B132" s="103"/>
    </row>
    <row r="133" spans="2:2" x14ac:dyDescent="0.45">
      <c r="B133" s="103"/>
    </row>
    <row r="134" spans="2:2" x14ac:dyDescent="0.45">
      <c r="B134" s="103"/>
    </row>
    <row r="135" spans="2:2" x14ac:dyDescent="0.45">
      <c r="B135" s="103"/>
    </row>
    <row r="136" spans="2:2" x14ac:dyDescent="0.45">
      <c r="B136" s="10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 Sheet</vt:lpstr>
      <vt:lpstr>Main</vt:lpstr>
      <vt:lpstr>Facility Databank</vt:lpstr>
      <vt:lpstr>Facility Tariffs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2021-10-29T06:14:00Z</dcterms:created>
  <dcterms:modified xsi:type="dcterms:W3CDTF">2021-10-29T06:14:26Z</dcterms:modified>
</cp:coreProperties>
</file>